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9320" windowHeight="12150"/>
  </bookViews>
  <sheets>
    <sheet name="Input" sheetId="1" r:id="rId1"/>
    <sheet name="Match Data" sheetId="2" r:id="rId2"/>
    <sheet name="Alliance Data" sheetId="3" r:id="rId3"/>
    <sheet name="Total Values" sheetId="9" r:id="rId4"/>
    <sheet name="Search" sheetId="4" r:id="rId5"/>
    <sheet name="Compare" sheetId="5" r:id="rId6"/>
    <sheet name="Value" sheetId="7" r:id="rId7"/>
    <sheet name="Team Partners" sheetId="10" r:id="rId8"/>
    <sheet name="Top 10 Rankings" sheetId="11" r:id="rId9"/>
    <sheet name="Fantasy Robotics" sheetId="12" r:id="rId10"/>
  </sheets>
  <calcPr calcId="145621"/>
</workbook>
</file>

<file path=xl/calcChain.xml><?xml version="1.0" encoding="utf-8"?>
<calcChain xmlns="http://schemas.openxmlformats.org/spreadsheetml/2006/main">
  <c r="O16" i="1" l="1"/>
  <c r="O7" i="7" l="1"/>
  <c r="O8" i="7"/>
  <c r="O9" i="7"/>
  <c r="O10" i="7"/>
  <c r="O11" i="7"/>
  <c r="O12" i="7"/>
  <c r="O13" i="7"/>
  <c r="O14" i="7"/>
  <c r="O15" i="7"/>
  <c r="O16" i="7"/>
  <c r="O17" i="7"/>
  <c r="O18" i="7"/>
  <c r="AA48" i="9"/>
  <c r="AA49" i="9"/>
  <c r="AA50" i="9"/>
  <c r="AA51" i="9"/>
  <c r="AA52" i="9"/>
  <c r="AA53" i="9"/>
  <c r="C51" i="7" s="1"/>
  <c r="AA54" i="9"/>
  <c r="AA55" i="9"/>
  <c r="C53" i="7" s="1"/>
  <c r="AA56" i="9"/>
  <c r="C49" i="7"/>
  <c r="C50" i="7"/>
  <c r="C48" i="7"/>
  <c r="C52" i="7"/>
  <c r="C54" i="7"/>
  <c r="Z21" i="9"/>
  <c r="Z22" i="9"/>
  <c r="Z23" i="9"/>
  <c r="Z24" i="9"/>
  <c r="Z25" i="9"/>
  <c r="Z26" i="9"/>
  <c r="Z27" i="9"/>
  <c r="Z28" i="9"/>
  <c r="AA23" i="9"/>
  <c r="AA24" i="9"/>
  <c r="AA25" i="9"/>
  <c r="AC4" i="9"/>
  <c r="AC5" i="9"/>
  <c r="AC6" i="9"/>
  <c r="AC7" i="9"/>
  <c r="AC8" i="9"/>
  <c r="AC9" i="9"/>
  <c r="AC10" i="9"/>
  <c r="AC11" i="9"/>
  <c r="AJ4" i="9"/>
  <c r="AJ5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G4" i="9"/>
  <c r="AG5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48" i="9"/>
  <c r="AG49" i="9"/>
  <c r="AG50" i="9"/>
  <c r="AG51" i="9"/>
  <c r="AG52" i="9"/>
  <c r="AG53" i="9"/>
  <c r="AG54" i="9"/>
  <c r="AG55" i="9"/>
  <c r="AG56" i="9"/>
  <c r="AG57" i="9"/>
  <c r="AG58" i="9"/>
  <c r="AF4" i="9"/>
  <c r="AF5" i="9"/>
  <c r="AF6" i="9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I4" i="9"/>
  <c r="AI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H4" i="9"/>
  <c r="AH5" i="9"/>
  <c r="AH6" i="9"/>
  <c r="AH7" i="9"/>
  <c r="AH8" i="9"/>
  <c r="AH9" i="9"/>
  <c r="AH10" i="9"/>
  <c r="AH11" i="9"/>
  <c r="AH12" i="9"/>
  <c r="AH13" i="9"/>
  <c r="AH14" i="9"/>
  <c r="AH15" i="9"/>
  <c r="AH16" i="9"/>
  <c r="AH17" i="9"/>
  <c r="AH18" i="9"/>
  <c r="AH19" i="9"/>
  <c r="AH20" i="9"/>
  <c r="AH21" i="9"/>
  <c r="AH22" i="9"/>
  <c r="AH23" i="9"/>
  <c r="AH24" i="9"/>
  <c r="AH25" i="9"/>
  <c r="AH26" i="9"/>
  <c r="AH27" i="9"/>
  <c r="AH28" i="9"/>
  <c r="AH29" i="9"/>
  <c r="AH30" i="9"/>
  <c r="AH31" i="9"/>
  <c r="AH32" i="9"/>
  <c r="AH33" i="9"/>
  <c r="AH34" i="9"/>
  <c r="AH35" i="9"/>
  <c r="AH36" i="9"/>
  <c r="AH37" i="9"/>
  <c r="AH38" i="9"/>
  <c r="AH39" i="9"/>
  <c r="AH40" i="9"/>
  <c r="AH41" i="9"/>
  <c r="AH42" i="9"/>
  <c r="AH43" i="9"/>
  <c r="AH44" i="9"/>
  <c r="AH45" i="9"/>
  <c r="AH46" i="9"/>
  <c r="AH47" i="9"/>
  <c r="AH48" i="9"/>
  <c r="AH49" i="9"/>
  <c r="AH50" i="9"/>
  <c r="AH51" i="9"/>
  <c r="AH52" i="9"/>
  <c r="AH53" i="9"/>
  <c r="AH54" i="9"/>
  <c r="AH55" i="9"/>
  <c r="AH56" i="9"/>
  <c r="AH57" i="9"/>
  <c r="AH58" i="9"/>
  <c r="N4" i="7"/>
  <c r="O4" i="7"/>
  <c r="N5" i="7"/>
  <c r="O5" i="7"/>
  <c r="N6" i="7"/>
  <c r="O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O3" i="7"/>
  <c r="N3" i="7" l="1"/>
  <c r="L3" i="7"/>
  <c r="AK5" i="9"/>
  <c r="I3" i="7" s="1"/>
  <c r="AL5" i="9"/>
  <c r="K3" i="7" s="1"/>
  <c r="L4" i="7"/>
  <c r="AK6" i="9"/>
  <c r="I4" i="7" s="1"/>
  <c r="AL6" i="9"/>
  <c r="K4" i="7" s="1"/>
  <c r="L5" i="7"/>
  <c r="AK7" i="9"/>
  <c r="I5" i="7" s="1"/>
  <c r="AL7" i="9"/>
  <c r="K5" i="7" s="1"/>
  <c r="L6" i="7"/>
  <c r="AK8" i="9"/>
  <c r="I6" i="7" s="1"/>
  <c r="AL8" i="9"/>
  <c r="K6" i="7" s="1"/>
  <c r="L7" i="7"/>
  <c r="AK9" i="9"/>
  <c r="I7" i="7" s="1"/>
  <c r="AL9" i="9"/>
  <c r="K7" i="7" s="1"/>
  <c r="L8" i="7"/>
  <c r="AK10" i="9"/>
  <c r="I8" i="7" s="1"/>
  <c r="AL10" i="9"/>
  <c r="K8" i="7" s="1"/>
  <c r="L9" i="7"/>
  <c r="AK11" i="9"/>
  <c r="I9" i="7" s="1"/>
  <c r="AL11" i="9"/>
  <c r="K9" i="7" s="1"/>
  <c r="AC12" i="9"/>
  <c r="L10" i="7" s="1"/>
  <c r="AK12" i="9"/>
  <c r="I10" i="7" s="1"/>
  <c r="AL12" i="9"/>
  <c r="K10" i="7" s="1"/>
  <c r="AC13" i="9"/>
  <c r="L11" i="7" s="1"/>
  <c r="AK13" i="9"/>
  <c r="I11" i="7" s="1"/>
  <c r="AL13" i="9"/>
  <c r="K11" i="7" s="1"/>
  <c r="AC14" i="9"/>
  <c r="L12" i="7" s="1"/>
  <c r="AK14" i="9"/>
  <c r="I12" i="7" s="1"/>
  <c r="AL14" i="9"/>
  <c r="K12" i="7" s="1"/>
  <c r="AC15" i="9"/>
  <c r="L13" i="7" s="1"/>
  <c r="AK15" i="9"/>
  <c r="I13" i="7" s="1"/>
  <c r="AL15" i="9"/>
  <c r="K13" i="7" s="1"/>
  <c r="AC16" i="9"/>
  <c r="L14" i="7" s="1"/>
  <c r="AK16" i="9"/>
  <c r="I14" i="7" s="1"/>
  <c r="AL16" i="9"/>
  <c r="K14" i="7" s="1"/>
  <c r="AC17" i="9"/>
  <c r="L15" i="7" s="1"/>
  <c r="AK17" i="9"/>
  <c r="I15" i="7" s="1"/>
  <c r="AL17" i="9"/>
  <c r="K15" i="7" s="1"/>
  <c r="AC18" i="9"/>
  <c r="L16" i="7" s="1"/>
  <c r="AK18" i="9"/>
  <c r="I16" i="7" s="1"/>
  <c r="AL18" i="9"/>
  <c r="K16" i="7" s="1"/>
  <c r="AC19" i="9"/>
  <c r="L17" i="7" s="1"/>
  <c r="AK19" i="9"/>
  <c r="I17" i="7" s="1"/>
  <c r="AL19" i="9"/>
  <c r="K17" i="7" s="1"/>
  <c r="AC20" i="9"/>
  <c r="L18" i="7" s="1"/>
  <c r="AK20" i="9"/>
  <c r="I18" i="7" s="1"/>
  <c r="AL20" i="9"/>
  <c r="K18" i="7" s="1"/>
  <c r="AC21" i="9"/>
  <c r="L19" i="7" s="1"/>
  <c r="AK21" i="9"/>
  <c r="I19" i="7" s="1"/>
  <c r="AL21" i="9"/>
  <c r="K19" i="7" s="1"/>
  <c r="AC22" i="9"/>
  <c r="L20" i="7" s="1"/>
  <c r="AK22" i="9"/>
  <c r="I20" i="7" s="1"/>
  <c r="AL22" i="9"/>
  <c r="K20" i="7" s="1"/>
  <c r="AC23" i="9"/>
  <c r="L21" i="7" s="1"/>
  <c r="AK23" i="9"/>
  <c r="I21" i="7" s="1"/>
  <c r="AL23" i="9"/>
  <c r="K21" i="7" s="1"/>
  <c r="AC24" i="9"/>
  <c r="L22" i="7" s="1"/>
  <c r="AK24" i="9"/>
  <c r="I22" i="7" s="1"/>
  <c r="AL24" i="9"/>
  <c r="K22" i="7" s="1"/>
  <c r="AC25" i="9"/>
  <c r="L23" i="7" s="1"/>
  <c r="AK25" i="9"/>
  <c r="I23" i="7" s="1"/>
  <c r="AL25" i="9"/>
  <c r="K23" i="7" s="1"/>
  <c r="AC26" i="9"/>
  <c r="L24" i="7" s="1"/>
  <c r="AK26" i="9"/>
  <c r="I24" i="7" s="1"/>
  <c r="AL26" i="9"/>
  <c r="K24" i="7" s="1"/>
  <c r="AC27" i="9"/>
  <c r="L25" i="7" s="1"/>
  <c r="AK27" i="9"/>
  <c r="I25" i="7" s="1"/>
  <c r="AL27" i="9"/>
  <c r="K25" i="7" s="1"/>
  <c r="AC28" i="9"/>
  <c r="L26" i="7" s="1"/>
  <c r="AK28" i="9"/>
  <c r="I26" i="7" s="1"/>
  <c r="AL28" i="9"/>
  <c r="K26" i="7" s="1"/>
  <c r="AC29" i="9"/>
  <c r="L27" i="7" s="1"/>
  <c r="AK29" i="9"/>
  <c r="I27" i="7" s="1"/>
  <c r="AL29" i="9"/>
  <c r="K27" i="7" s="1"/>
  <c r="AC30" i="9"/>
  <c r="L28" i="7" s="1"/>
  <c r="AK30" i="9"/>
  <c r="I28" i="7" s="1"/>
  <c r="AL30" i="9"/>
  <c r="K28" i="7" s="1"/>
  <c r="AC31" i="9"/>
  <c r="L29" i="7" s="1"/>
  <c r="AK31" i="9"/>
  <c r="I29" i="7" s="1"/>
  <c r="AL31" i="9"/>
  <c r="K29" i="7" s="1"/>
  <c r="AC32" i="9"/>
  <c r="L30" i="7" s="1"/>
  <c r="AK32" i="9"/>
  <c r="I30" i="7" s="1"/>
  <c r="AL32" i="9"/>
  <c r="K30" i="7" s="1"/>
  <c r="AC33" i="9"/>
  <c r="L31" i="7" s="1"/>
  <c r="AK33" i="9"/>
  <c r="I31" i="7" s="1"/>
  <c r="AL33" i="9"/>
  <c r="K31" i="7" s="1"/>
  <c r="AC34" i="9"/>
  <c r="L32" i="7" s="1"/>
  <c r="AK34" i="9"/>
  <c r="I32" i="7" s="1"/>
  <c r="AL34" i="9"/>
  <c r="K32" i="7" s="1"/>
  <c r="AC35" i="9"/>
  <c r="L33" i="7" s="1"/>
  <c r="AK35" i="9"/>
  <c r="I33" i="7" s="1"/>
  <c r="AL35" i="9"/>
  <c r="K33" i="7" s="1"/>
  <c r="AC36" i="9"/>
  <c r="L34" i="7" s="1"/>
  <c r="AK36" i="9"/>
  <c r="I34" i="7" s="1"/>
  <c r="AL36" i="9"/>
  <c r="K34" i="7" s="1"/>
  <c r="AC37" i="9"/>
  <c r="L35" i="7" s="1"/>
  <c r="AK37" i="9"/>
  <c r="I35" i="7" s="1"/>
  <c r="AL37" i="9"/>
  <c r="K35" i="7" s="1"/>
  <c r="AC38" i="9"/>
  <c r="L36" i="7" s="1"/>
  <c r="AK38" i="9"/>
  <c r="I36" i="7" s="1"/>
  <c r="AL38" i="9"/>
  <c r="K36" i="7" s="1"/>
  <c r="AC39" i="9"/>
  <c r="L37" i="7" s="1"/>
  <c r="AK39" i="9"/>
  <c r="I37" i="7" s="1"/>
  <c r="AL39" i="9"/>
  <c r="K37" i="7" s="1"/>
  <c r="AC40" i="9"/>
  <c r="L38" i="7" s="1"/>
  <c r="AK40" i="9"/>
  <c r="I38" i="7" s="1"/>
  <c r="AL40" i="9"/>
  <c r="K38" i="7" s="1"/>
  <c r="AC41" i="9"/>
  <c r="L39" i="7" s="1"/>
  <c r="AK41" i="9"/>
  <c r="I39" i="7" s="1"/>
  <c r="AL41" i="9"/>
  <c r="K39" i="7" s="1"/>
  <c r="AC42" i="9"/>
  <c r="L40" i="7" s="1"/>
  <c r="AK42" i="9"/>
  <c r="I40" i="7" s="1"/>
  <c r="AL42" i="9"/>
  <c r="K40" i="7" s="1"/>
  <c r="AC43" i="9"/>
  <c r="L41" i="7" s="1"/>
  <c r="AK43" i="9"/>
  <c r="I41" i="7" s="1"/>
  <c r="AL43" i="9"/>
  <c r="K41" i="7" s="1"/>
  <c r="AC44" i="9"/>
  <c r="L42" i="7" s="1"/>
  <c r="AK44" i="9"/>
  <c r="I42" i="7" s="1"/>
  <c r="AL44" i="9"/>
  <c r="K42" i="7" s="1"/>
  <c r="AC45" i="9"/>
  <c r="L43" i="7" s="1"/>
  <c r="AK45" i="9"/>
  <c r="I43" i="7" s="1"/>
  <c r="AL45" i="9"/>
  <c r="K43" i="7" s="1"/>
  <c r="AC46" i="9"/>
  <c r="L44" i="7" s="1"/>
  <c r="AK46" i="9"/>
  <c r="I44" i="7" s="1"/>
  <c r="AL46" i="9"/>
  <c r="K44" i="7" s="1"/>
  <c r="AC47" i="9"/>
  <c r="L45" i="7" s="1"/>
  <c r="AK47" i="9"/>
  <c r="I45" i="7" s="1"/>
  <c r="AL47" i="9"/>
  <c r="K45" i="7" s="1"/>
  <c r="AC48" i="9"/>
  <c r="L46" i="7" s="1"/>
  <c r="AK48" i="9"/>
  <c r="I46" i="7" s="1"/>
  <c r="AL48" i="9"/>
  <c r="K46" i="7" s="1"/>
  <c r="AC49" i="9"/>
  <c r="L47" i="7" s="1"/>
  <c r="AK49" i="9"/>
  <c r="I47" i="7" s="1"/>
  <c r="AL49" i="9"/>
  <c r="K47" i="7" s="1"/>
  <c r="AC50" i="9"/>
  <c r="L48" i="7" s="1"/>
  <c r="AK50" i="9"/>
  <c r="I48" i="7" s="1"/>
  <c r="AL50" i="9"/>
  <c r="K48" i="7" s="1"/>
  <c r="AC51" i="9"/>
  <c r="L49" i="7" s="1"/>
  <c r="AK51" i="9"/>
  <c r="I49" i="7" s="1"/>
  <c r="AL51" i="9"/>
  <c r="K49" i="7" s="1"/>
  <c r="AC52" i="9"/>
  <c r="L50" i="7" s="1"/>
  <c r="AK52" i="9"/>
  <c r="I50" i="7" s="1"/>
  <c r="AL52" i="9"/>
  <c r="K50" i="7" s="1"/>
  <c r="AC53" i="9"/>
  <c r="L51" i="7" s="1"/>
  <c r="AK53" i="9"/>
  <c r="I51" i="7" s="1"/>
  <c r="AL53" i="9"/>
  <c r="K51" i="7" s="1"/>
  <c r="AC54" i="9"/>
  <c r="L52" i="7" s="1"/>
  <c r="AK54" i="9"/>
  <c r="I52" i="7" s="1"/>
  <c r="AL54" i="9"/>
  <c r="K52" i="7" s="1"/>
  <c r="AC55" i="9"/>
  <c r="L53" i="7" s="1"/>
  <c r="AK55" i="9"/>
  <c r="I53" i="7" s="1"/>
  <c r="AL55" i="9"/>
  <c r="K53" i="7" s="1"/>
  <c r="AC56" i="9"/>
  <c r="L54" i="7" s="1"/>
  <c r="AK56" i="9"/>
  <c r="I54" i="7" s="1"/>
  <c r="AL56" i="9"/>
  <c r="K54" i="7" s="1"/>
  <c r="AC57" i="9"/>
  <c r="L55" i="7" s="1"/>
  <c r="AK57" i="9"/>
  <c r="I55" i="7" s="1"/>
  <c r="AL57" i="9"/>
  <c r="K55" i="7" s="1"/>
  <c r="AC58" i="9"/>
  <c r="L56" i="7" s="1"/>
  <c r="AK58" i="9"/>
  <c r="I56" i="7" s="1"/>
  <c r="AL58" i="9"/>
  <c r="K56" i="7" s="1"/>
  <c r="AK4" i="9"/>
  <c r="I2" i="7" s="1"/>
  <c r="AL4" i="9"/>
  <c r="K2" i="7" s="1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Q4" i="9" l="1"/>
  <c r="R4" i="9"/>
  <c r="U4" i="9"/>
  <c r="V4" i="9"/>
  <c r="P2" i="7" s="1"/>
  <c r="F2" i="7" s="1"/>
  <c r="W4" i="9"/>
  <c r="X4" i="9"/>
  <c r="Y4" i="9"/>
  <c r="Z4" i="9"/>
  <c r="AA4" i="9"/>
  <c r="C2" i="7" s="1"/>
  <c r="AB4" i="9"/>
  <c r="Q5" i="9"/>
  <c r="R5" i="9"/>
  <c r="U5" i="9"/>
  <c r="P3" i="7" s="1"/>
  <c r="V5" i="9"/>
  <c r="W5" i="9"/>
  <c r="X5" i="9"/>
  <c r="Y5" i="9"/>
  <c r="Z5" i="9"/>
  <c r="AA5" i="9"/>
  <c r="AB5" i="9"/>
  <c r="Q6" i="9"/>
  <c r="R6" i="9"/>
  <c r="U6" i="9"/>
  <c r="P4" i="7" s="1"/>
  <c r="V6" i="9"/>
  <c r="W6" i="9"/>
  <c r="X6" i="9"/>
  <c r="Y6" i="9"/>
  <c r="Z6" i="9"/>
  <c r="AA6" i="9"/>
  <c r="AB6" i="9"/>
  <c r="Q7" i="9"/>
  <c r="R7" i="9"/>
  <c r="U7" i="9"/>
  <c r="P5" i="7" s="1"/>
  <c r="V7" i="9"/>
  <c r="W7" i="9"/>
  <c r="X7" i="9"/>
  <c r="Y7" i="9"/>
  <c r="Z7" i="9"/>
  <c r="AA7" i="9"/>
  <c r="AB7" i="9"/>
  <c r="Q8" i="9"/>
  <c r="R8" i="9"/>
  <c r="U8" i="9"/>
  <c r="P6" i="7" s="1"/>
  <c r="V8" i="9"/>
  <c r="W8" i="9"/>
  <c r="X8" i="9"/>
  <c r="Y8" i="9"/>
  <c r="Z8" i="9"/>
  <c r="AA8" i="9"/>
  <c r="AB8" i="9"/>
  <c r="Q9" i="9"/>
  <c r="R9" i="9"/>
  <c r="U9" i="9"/>
  <c r="P7" i="7" s="1"/>
  <c r="V9" i="9"/>
  <c r="W9" i="9"/>
  <c r="X9" i="9"/>
  <c r="Y9" i="9"/>
  <c r="Z9" i="9"/>
  <c r="AA9" i="9"/>
  <c r="AB9" i="9"/>
  <c r="Q10" i="9"/>
  <c r="R10" i="9"/>
  <c r="U10" i="9"/>
  <c r="P8" i="7" s="1"/>
  <c r="V10" i="9"/>
  <c r="W10" i="9"/>
  <c r="X10" i="9"/>
  <c r="Y10" i="9"/>
  <c r="Z10" i="9"/>
  <c r="AA10" i="9"/>
  <c r="AB10" i="9"/>
  <c r="Q11" i="9"/>
  <c r="R11" i="9"/>
  <c r="U11" i="9"/>
  <c r="P9" i="7" s="1"/>
  <c r="V11" i="9"/>
  <c r="W11" i="9"/>
  <c r="X11" i="9"/>
  <c r="Y11" i="9"/>
  <c r="Z11" i="9"/>
  <c r="AA11" i="9"/>
  <c r="AB11" i="9"/>
  <c r="Q12" i="9"/>
  <c r="R12" i="9"/>
  <c r="U12" i="9"/>
  <c r="P10" i="7" s="1"/>
  <c r="V12" i="9"/>
  <c r="W12" i="9"/>
  <c r="X12" i="9"/>
  <c r="Y12" i="9"/>
  <c r="Z12" i="9"/>
  <c r="AA12" i="9"/>
  <c r="AB12" i="9"/>
  <c r="Q13" i="9"/>
  <c r="R13" i="9"/>
  <c r="U13" i="9"/>
  <c r="P11" i="7" s="1"/>
  <c r="V13" i="9"/>
  <c r="W13" i="9"/>
  <c r="X13" i="9"/>
  <c r="Y13" i="9"/>
  <c r="Z13" i="9"/>
  <c r="AA13" i="9"/>
  <c r="AB13" i="9"/>
  <c r="Q14" i="9"/>
  <c r="R14" i="9"/>
  <c r="U14" i="9"/>
  <c r="P12" i="7" s="1"/>
  <c r="V14" i="9"/>
  <c r="W14" i="9"/>
  <c r="X14" i="9"/>
  <c r="Y14" i="9"/>
  <c r="Z14" i="9"/>
  <c r="AA14" i="9"/>
  <c r="AB14" i="9"/>
  <c r="Q15" i="9"/>
  <c r="R15" i="9"/>
  <c r="U15" i="9"/>
  <c r="P13" i="7" s="1"/>
  <c r="V15" i="9"/>
  <c r="W15" i="9"/>
  <c r="X15" i="9"/>
  <c r="Y15" i="9"/>
  <c r="Z15" i="9"/>
  <c r="AA15" i="9"/>
  <c r="AB15" i="9"/>
  <c r="Q16" i="9"/>
  <c r="R16" i="9"/>
  <c r="U16" i="9"/>
  <c r="P14" i="7" s="1"/>
  <c r="V16" i="9"/>
  <c r="W16" i="9"/>
  <c r="X16" i="9"/>
  <c r="Y16" i="9"/>
  <c r="Z16" i="9"/>
  <c r="AA16" i="9"/>
  <c r="AB16" i="9"/>
  <c r="Q17" i="9"/>
  <c r="R17" i="9"/>
  <c r="U17" i="9"/>
  <c r="P15" i="7" s="1"/>
  <c r="V17" i="9"/>
  <c r="W17" i="9"/>
  <c r="X17" i="9"/>
  <c r="Y17" i="9"/>
  <c r="Z17" i="9"/>
  <c r="AA17" i="9"/>
  <c r="AB17" i="9"/>
  <c r="Q18" i="9"/>
  <c r="R18" i="9"/>
  <c r="U18" i="9"/>
  <c r="P16" i="7" s="1"/>
  <c r="V18" i="9"/>
  <c r="W18" i="9"/>
  <c r="X18" i="9"/>
  <c r="Y18" i="9"/>
  <c r="Z18" i="9"/>
  <c r="AA18" i="9"/>
  <c r="AB18" i="9"/>
  <c r="Q19" i="9"/>
  <c r="R19" i="9"/>
  <c r="U19" i="9"/>
  <c r="P17" i="7" s="1"/>
  <c r="V19" i="9"/>
  <c r="W19" i="9"/>
  <c r="X19" i="9"/>
  <c r="Y19" i="9"/>
  <c r="Z19" i="9"/>
  <c r="AA19" i="9"/>
  <c r="AB19" i="9"/>
  <c r="Q20" i="9"/>
  <c r="R20" i="9"/>
  <c r="U20" i="9"/>
  <c r="P18" i="7" s="1"/>
  <c r="V20" i="9"/>
  <c r="W20" i="9"/>
  <c r="X20" i="9"/>
  <c r="Y20" i="9"/>
  <c r="Z20" i="9"/>
  <c r="AA20" i="9"/>
  <c r="AB20" i="9"/>
  <c r="Q21" i="9"/>
  <c r="R21" i="9"/>
  <c r="U21" i="9"/>
  <c r="P19" i="7" s="1"/>
  <c r="V21" i="9"/>
  <c r="W21" i="9"/>
  <c r="X21" i="9"/>
  <c r="Y21" i="9"/>
  <c r="AA21" i="9"/>
  <c r="AB21" i="9"/>
  <c r="Q22" i="9"/>
  <c r="R22" i="9"/>
  <c r="U22" i="9"/>
  <c r="P20" i="7" s="1"/>
  <c r="V22" i="9"/>
  <c r="W22" i="9"/>
  <c r="X22" i="9"/>
  <c r="Y22" i="9"/>
  <c r="AA22" i="9"/>
  <c r="AB22" i="9"/>
  <c r="Q23" i="9"/>
  <c r="R23" i="9"/>
  <c r="U23" i="9"/>
  <c r="P21" i="7" s="1"/>
  <c r="V23" i="9"/>
  <c r="W23" i="9"/>
  <c r="X23" i="9"/>
  <c r="Y23" i="9"/>
  <c r="AB23" i="9"/>
  <c r="Q24" i="9"/>
  <c r="R24" i="9"/>
  <c r="U24" i="9"/>
  <c r="P22" i="7" s="1"/>
  <c r="V24" i="9"/>
  <c r="W24" i="9"/>
  <c r="X24" i="9"/>
  <c r="Y24" i="9"/>
  <c r="AB24" i="9"/>
  <c r="Q25" i="9"/>
  <c r="R25" i="9"/>
  <c r="U25" i="9"/>
  <c r="P23" i="7" s="1"/>
  <c r="V25" i="9"/>
  <c r="W25" i="9"/>
  <c r="X25" i="9"/>
  <c r="Y25" i="9"/>
  <c r="AB25" i="9"/>
  <c r="Q26" i="9"/>
  <c r="R26" i="9"/>
  <c r="U26" i="9"/>
  <c r="P24" i="7" s="1"/>
  <c r="V26" i="9"/>
  <c r="W26" i="9"/>
  <c r="X26" i="9"/>
  <c r="Y26" i="9"/>
  <c r="AA26" i="9"/>
  <c r="AB26" i="9"/>
  <c r="Q27" i="9"/>
  <c r="R27" i="9"/>
  <c r="U27" i="9"/>
  <c r="P25" i="7" s="1"/>
  <c r="V27" i="9"/>
  <c r="W27" i="9"/>
  <c r="X27" i="9"/>
  <c r="Y27" i="9"/>
  <c r="AA27" i="9"/>
  <c r="AB27" i="9"/>
  <c r="Q28" i="9"/>
  <c r="R28" i="9"/>
  <c r="U28" i="9"/>
  <c r="P26" i="7" s="1"/>
  <c r="V28" i="9"/>
  <c r="W28" i="9"/>
  <c r="X28" i="9"/>
  <c r="Y28" i="9"/>
  <c r="AA28" i="9"/>
  <c r="AB28" i="9"/>
  <c r="Q29" i="9"/>
  <c r="R29" i="9"/>
  <c r="U29" i="9"/>
  <c r="P27" i="7" s="1"/>
  <c r="V29" i="9"/>
  <c r="W29" i="9"/>
  <c r="X29" i="9"/>
  <c r="Y29" i="9"/>
  <c r="Z29" i="9"/>
  <c r="AA29" i="9"/>
  <c r="AB29" i="9"/>
  <c r="Q30" i="9"/>
  <c r="R30" i="9"/>
  <c r="U30" i="9"/>
  <c r="P28" i="7" s="1"/>
  <c r="V30" i="9"/>
  <c r="W30" i="9"/>
  <c r="X30" i="9"/>
  <c r="Y30" i="9"/>
  <c r="Z30" i="9"/>
  <c r="AA30" i="9"/>
  <c r="AB30" i="9"/>
  <c r="Q31" i="9"/>
  <c r="R31" i="9"/>
  <c r="U31" i="9"/>
  <c r="P29" i="7" s="1"/>
  <c r="V31" i="9"/>
  <c r="W31" i="9"/>
  <c r="X31" i="9"/>
  <c r="Y31" i="9"/>
  <c r="Z31" i="9"/>
  <c r="AA31" i="9"/>
  <c r="AB31" i="9"/>
  <c r="Q32" i="9"/>
  <c r="R32" i="9"/>
  <c r="U32" i="9"/>
  <c r="P30" i="7" s="1"/>
  <c r="V32" i="9"/>
  <c r="W32" i="9"/>
  <c r="X32" i="9"/>
  <c r="Y32" i="9"/>
  <c r="Z32" i="9"/>
  <c r="AA32" i="9"/>
  <c r="AB32" i="9"/>
  <c r="Q33" i="9"/>
  <c r="R33" i="9"/>
  <c r="U33" i="9"/>
  <c r="P31" i="7" s="1"/>
  <c r="V33" i="9"/>
  <c r="W33" i="9"/>
  <c r="X33" i="9"/>
  <c r="Y33" i="9"/>
  <c r="Z33" i="9"/>
  <c r="AA33" i="9"/>
  <c r="AB33" i="9"/>
  <c r="Q34" i="9"/>
  <c r="R34" i="9"/>
  <c r="U34" i="9"/>
  <c r="P32" i="7" s="1"/>
  <c r="V34" i="9"/>
  <c r="W34" i="9"/>
  <c r="X34" i="9"/>
  <c r="Y34" i="9"/>
  <c r="Z34" i="9"/>
  <c r="AA34" i="9"/>
  <c r="AB34" i="9"/>
  <c r="Q35" i="9"/>
  <c r="R35" i="9"/>
  <c r="U35" i="9"/>
  <c r="P33" i="7" s="1"/>
  <c r="V35" i="9"/>
  <c r="W35" i="9"/>
  <c r="X35" i="9"/>
  <c r="Y35" i="9"/>
  <c r="Z35" i="9"/>
  <c r="AA35" i="9"/>
  <c r="AB35" i="9"/>
  <c r="Q36" i="9"/>
  <c r="R36" i="9"/>
  <c r="U36" i="9"/>
  <c r="P34" i="7" s="1"/>
  <c r="V36" i="9"/>
  <c r="W36" i="9"/>
  <c r="X36" i="9"/>
  <c r="Y36" i="9"/>
  <c r="Z36" i="9"/>
  <c r="AA36" i="9"/>
  <c r="AB36" i="9"/>
  <c r="Q37" i="9"/>
  <c r="R37" i="9"/>
  <c r="U37" i="9"/>
  <c r="P35" i="7" s="1"/>
  <c r="V37" i="9"/>
  <c r="W37" i="9"/>
  <c r="X37" i="9"/>
  <c r="Y37" i="9"/>
  <c r="Z37" i="9"/>
  <c r="AA37" i="9"/>
  <c r="AB37" i="9"/>
  <c r="Q38" i="9"/>
  <c r="R38" i="9"/>
  <c r="U38" i="9"/>
  <c r="P36" i="7" s="1"/>
  <c r="V38" i="9"/>
  <c r="W38" i="9"/>
  <c r="X38" i="9"/>
  <c r="Y38" i="9"/>
  <c r="Z38" i="9"/>
  <c r="AA38" i="9"/>
  <c r="AB38" i="9"/>
  <c r="Q39" i="9"/>
  <c r="R39" i="9"/>
  <c r="U39" i="9"/>
  <c r="P37" i="7" s="1"/>
  <c r="V39" i="9"/>
  <c r="W39" i="9"/>
  <c r="X39" i="9"/>
  <c r="Y39" i="9"/>
  <c r="Z39" i="9"/>
  <c r="AA39" i="9"/>
  <c r="AB39" i="9"/>
  <c r="Q40" i="9"/>
  <c r="R40" i="9"/>
  <c r="U40" i="9"/>
  <c r="P38" i="7" s="1"/>
  <c r="V40" i="9"/>
  <c r="W40" i="9"/>
  <c r="X40" i="9"/>
  <c r="Y40" i="9"/>
  <c r="Z40" i="9"/>
  <c r="AA40" i="9"/>
  <c r="AB40" i="9"/>
  <c r="Q41" i="9"/>
  <c r="R41" i="9"/>
  <c r="U41" i="9"/>
  <c r="P39" i="7" s="1"/>
  <c r="V41" i="9"/>
  <c r="W41" i="9"/>
  <c r="X41" i="9"/>
  <c r="Y41" i="9"/>
  <c r="Z41" i="9"/>
  <c r="AA41" i="9"/>
  <c r="AB41" i="9"/>
  <c r="Q42" i="9"/>
  <c r="R42" i="9"/>
  <c r="U42" i="9"/>
  <c r="P40" i="7" s="1"/>
  <c r="V42" i="9"/>
  <c r="W42" i="9"/>
  <c r="X42" i="9"/>
  <c r="Y42" i="9"/>
  <c r="Z42" i="9"/>
  <c r="AA42" i="9"/>
  <c r="AB42" i="9"/>
  <c r="Q43" i="9"/>
  <c r="R43" i="9"/>
  <c r="U43" i="9"/>
  <c r="P41" i="7" s="1"/>
  <c r="V43" i="9"/>
  <c r="W43" i="9"/>
  <c r="X43" i="9"/>
  <c r="Y43" i="9"/>
  <c r="Z43" i="9"/>
  <c r="AA43" i="9"/>
  <c r="AB43" i="9"/>
  <c r="Q44" i="9"/>
  <c r="R44" i="9"/>
  <c r="U44" i="9"/>
  <c r="P42" i="7" s="1"/>
  <c r="V44" i="9"/>
  <c r="W44" i="9"/>
  <c r="X44" i="9"/>
  <c r="Y44" i="9"/>
  <c r="Z44" i="9"/>
  <c r="AA44" i="9"/>
  <c r="AB44" i="9"/>
  <c r="Q45" i="9"/>
  <c r="R45" i="9"/>
  <c r="U45" i="9"/>
  <c r="P43" i="7" s="1"/>
  <c r="V45" i="9"/>
  <c r="W45" i="9"/>
  <c r="X45" i="9"/>
  <c r="Y45" i="9"/>
  <c r="Z45" i="9"/>
  <c r="AA45" i="9"/>
  <c r="AB45" i="9"/>
  <c r="Q46" i="9"/>
  <c r="R46" i="9"/>
  <c r="U46" i="9"/>
  <c r="P44" i="7" s="1"/>
  <c r="V46" i="9"/>
  <c r="W46" i="9"/>
  <c r="X46" i="9"/>
  <c r="Y46" i="9"/>
  <c r="Z46" i="9"/>
  <c r="AA46" i="9"/>
  <c r="AB46" i="9"/>
  <c r="Q47" i="9"/>
  <c r="R47" i="9"/>
  <c r="U47" i="9"/>
  <c r="P45" i="7" s="1"/>
  <c r="V47" i="9"/>
  <c r="W47" i="9"/>
  <c r="X47" i="9"/>
  <c r="Y47" i="9"/>
  <c r="Z47" i="9"/>
  <c r="AA47" i="9"/>
  <c r="AB47" i="9"/>
  <c r="Q48" i="9"/>
  <c r="R48" i="9"/>
  <c r="U48" i="9"/>
  <c r="P46" i="7" s="1"/>
  <c r="V48" i="9"/>
  <c r="W48" i="9"/>
  <c r="X48" i="9"/>
  <c r="Y48" i="9"/>
  <c r="Z48" i="9"/>
  <c r="AB48" i="9"/>
  <c r="Q49" i="9"/>
  <c r="R49" i="9"/>
  <c r="U49" i="9"/>
  <c r="P47" i="7" s="1"/>
  <c r="V49" i="9"/>
  <c r="W49" i="9"/>
  <c r="X49" i="9"/>
  <c r="Y49" i="9"/>
  <c r="Z49" i="9"/>
  <c r="AB49" i="9"/>
  <c r="Q50" i="9"/>
  <c r="R50" i="9"/>
  <c r="U50" i="9"/>
  <c r="P48" i="7" s="1"/>
  <c r="V50" i="9"/>
  <c r="W50" i="9"/>
  <c r="X50" i="9"/>
  <c r="Y50" i="9"/>
  <c r="Z50" i="9"/>
  <c r="AB50" i="9"/>
  <c r="Q51" i="9"/>
  <c r="R51" i="9"/>
  <c r="U51" i="9"/>
  <c r="P49" i="7" s="1"/>
  <c r="V51" i="9"/>
  <c r="W51" i="9"/>
  <c r="X51" i="9"/>
  <c r="Y51" i="9"/>
  <c r="Z51" i="9"/>
  <c r="AB51" i="9"/>
  <c r="Q52" i="9"/>
  <c r="R52" i="9"/>
  <c r="U52" i="9"/>
  <c r="P50" i="7" s="1"/>
  <c r="V52" i="9"/>
  <c r="W52" i="9"/>
  <c r="X52" i="9"/>
  <c r="Y52" i="9"/>
  <c r="Z52" i="9"/>
  <c r="AB52" i="9"/>
  <c r="Q53" i="9"/>
  <c r="R53" i="9"/>
  <c r="U53" i="9"/>
  <c r="P51" i="7" s="1"/>
  <c r="V53" i="9"/>
  <c r="W53" i="9"/>
  <c r="X53" i="9"/>
  <c r="Y53" i="9"/>
  <c r="Z53" i="9"/>
  <c r="AB53" i="9"/>
  <c r="Q54" i="9"/>
  <c r="R54" i="9"/>
  <c r="U54" i="9"/>
  <c r="P52" i="7" s="1"/>
  <c r="V54" i="9"/>
  <c r="W54" i="9"/>
  <c r="X54" i="9"/>
  <c r="Y54" i="9"/>
  <c r="Z54" i="9"/>
  <c r="AB54" i="9"/>
  <c r="Q55" i="9"/>
  <c r="R55" i="9"/>
  <c r="U55" i="9"/>
  <c r="P53" i="7" s="1"/>
  <c r="V55" i="9"/>
  <c r="W55" i="9"/>
  <c r="X55" i="9"/>
  <c r="Y55" i="9"/>
  <c r="Z55" i="9"/>
  <c r="AB55" i="9"/>
  <c r="Q56" i="9"/>
  <c r="R56" i="9"/>
  <c r="U56" i="9"/>
  <c r="P54" i="7" s="1"/>
  <c r="V56" i="9"/>
  <c r="W56" i="9"/>
  <c r="X56" i="9"/>
  <c r="Y56" i="9"/>
  <c r="Z56" i="9"/>
  <c r="AB56" i="9"/>
  <c r="Q57" i="9"/>
  <c r="R57" i="9"/>
  <c r="U57" i="9"/>
  <c r="P55" i="7" s="1"/>
  <c r="V57" i="9"/>
  <c r="W57" i="9"/>
  <c r="X57" i="9"/>
  <c r="Y57" i="9"/>
  <c r="Z57" i="9"/>
  <c r="AA57" i="9"/>
  <c r="AB57" i="9"/>
  <c r="Q58" i="9"/>
  <c r="R58" i="9"/>
  <c r="U58" i="9"/>
  <c r="P56" i="7" s="1"/>
  <c r="V58" i="9"/>
  <c r="W58" i="9"/>
  <c r="X58" i="9"/>
  <c r="Y58" i="9"/>
  <c r="Z58" i="9"/>
  <c r="AA58" i="9"/>
  <c r="AB58" i="9"/>
  <c r="C4" i="9"/>
  <c r="D4" i="9"/>
  <c r="E4" i="9"/>
  <c r="F4" i="9"/>
  <c r="G4" i="9"/>
  <c r="H4" i="9"/>
  <c r="I4" i="9"/>
  <c r="K4" i="9"/>
  <c r="H2" i="7" s="1"/>
  <c r="L4" i="9"/>
  <c r="J2" i="7" s="1"/>
  <c r="M4" i="9"/>
  <c r="N4" i="9"/>
  <c r="O4" i="9"/>
  <c r="P4" i="9"/>
  <c r="C5" i="9"/>
  <c r="D5" i="9"/>
  <c r="E5" i="9"/>
  <c r="F5" i="9"/>
  <c r="G5" i="9"/>
  <c r="H5" i="9"/>
  <c r="I5" i="9"/>
  <c r="K5" i="9"/>
  <c r="H3" i="7" s="1"/>
  <c r="L5" i="9"/>
  <c r="J3" i="7" s="1"/>
  <c r="M5" i="9"/>
  <c r="N5" i="9"/>
  <c r="O5" i="9"/>
  <c r="P5" i="9"/>
  <c r="C6" i="9"/>
  <c r="D6" i="9"/>
  <c r="E6" i="9"/>
  <c r="F6" i="9"/>
  <c r="G6" i="9"/>
  <c r="H6" i="9"/>
  <c r="I6" i="9"/>
  <c r="K6" i="9"/>
  <c r="H4" i="7" s="1"/>
  <c r="L6" i="9"/>
  <c r="J4" i="7" s="1"/>
  <c r="M6" i="9"/>
  <c r="N6" i="9"/>
  <c r="O6" i="9"/>
  <c r="P6" i="9"/>
  <c r="C7" i="9"/>
  <c r="D7" i="9"/>
  <c r="E7" i="9"/>
  <c r="F7" i="9"/>
  <c r="G7" i="9"/>
  <c r="H7" i="9"/>
  <c r="I7" i="9"/>
  <c r="K7" i="9"/>
  <c r="H5" i="7" s="1"/>
  <c r="L7" i="9"/>
  <c r="J5" i="7" s="1"/>
  <c r="M7" i="9"/>
  <c r="N7" i="9"/>
  <c r="O7" i="9"/>
  <c r="P7" i="9"/>
  <c r="C8" i="9"/>
  <c r="D8" i="9"/>
  <c r="E8" i="9"/>
  <c r="F8" i="9"/>
  <c r="G8" i="9"/>
  <c r="H8" i="9"/>
  <c r="I8" i="9"/>
  <c r="K8" i="9"/>
  <c r="H6" i="7" s="1"/>
  <c r="L8" i="9"/>
  <c r="J6" i="7" s="1"/>
  <c r="M8" i="9"/>
  <c r="N8" i="9"/>
  <c r="O8" i="9"/>
  <c r="P8" i="9"/>
  <c r="C9" i="9"/>
  <c r="D9" i="9"/>
  <c r="E9" i="9"/>
  <c r="F9" i="9"/>
  <c r="G9" i="9"/>
  <c r="H9" i="9"/>
  <c r="I9" i="9"/>
  <c r="K9" i="9"/>
  <c r="H7" i="7" s="1"/>
  <c r="L9" i="9"/>
  <c r="J7" i="7" s="1"/>
  <c r="M9" i="9"/>
  <c r="N9" i="9"/>
  <c r="O9" i="9"/>
  <c r="P9" i="9"/>
  <c r="C10" i="9"/>
  <c r="D10" i="9"/>
  <c r="E10" i="9"/>
  <c r="F10" i="9"/>
  <c r="G10" i="9"/>
  <c r="H10" i="9"/>
  <c r="I10" i="9"/>
  <c r="K10" i="9"/>
  <c r="H8" i="7" s="1"/>
  <c r="L10" i="9"/>
  <c r="J8" i="7" s="1"/>
  <c r="M10" i="9"/>
  <c r="N10" i="9"/>
  <c r="O10" i="9"/>
  <c r="P10" i="9"/>
  <c r="C11" i="9"/>
  <c r="D11" i="9"/>
  <c r="E11" i="9"/>
  <c r="F11" i="9"/>
  <c r="G11" i="9"/>
  <c r="H11" i="9"/>
  <c r="I11" i="9"/>
  <c r="K11" i="9"/>
  <c r="H9" i="7" s="1"/>
  <c r="L11" i="9"/>
  <c r="J9" i="7" s="1"/>
  <c r="M11" i="9"/>
  <c r="N11" i="9"/>
  <c r="O11" i="9"/>
  <c r="P11" i="9"/>
  <c r="C12" i="9"/>
  <c r="D12" i="9"/>
  <c r="E12" i="9"/>
  <c r="F12" i="9"/>
  <c r="G12" i="9"/>
  <c r="H12" i="9"/>
  <c r="I12" i="9"/>
  <c r="K12" i="9"/>
  <c r="H10" i="7" s="1"/>
  <c r="L12" i="9"/>
  <c r="J10" i="7" s="1"/>
  <c r="M12" i="9"/>
  <c r="N12" i="9"/>
  <c r="O12" i="9"/>
  <c r="P12" i="9"/>
  <c r="C13" i="9"/>
  <c r="D13" i="9"/>
  <c r="E13" i="9"/>
  <c r="F13" i="9"/>
  <c r="G13" i="9"/>
  <c r="H13" i="9"/>
  <c r="I13" i="9"/>
  <c r="K13" i="9"/>
  <c r="H11" i="7" s="1"/>
  <c r="L13" i="9"/>
  <c r="J11" i="7" s="1"/>
  <c r="M13" i="9"/>
  <c r="N13" i="9"/>
  <c r="O13" i="9"/>
  <c r="P13" i="9"/>
  <c r="C14" i="9"/>
  <c r="D14" i="9"/>
  <c r="E14" i="9"/>
  <c r="F14" i="9"/>
  <c r="G14" i="9"/>
  <c r="H14" i="9"/>
  <c r="I14" i="9"/>
  <c r="K14" i="9"/>
  <c r="H12" i="7" s="1"/>
  <c r="L14" i="9"/>
  <c r="J12" i="7" s="1"/>
  <c r="M14" i="9"/>
  <c r="N14" i="9"/>
  <c r="O14" i="9"/>
  <c r="P14" i="9"/>
  <c r="C15" i="9"/>
  <c r="D15" i="9"/>
  <c r="E15" i="9"/>
  <c r="F15" i="9"/>
  <c r="G15" i="9"/>
  <c r="H15" i="9"/>
  <c r="I15" i="9"/>
  <c r="K15" i="9"/>
  <c r="H13" i="7" s="1"/>
  <c r="L15" i="9"/>
  <c r="J13" i="7" s="1"/>
  <c r="M15" i="9"/>
  <c r="N15" i="9"/>
  <c r="O15" i="9"/>
  <c r="P15" i="9"/>
  <c r="C16" i="9"/>
  <c r="D16" i="9"/>
  <c r="E16" i="9"/>
  <c r="F16" i="9"/>
  <c r="G16" i="9"/>
  <c r="H16" i="9"/>
  <c r="I16" i="9"/>
  <c r="K16" i="9"/>
  <c r="H14" i="7" s="1"/>
  <c r="L16" i="9"/>
  <c r="J14" i="7" s="1"/>
  <c r="M16" i="9"/>
  <c r="N16" i="9"/>
  <c r="O16" i="9"/>
  <c r="P16" i="9"/>
  <c r="C17" i="9"/>
  <c r="D17" i="9"/>
  <c r="E17" i="9"/>
  <c r="F17" i="9"/>
  <c r="G17" i="9"/>
  <c r="H17" i="9"/>
  <c r="I17" i="9"/>
  <c r="K17" i="9"/>
  <c r="H15" i="7" s="1"/>
  <c r="L17" i="9"/>
  <c r="J15" i="7" s="1"/>
  <c r="M17" i="9"/>
  <c r="N17" i="9"/>
  <c r="O17" i="9"/>
  <c r="P17" i="9"/>
  <c r="C18" i="9"/>
  <c r="D18" i="9"/>
  <c r="E18" i="9"/>
  <c r="F18" i="9"/>
  <c r="G18" i="9"/>
  <c r="H18" i="9"/>
  <c r="I18" i="9"/>
  <c r="K18" i="9"/>
  <c r="H16" i="7" s="1"/>
  <c r="L18" i="9"/>
  <c r="J16" i="7" s="1"/>
  <c r="M18" i="9"/>
  <c r="N18" i="9"/>
  <c r="O18" i="9"/>
  <c r="P18" i="9"/>
  <c r="C19" i="9"/>
  <c r="D19" i="9"/>
  <c r="E19" i="9"/>
  <c r="F19" i="9"/>
  <c r="G19" i="9"/>
  <c r="H19" i="9"/>
  <c r="I19" i="9"/>
  <c r="K19" i="9"/>
  <c r="H17" i="7" s="1"/>
  <c r="L19" i="9"/>
  <c r="J17" i="7" s="1"/>
  <c r="M19" i="9"/>
  <c r="N19" i="9"/>
  <c r="O19" i="9"/>
  <c r="P19" i="9"/>
  <c r="C20" i="9"/>
  <c r="D20" i="9"/>
  <c r="E20" i="9"/>
  <c r="F20" i="9"/>
  <c r="G20" i="9"/>
  <c r="H20" i="9"/>
  <c r="I20" i="9"/>
  <c r="K20" i="9"/>
  <c r="H18" i="7" s="1"/>
  <c r="L20" i="9"/>
  <c r="J18" i="7" s="1"/>
  <c r="M20" i="9"/>
  <c r="N20" i="9"/>
  <c r="O20" i="9"/>
  <c r="P20" i="9"/>
  <c r="C21" i="9"/>
  <c r="D21" i="9"/>
  <c r="E21" i="9"/>
  <c r="F21" i="9"/>
  <c r="G21" i="9"/>
  <c r="H21" i="9"/>
  <c r="I21" i="9"/>
  <c r="K21" i="9"/>
  <c r="H19" i="7" s="1"/>
  <c r="L21" i="9"/>
  <c r="J19" i="7" s="1"/>
  <c r="M21" i="9"/>
  <c r="N21" i="9"/>
  <c r="O21" i="9"/>
  <c r="P21" i="9"/>
  <c r="C22" i="9"/>
  <c r="D22" i="9"/>
  <c r="E22" i="9"/>
  <c r="F22" i="9"/>
  <c r="G22" i="9"/>
  <c r="H22" i="9"/>
  <c r="I22" i="9"/>
  <c r="K22" i="9"/>
  <c r="H20" i="7" s="1"/>
  <c r="L22" i="9"/>
  <c r="J20" i="7" s="1"/>
  <c r="M22" i="9"/>
  <c r="N22" i="9"/>
  <c r="O22" i="9"/>
  <c r="P22" i="9"/>
  <c r="C23" i="9"/>
  <c r="D23" i="9"/>
  <c r="E23" i="9"/>
  <c r="F23" i="9"/>
  <c r="G23" i="9"/>
  <c r="H23" i="9"/>
  <c r="I23" i="9"/>
  <c r="K23" i="9"/>
  <c r="H21" i="7" s="1"/>
  <c r="L23" i="9"/>
  <c r="J21" i="7" s="1"/>
  <c r="M23" i="9"/>
  <c r="N23" i="9"/>
  <c r="O23" i="9"/>
  <c r="P23" i="9"/>
  <c r="C24" i="9"/>
  <c r="D24" i="9"/>
  <c r="E24" i="9"/>
  <c r="F24" i="9"/>
  <c r="G24" i="9"/>
  <c r="H24" i="9"/>
  <c r="I24" i="9"/>
  <c r="K24" i="9"/>
  <c r="H22" i="7" s="1"/>
  <c r="L24" i="9"/>
  <c r="J22" i="7" s="1"/>
  <c r="M24" i="9"/>
  <c r="N24" i="9"/>
  <c r="O24" i="9"/>
  <c r="P24" i="9"/>
  <c r="C25" i="9"/>
  <c r="D25" i="9"/>
  <c r="E25" i="9"/>
  <c r="F25" i="9"/>
  <c r="G25" i="9"/>
  <c r="H25" i="9"/>
  <c r="I25" i="9"/>
  <c r="K25" i="9"/>
  <c r="H23" i="7" s="1"/>
  <c r="L25" i="9"/>
  <c r="J23" i="7" s="1"/>
  <c r="M25" i="9"/>
  <c r="N25" i="9"/>
  <c r="O25" i="9"/>
  <c r="P25" i="9"/>
  <c r="C26" i="9"/>
  <c r="D26" i="9"/>
  <c r="E26" i="9"/>
  <c r="F26" i="9"/>
  <c r="G26" i="9"/>
  <c r="H26" i="9"/>
  <c r="I26" i="9"/>
  <c r="K26" i="9"/>
  <c r="H24" i="7" s="1"/>
  <c r="L26" i="9"/>
  <c r="J24" i="7" s="1"/>
  <c r="M26" i="9"/>
  <c r="N26" i="9"/>
  <c r="O26" i="9"/>
  <c r="P26" i="9"/>
  <c r="C27" i="9"/>
  <c r="D27" i="9"/>
  <c r="E27" i="9"/>
  <c r="F27" i="9"/>
  <c r="G27" i="9"/>
  <c r="H27" i="9"/>
  <c r="I27" i="9"/>
  <c r="K27" i="9"/>
  <c r="H25" i="7" s="1"/>
  <c r="L27" i="9"/>
  <c r="J25" i="7" s="1"/>
  <c r="M27" i="9"/>
  <c r="N27" i="9"/>
  <c r="O27" i="9"/>
  <c r="P27" i="9"/>
  <c r="C28" i="9"/>
  <c r="D28" i="9"/>
  <c r="E28" i="9"/>
  <c r="F28" i="9"/>
  <c r="G28" i="9"/>
  <c r="H28" i="9"/>
  <c r="I28" i="9"/>
  <c r="K28" i="9"/>
  <c r="H26" i="7" s="1"/>
  <c r="L28" i="9"/>
  <c r="J26" i="7" s="1"/>
  <c r="M28" i="9"/>
  <c r="N28" i="9"/>
  <c r="O28" i="9"/>
  <c r="P28" i="9"/>
  <c r="C29" i="9"/>
  <c r="D29" i="9"/>
  <c r="E29" i="9"/>
  <c r="F29" i="9"/>
  <c r="G29" i="9"/>
  <c r="H29" i="9"/>
  <c r="I29" i="9"/>
  <c r="K29" i="9"/>
  <c r="H27" i="7" s="1"/>
  <c r="L29" i="9"/>
  <c r="J27" i="7" s="1"/>
  <c r="M29" i="9"/>
  <c r="N29" i="9"/>
  <c r="O29" i="9"/>
  <c r="P29" i="9"/>
  <c r="C30" i="9"/>
  <c r="D30" i="9"/>
  <c r="E30" i="9"/>
  <c r="F30" i="9"/>
  <c r="G30" i="9"/>
  <c r="H30" i="9"/>
  <c r="I30" i="9"/>
  <c r="K30" i="9"/>
  <c r="H28" i="7" s="1"/>
  <c r="L30" i="9"/>
  <c r="J28" i="7" s="1"/>
  <c r="M30" i="9"/>
  <c r="N30" i="9"/>
  <c r="O30" i="9"/>
  <c r="P30" i="9"/>
  <c r="C31" i="9"/>
  <c r="D31" i="9"/>
  <c r="E31" i="9"/>
  <c r="F31" i="9"/>
  <c r="G31" i="9"/>
  <c r="H31" i="9"/>
  <c r="I31" i="9"/>
  <c r="K31" i="9"/>
  <c r="H29" i="7" s="1"/>
  <c r="L31" i="9"/>
  <c r="J29" i="7" s="1"/>
  <c r="M31" i="9"/>
  <c r="N31" i="9"/>
  <c r="O31" i="9"/>
  <c r="P31" i="9"/>
  <c r="C32" i="9"/>
  <c r="D32" i="9"/>
  <c r="E32" i="9"/>
  <c r="F32" i="9"/>
  <c r="G32" i="9"/>
  <c r="H32" i="9"/>
  <c r="I32" i="9"/>
  <c r="K32" i="9"/>
  <c r="H30" i="7" s="1"/>
  <c r="L32" i="9"/>
  <c r="J30" i="7" s="1"/>
  <c r="M32" i="9"/>
  <c r="N32" i="9"/>
  <c r="O32" i="9"/>
  <c r="P32" i="9"/>
  <c r="C33" i="9"/>
  <c r="D33" i="9"/>
  <c r="E33" i="9"/>
  <c r="F33" i="9"/>
  <c r="G33" i="9"/>
  <c r="H33" i="9"/>
  <c r="I33" i="9"/>
  <c r="K33" i="9"/>
  <c r="H31" i="7" s="1"/>
  <c r="L33" i="9"/>
  <c r="J31" i="7" s="1"/>
  <c r="M33" i="9"/>
  <c r="N33" i="9"/>
  <c r="O33" i="9"/>
  <c r="P33" i="9"/>
  <c r="C34" i="9"/>
  <c r="D34" i="9"/>
  <c r="E34" i="9"/>
  <c r="F34" i="9"/>
  <c r="G34" i="9"/>
  <c r="H34" i="9"/>
  <c r="I34" i="9"/>
  <c r="K34" i="9"/>
  <c r="H32" i="7" s="1"/>
  <c r="L34" i="9"/>
  <c r="J32" i="7" s="1"/>
  <c r="M34" i="9"/>
  <c r="N34" i="9"/>
  <c r="O34" i="9"/>
  <c r="P34" i="9"/>
  <c r="C35" i="9"/>
  <c r="D35" i="9"/>
  <c r="E35" i="9"/>
  <c r="F35" i="9"/>
  <c r="G35" i="9"/>
  <c r="H35" i="9"/>
  <c r="I35" i="9"/>
  <c r="K35" i="9"/>
  <c r="H33" i="7" s="1"/>
  <c r="L35" i="9"/>
  <c r="J33" i="7" s="1"/>
  <c r="M35" i="9"/>
  <c r="N35" i="9"/>
  <c r="O35" i="9"/>
  <c r="P35" i="9"/>
  <c r="C36" i="9"/>
  <c r="D36" i="9"/>
  <c r="E36" i="9"/>
  <c r="F36" i="9"/>
  <c r="G36" i="9"/>
  <c r="H36" i="9"/>
  <c r="I36" i="9"/>
  <c r="K36" i="9"/>
  <c r="H34" i="7" s="1"/>
  <c r="L36" i="9"/>
  <c r="J34" i="7" s="1"/>
  <c r="M36" i="9"/>
  <c r="N36" i="9"/>
  <c r="O36" i="9"/>
  <c r="P36" i="9"/>
  <c r="C37" i="9"/>
  <c r="D37" i="9"/>
  <c r="E37" i="9"/>
  <c r="F37" i="9"/>
  <c r="G37" i="9"/>
  <c r="H37" i="9"/>
  <c r="I37" i="9"/>
  <c r="K37" i="9"/>
  <c r="H35" i="7" s="1"/>
  <c r="L37" i="9"/>
  <c r="J35" i="7" s="1"/>
  <c r="M37" i="9"/>
  <c r="N37" i="9"/>
  <c r="O37" i="9"/>
  <c r="P37" i="9"/>
  <c r="C38" i="9"/>
  <c r="D38" i="9"/>
  <c r="E38" i="9"/>
  <c r="F38" i="9"/>
  <c r="G38" i="9"/>
  <c r="H38" i="9"/>
  <c r="I38" i="9"/>
  <c r="K38" i="9"/>
  <c r="H36" i="7" s="1"/>
  <c r="L38" i="9"/>
  <c r="J36" i="7" s="1"/>
  <c r="M38" i="9"/>
  <c r="N38" i="9"/>
  <c r="O38" i="9"/>
  <c r="P38" i="9"/>
  <c r="C39" i="9"/>
  <c r="D39" i="9"/>
  <c r="E39" i="9"/>
  <c r="F39" i="9"/>
  <c r="G39" i="9"/>
  <c r="H39" i="9"/>
  <c r="I39" i="9"/>
  <c r="K39" i="9"/>
  <c r="H37" i="7" s="1"/>
  <c r="L39" i="9"/>
  <c r="J37" i="7" s="1"/>
  <c r="M39" i="9"/>
  <c r="N39" i="9"/>
  <c r="O39" i="9"/>
  <c r="P39" i="9"/>
  <c r="C40" i="9"/>
  <c r="D40" i="9"/>
  <c r="E40" i="9"/>
  <c r="F40" i="9"/>
  <c r="G40" i="9"/>
  <c r="H40" i="9"/>
  <c r="I40" i="9"/>
  <c r="K40" i="9"/>
  <c r="H38" i="7" s="1"/>
  <c r="L40" i="9"/>
  <c r="J38" i="7" s="1"/>
  <c r="M40" i="9"/>
  <c r="N40" i="9"/>
  <c r="O40" i="9"/>
  <c r="P40" i="9"/>
  <c r="C41" i="9"/>
  <c r="D41" i="9"/>
  <c r="E41" i="9"/>
  <c r="F41" i="9"/>
  <c r="G41" i="9"/>
  <c r="H41" i="9"/>
  <c r="I41" i="9"/>
  <c r="K41" i="9"/>
  <c r="H39" i="7" s="1"/>
  <c r="L41" i="9"/>
  <c r="J39" i="7" s="1"/>
  <c r="M41" i="9"/>
  <c r="N41" i="9"/>
  <c r="O41" i="9"/>
  <c r="P41" i="9"/>
  <c r="C42" i="9"/>
  <c r="D42" i="9"/>
  <c r="E42" i="9"/>
  <c r="F42" i="9"/>
  <c r="G42" i="9"/>
  <c r="H42" i="9"/>
  <c r="I42" i="9"/>
  <c r="K42" i="9"/>
  <c r="H40" i="7" s="1"/>
  <c r="L42" i="9"/>
  <c r="J40" i="7" s="1"/>
  <c r="M42" i="9"/>
  <c r="N42" i="9"/>
  <c r="O42" i="9"/>
  <c r="P42" i="9"/>
  <c r="C43" i="9"/>
  <c r="D43" i="9"/>
  <c r="E43" i="9"/>
  <c r="F43" i="9"/>
  <c r="G43" i="9"/>
  <c r="H43" i="9"/>
  <c r="I43" i="9"/>
  <c r="K43" i="9"/>
  <c r="H41" i="7" s="1"/>
  <c r="L43" i="9"/>
  <c r="J41" i="7" s="1"/>
  <c r="M43" i="9"/>
  <c r="N43" i="9"/>
  <c r="O43" i="9"/>
  <c r="P43" i="9"/>
  <c r="C44" i="9"/>
  <c r="D44" i="9"/>
  <c r="E44" i="9"/>
  <c r="F44" i="9"/>
  <c r="G44" i="9"/>
  <c r="H44" i="9"/>
  <c r="I44" i="9"/>
  <c r="K44" i="9"/>
  <c r="H42" i="7" s="1"/>
  <c r="L44" i="9"/>
  <c r="J42" i="7" s="1"/>
  <c r="M44" i="9"/>
  <c r="N44" i="9"/>
  <c r="O44" i="9"/>
  <c r="P44" i="9"/>
  <c r="C45" i="9"/>
  <c r="D45" i="9"/>
  <c r="E45" i="9"/>
  <c r="F45" i="9"/>
  <c r="G45" i="9"/>
  <c r="H45" i="9"/>
  <c r="I45" i="9"/>
  <c r="K45" i="9"/>
  <c r="H43" i="7" s="1"/>
  <c r="L45" i="9"/>
  <c r="J43" i="7" s="1"/>
  <c r="M45" i="9"/>
  <c r="N45" i="9"/>
  <c r="O45" i="9"/>
  <c r="P45" i="9"/>
  <c r="C46" i="9"/>
  <c r="D46" i="9"/>
  <c r="E46" i="9"/>
  <c r="F46" i="9"/>
  <c r="G46" i="9"/>
  <c r="H46" i="9"/>
  <c r="I46" i="9"/>
  <c r="K46" i="9"/>
  <c r="H44" i="7" s="1"/>
  <c r="L46" i="9"/>
  <c r="J44" i="7" s="1"/>
  <c r="M46" i="9"/>
  <c r="N46" i="9"/>
  <c r="O46" i="9"/>
  <c r="P46" i="9"/>
  <c r="C47" i="9"/>
  <c r="D47" i="9"/>
  <c r="E47" i="9"/>
  <c r="F47" i="9"/>
  <c r="G47" i="9"/>
  <c r="H47" i="9"/>
  <c r="I47" i="9"/>
  <c r="K47" i="9"/>
  <c r="H45" i="7" s="1"/>
  <c r="L47" i="9"/>
  <c r="J45" i="7" s="1"/>
  <c r="M47" i="9"/>
  <c r="N47" i="9"/>
  <c r="O47" i="9"/>
  <c r="P47" i="9"/>
  <c r="C48" i="9"/>
  <c r="D48" i="9"/>
  <c r="E48" i="9"/>
  <c r="F48" i="9"/>
  <c r="G48" i="9"/>
  <c r="H48" i="9"/>
  <c r="I48" i="9"/>
  <c r="K48" i="9"/>
  <c r="H46" i="7" s="1"/>
  <c r="L48" i="9"/>
  <c r="J46" i="7" s="1"/>
  <c r="M48" i="9"/>
  <c r="N48" i="9"/>
  <c r="O48" i="9"/>
  <c r="P48" i="9"/>
  <c r="C49" i="9"/>
  <c r="D49" i="9"/>
  <c r="E49" i="9"/>
  <c r="F49" i="9"/>
  <c r="G49" i="9"/>
  <c r="H49" i="9"/>
  <c r="I49" i="9"/>
  <c r="K49" i="9"/>
  <c r="H47" i="7" s="1"/>
  <c r="L49" i="9"/>
  <c r="J47" i="7" s="1"/>
  <c r="M49" i="9"/>
  <c r="N49" i="9"/>
  <c r="O49" i="9"/>
  <c r="P49" i="9"/>
  <c r="C50" i="9"/>
  <c r="D50" i="9"/>
  <c r="E50" i="9"/>
  <c r="F50" i="9"/>
  <c r="G50" i="9"/>
  <c r="H50" i="9"/>
  <c r="I50" i="9"/>
  <c r="K50" i="9"/>
  <c r="H48" i="7" s="1"/>
  <c r="L50" i="9"/>
  <c r="J48" i="7" s="1"/>
  <c r="M50" i="9"/>
  <c r="N50" i="9"/>
  <c r="O50" i="9"/>
  <c r="P50" i="9"/>
  <c r="C51" i="9"/>
  <c r="D51" i="9"/>
  <c r="E51" i="9"/>
  <c r="F51" i="9"/>
  <c r="G51" i="9"/>
  <c r="H51" i="9"/>
  <c r="I51" i="9"/>
  <c r="K51" i="9"/>
  <c r="H49" i="7" s="1"/>
  <c r="L51" i="9"/>
  <c r="J49" i="7" s="1"/>
  <c r="M51" i="9"/>
  <c r="N51" i="9"/>
  <c r="O51" i="9"/>
  <c r="P51" i="9"/>
  <c r="C52" i="9"/>
  <c r="D52" i="9"/>
  <c r="E52" i="9"/>
  <c r="F52" i="9"/>
  <c r="G52" i="9"/>
  <c r="H52" i="9"/>
  <c r="I52" i="9"/>
  <c r="K52" i="9"/>
  <c r="H50" i="7" s="1"/>
  <c r="L52" i="9"/>
  <c r="J50" i="7" s="1"/>
  <c r="M52" i="9"/>
  <c r="N52" i="9"/>
  <c r="O52" i="9"/>
  <c r="P52" i="9"/>
  <c r="C53" i="9"/>
  <c r="D53" i="9"/>
  <c r="E53" i="9"/>
  <c r="F53" i="9"/>
  <c r="G53" i="9"/>
  <c r="H53" i="9"/>
  <c r="I53" i="9"/>
  <c r="K53" i="9"/>
  <c r="H51" i="7" s="1"/>
  <c r="L53" i="9"/>
  <c r="J51" i="7" s="1"/>
  <c r="M53" i="9"/>
  <c r="N53" i="9"/>
  <c r="O53" i="9"/>
  <c r="P53" i="9"/>
  <c r="C54" i="9"/>
  <c r="D54" i="9"/>
  <c r="E54" i="9"/>
  <c r="F54" i="9"/>
  <c r="G54" i="9"/>
  <c r="H54" i="9"/>
  <c r="I54" i="9"/>
  <c r="K54" i="9"/>
  <c r="H52" i="7" s="1"/>
  <c r="L54" i="9"/>
  <c r="J52" i="7" s="1"/>
  <c r="M54" i="9"/>
  <c r="N54" i="9"/>
  <c r="O54" i="9"/>
  <c r="P54" i="9"/>
  <c r="C55" i="9"/>
  <c r="D55" i="9"/>
  <c r="E55" i="9"/>
  <c r="F55" i="9"/>
  <c r="G55" i="9"/>
  <c r="H55" i="9"/>
  <c r="I55" i="9"/>
  <c r="K55" i="9"/>
  <c r="H53" i="7" s="1"/>
  <c r="L55" i="9"/>
  <c r="J53" i="7" s="1"/>
  <c r="M55" i="9"/>
  <c r="N55" i="9"/>
  <c r="O55" i="9"/>
  <c r="P55" i="9"/>
  <c r="C56" i="9"/>
  <c r="D56" i="9"/>
  <c r="E56" i="9"/>
  <c r="F56" i="9"/>
  <c r="G56" i="9"/>
  <c r="H56" i="9"/>
  <c r="I56" i="9"/>
  <c r="K56" i="9"/>
  <c r="H54" i="7" s="1"/>
  <c r="L56" i="9"/>
  <c r="J54" i="7" s="1"/>
  <c r="M56" i="9"/>
  <c r="N56" i="9"/>
  <c r="O56" i="9"/>
  <c r="P56" i="9"/>
  <c r="C57" i="9"/>
  <c r="D57" i="9"/>
  <c r="E57" i="9"/>
  <c r="F57" i="9"/>
  <c r="G57" i="9"/>
  <c r="H57" i="9"/>
  <c r="I57" i="9"/>
  <c r="K57" i="9"/>
  <c r="H55" i="7" s="1"/>
  <c r="L57" i="9"/>
  <c r="J55" i="7" s="1"/>
  <c r="M57" i="9"/>
  <c r="N57" i="9"/>
  <c r="O57" i="9"/>
  <c r="P57" i="9"/>
  <c r="C58" i="9"/>
  <c r="D58" i="9"/>
  <c r="E58" i="9"/>
  <c r="F58" i="9"/>
  <c r="G58" i="9"/>
  <c r="H58" i="9"/>
  <c r="I58" i="9"/>
  <c r="K58" i="9"/>
  <c r="H56" i="7" s="1"/>
  <c r="L58" i="9"/>
  <c r="J56" i="7" s="1"/>
  <c r="M58" i="9"/>
  <c r="N58" i="9"/>
  <c r="O58" i="9"/>
  <c r="P58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E4" i="7" l="1"/>
  <c r="E2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J54" i="9"/>
  <c r="J52" i="9"/>
  <c r="J50" i="9"/>
  <c r="J48" i="9"/>
  <c r="J46" i="9"/>
  <c r="J44" i="9"/>
  <c r="J42" i="9"/>
  <c r="J40" i="9"/>
  <c r="J38" i="9"/>
  <c r="J36" i="9"/>
  <c r="J34" i="9"/>
  <c r="J32" i="9"/>
  <c r="J30" i="9"/>
  <c r="J28" i="9"/>
  <c r="J26" i="9"/>
  <c r="J24" i="9"/>
  <c r="J22" i="9"/>
  <c r="J20" i="9"/>
  <c r="J18" i="9"/>
  <c r="J16" i="9"/>
  <c r="J14" i="9"/>
  <c r="J12" i="9"/>
  <c r="J10" i="9"/>
  <c r="J8" i="9"/>
  <c r="J6" i="9"/>
  <c r="J4" i="9"/>
  <c r="J58" i="9"/>
  <c r="J56" i="9"/>
  <c r="J57" i="9"/>
  <c r="J55" i="9"/>
  <c r="J53" i="9"/>
  <c r="J51" i="9"/>
  <c r="J49" i="9"/>
  <c r="J47" i="9"/>
  <c r="J45" i="9"/>
  <c r="J43" i="9"/>
  <c r="J41" i="9"/>
  <c r="J39" i="9"/>
  <c r="J37" i="9"/>
  <c r="J35" i="9"/>
  <c r="J33" i="9"/>
  <c r="J31" i="9"/>
  <c r="J29" i="9"/>
  <c r="J27" i="9"/>
  <c r="J25" i="9"/>
  <c r="J23" i="9"/>
  <c r="J21" i="9"/>
  <c r="J19" i="9"/>
  <c r="J17" i="9"/>
  <c r="J15" i="9"/>
  <c r="J13" i="9"/>
  <c r="J11" i="9"/>
  <c r="J9" i="9"/>
  <c r="J7" i="9"/>
  <c r="J5" i="9"/>
  <c r="L2" i="7"/>
  <c r="D2" i="7" s="1"/>
  <c r="E55" i="7"/>
  <c r="E53" i="7"/>
  <c r="E51" i="7"/>
  <c r="E49" i="7"/>
  <c r="E47" i="7"/>
  <c r="E45" i="7"/>
  <c r="E43" i="7"/>
  <c r="E41" i="7"/>
  <c r="E39" i="7"/>
  <c r="E37" i="7"/>
  <c r="E35" i="7"/>
  <c r="E33" i="7"/>
  <c r="E31" i="7"/>
  <c r="E29" i="7"/>
  <c r="E27" i="7"/>
  <c r="E25" i="7"/>
  <c r="E23" i="7"/>
  <c r="E21" i="7"/>
  <c r="E19" i="7"/>
  <c r="E17" i="7"/>
  <c r="E15" i="7"/>
  <c r="E13" i="7"/>
  <c r="E11" i="7"/>
  <c r="E9" i="7"/>
  <c r="E7" i="7"/>
  <c r="E5" i="7"/>
  <c r="E3" i="7"/>
  <c r="E56" i="7"/>
  <c r="E54" i="7"/>
  <c r="E52" i="7"/>
  <c r="E50" i="7"/>
  <c r="B50" i="7" s="1"/>
  <c r="E48" i="7"/>
  <c r="E46" i="7"/>
  <c r="E44" i="7"/>
  <c r="E42" i="7"/>
  <c r="E40" i="7"/>
  <c r="E38" i="7"/>
  <c r="E36" i="7"/>
  <c r="E34" i="7"/>
  <c r="E32" i="7"/>
  <c r="E30" i="7"/>
  <c r="E28" i="7"/>
  <c r="E26" i="7"/>
  <c r="E24" i="7"/>
  <c r="E22" i="7"/>
  <c r="E20" i="7"/>
  <c r="E18" i="7"/>
  <c r="E16" i="7"/>
  <c r="E14" i="7"/>
  <c r="E12" i="7"/>
  <c r="E10" i="7"/>
  <c r="E6" i="7"/>
  <c r="E8" i="7"/>
  <c r="C56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18" i="7"/>
  <c r="C16" i="7"/>
  <c r="C14" i="7"/>
  <c r="C12" i="7"/>
  <c r="C10" i="7"/>
  <c r="C8" i="7"/>
  <c r="C6" i="7"/>
  <c r="C4" i="7"/>
  <c r="C55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C7" i="7"/>
  <c r="C5" i="7"/>
  <c r="C3" i="7"/>
  <c r="C20" i="7"/>
  <c r="U18" i="1"/>
  <c r="U13" i="1"/>
  <c r="U14" i="1"/>
  <c r="U15" i="1"/>
  <c r="U12" i="1"/>
  <c r="B6" i="7" l="1"/>
  <c r="B20" i="7"/>
  <c r="B24" i="7"/>
  <c r="B28" i="7"/>
  <c r="B32" i="7"/>
  <c r="B36" i="7"/>
  <c r="B40" i="7"/>
  <c r="B44" i="7"/>
  <c r="B48" i="7"/>
  <c r="B52" i="7"/>
  <c r="B56" i="7"/>
  <c r="B8" i="7"/>
  <c r="B12" i="7"/>
  <c r="B5" i="7"/>
  <c r="B9" i="7"/>
  <c r="B13" i="7"/>
  <c r="B17" i="7"/>
  <c r="B21" i="7"/>
  <c r="B25" i="7"/>
  <c r="B29" i="7"/>
  <c r="B33" i="7"/>
  <c r="B37" i="7"/>
  <c r="B41" i="7"/>
  <c r="B45" i="7"/>
  <c r="B49" i="7"/>
  <c r="B53" i="7"/>
  <c r="B16" i="7"/>
  <c r="B4" i="7"/>
  <c r="B10" i="7"/>
  <c r="B14" i="7"/>
  <c r="B18" i="7"/>
  <c r="B22" i="7"/>
  <c r="B26" i="7"/>
  <c r="B30" i="7"/>
  <c r="B34" i="7"/>
  <c r="B38" i="7"/>
  <c r="B42" i="7"/>
  <c r="B46" i="7"/>
  <c r="B54" i="7"/>
  <c r="B3" i="7"/>
  <c r="B7" i="7"/>
  <c r="B11" i="7"/>
  <c r="B15" i="7"/>
  <c r="B19" i="7"/>
  <c r="B23" i="7"/>
  <c r="B27" i="7"/>
  <c r="B31" i="7"/>
  <c r="B35" i="7"/>
  <c r="B39" i="7"/>
  <c r="B43" i="7"/>
  <c r="B47" i="7"/>
  <c r="B51" i="7"/>
  <c r="B55" i="7"/>
  <c r="B2" i="7"/>
  <c r="O17" i="1"/>
</calcChain>
</file>

<file path=xl/sharedStrings.xml><?xml version="1.0" encoding="utf-8"?>
<sst xmlns="http://schemas.openxmlformats.org/spreadsheetml/2006/main" count="827" uniqueCount="165">
  <si>
    <t>Total Cycles</t>
  </si>
  <si>
    <t>FOULS</t>
  </si>
  <si>
    <t>AUTONOMOUS</t>
  </si>
  <si>
    <t>Move</t>
  </si>
  <si>
    <t>TELEOPERATED</t>
  </si>
  <si>
    <t>Assist Pass</t>
  </si>
  <si>
    <t>Assist Receive</t>
  </si>
  <si>
    <t>Extend</t>
  </si>
  <si>
    <t>Block</t>
  </si>
  <si>
    <t>Deflect</t>
  </si>
  <si>
    <t>Auto Made</t>
  </si>
  <si>
    <t>Auto Miss</t>
  </si>
  <si>
    <t>Auto Points</t>
  </si>
  <si>
    <t>Truss Made</t>
  </si>
  <si>
    <t>Truss Miss</t>
  </si>
  <si>
    <t>Teleop Points</t>
  </si>
  <si>
    <t>Botherbot</t>
  </si>
  <si>
    <t>Team #</t>
  </si>
  <si>
    <t>High Made</t>
  </si>
  <si>
    <t>High Miss</t>
  </si>
  <si>
    <t>Low Made</t>
  </si>
  <si>
    <t>Low Miss</t>
  </si>
  <si>
    <t>Catch Made</t>
  </si>
  <si>
    <t>Catch Miss</t>
  </si>
  <si>
    <t>DEFENSE</t>
  </si>
  <si>
    <t>Foul</t>
  </si>
  <si>
    <t>Tech Foul</t>
  </si>
  <si>
    <t>Yellow</t>
  </si>
  <si>
    <t>Red</t>
  </si>
  <si>
    <t>Match #1</t>
  </si>
  <si>
    <t>Match #2</t>
  </si>
  <si>
    <t>Match #3</t>
  </si>
  <si>
    <t>Match #4</t>
  </si>
  <si>
    <t>Match #5</t>
  </si>
  <si>
    <t>Match #6</t>
  </si>
  <si>
    <t>Match #7</t>
  </si>
  <si>
    <t>Match #8</t>
  </si>
  <si>
    <t>Match #9</t>
  </si>
  <si>
    <t>Match #10</t>
  </si>
  <si>
    <t>Average C-Time</t>
  </si>
  <si>
    <t>Average R-Time</t>
  </si>
  <si>
    <t>Average W-Time</t>
  </si>
  <si>
    <t>Average B-Time</t>
  </si>
  <si>
    <t>Shot Pref</t>
  </si>
  <si>
    <t>Zone Pref</t>
  </si>
  <si>
    <t>TEAM NUMBER</t>
  </si>
  <si>
    <t>High Goal Made</t>
  </si>
  <si>
    <t>High Goal Miss</t>
  </si>
  <si>
    <t>Low Goal Made</t>
  </si>
  <si>
    <t>Low Goal Miss</t>
  </si>
  <si>
    <t>Catch Failed</t>
  </si>
  <si>
    <t>Fouls</t>
  </si>
  <si>
    <t>Technical Fouls</t>
  </si>
  <si>
    <t>POINTS</t>
  </si>
  <si>
    <t>Team Points</t>
  </si>
  <si>
    <t>Alliance Points</t>
  </si>
  <si>
    <t>CARDS</t>
  </si>
  <si>
    <t>Yellow Card</t>
  </si>
  <si>
    <t>Red Card</t>
  </si>
  <si>
    <t>ALLIANCE SCOUTING</t>
  </si>
  <si>
    <t>Cycle Times</t>
  </si>
  <si>
    <t>Red Times</t>
  </si>
  <si>
    <t>White Times</t>
  </si>
  <si>
    <t>Blue Times</t>
  </si>
  <si>
    <t>Shot Preference</t>
  </si>
  <si>
    <t>Zone Preference</t>
  </si>
  <si>
    <t>*1 is high, 0 is low</t>
  </si>
  <si>
    <t>* 0 is Red, 1 is White, 2 is Blue</t>
  </si>
  <si>
    <t>* Any question that is a yes or no, 0 = no, 1 = yes. Other than that, any other questions is answered by its value unless otherwise indicated to the right.</t>
  </si>
  <si>
    <t>Average</t>
  </si>
  <si>
    <t>Assists per Cycles</t>
  </si>
  <si>
    <t>Average Assists</t>
  </si>
  <si>
    <t>TOTAL POINTS</t>
  </si>
  <si>
    <t>TEAM #</t>
  </si>
  <si>
    <t>round 1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</si>
  <si>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</si>
  <si>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</si>
  <si>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</si>
  <si>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</si>
  <si>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</si>
  <si>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</si>
  <si>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</si>
  <si>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</si>
  <si>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</si>
  <si>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Truss Missed</t>
  </si>
  <si>
    <t>Catch Missed</t>
  </si>
  <si>
    <t>Auto Missed</t>
  </si>
  <si>
    <t>Auto Move</t>
  </si>
  <si>
    <t>High Goal Missed</t>
  </si>
  <si>
    <t>Low Goal Missed</t>
  </si>
  <si>
    <t>SEARCH TEAM</t>
  </si>
  <si>
    <t>Avg Cycle Time</t>
  </si>
  <si>
    <t>Avg. APC</t>
  </si>
  <si>
    <t>TEAM #1</t>
  </si>
  <si>
    <t>TEAM #2</t>
  </si>
  <si>
    <t>Team #1</t>
  </si>
  <si>
    <t>Team #2</t>
  </si>
  <si>
    <t>B</t>
  </si>
  <si>
    <t>TB</t>
  </si>
  <si>
    <t>AB</t>
  </si>
  <si>
    <t>ACM</t>
  </si>
  <si>
    <t>MPM</t>
  </si>
  <si>
    <t>TG</t>
  </si>
  <si>
    <t>G</t>
  </si>
  <si>
    <t>TP</t>
  </si>
  <si>
    <t>P</t>
  </si>
  <si>
    <t>WP</t>
  </si>
  <si>
    <t>DC</t>
  </si>
  <si>
    <t>AC</t>
  </si>
  <si>
    <t>I</t>
  </si>
  <si>
    <t>TV</t>
  </si>
  <si>
    <t>Total Match Data</t>
  </si>
  <si>
    <t>ALLIANCE DATA</t>
  </si>
  <si>
    <t>.6</t>
  </si>
  <si>
    <t>M</t>
  </si>
  <si>
    <t>Alliance Passes</t>
  </si>
  <si>
    <t>Alliance Gets</t>
  </si>
  <si>
    <t>*0 = No Block, 1 = Teleop Block, 2 = Auto Block, 3 = Both</t>
  </si>
  <si>
    <t>Auto Block</t>
  </si>
  <si>
    <t>Teleop Block</t>
  </si>
  <si>
    <t>TV = Total Value</t>
  </si>
  <si>
    <t>I = Inflation Value</t>
  </si>
  <si>
    <t>AC = Assist Compatability</t>
  </si>
  <si>
    <t>DC = Defensive Component</t>
  </si>
  <si>
    <t>WP = Weight for Passing</t>
  </si>
  <si>
    <t>P = Passes</t>
  </si>
  <si>
    <t>TP = Total Alliance Passes</t>
  </si>
  <si>
    <t>G = Gets</t>
  </si>
  <si>
    <t>TG = Total Alliance Gets</t>
  </si>
  <si>
    <t>ACM = Assist Points Max</t>
  </si>
  <si>
    <t>MPM = Match Points Max</t>
  </si>
  <si>
    <t>AB = Auto Blocks</t>
  </si>
  <si>
    <t>TB = Teleop Blocks</t>
  </si>
  <si>
    <t>B = Bother</t>
  </si>
  <si>
    <t>M = Matches</t>
  </si>
  <si>
    <t>AMP</t>
  </si>
  <si>
    <t>AMP = Average Match Points</t>
  </si>
  <si>
    <t># of BotherBot</t>
  </si>
  <si>
    <t># of Deflect</t>
  </si>
  <si>
    <t>Can Extend</t>
  </si>
  <si>
    <t>RANK</t>
  </si>
  <si>
    <t>Partners</t>
  </si>
  <si>
    <t>Partner 1</t>
  </si>
  <si>
    <t>Partner 2</t>
  </si>
  <si>
    <t>Top 10 Offensive Robots</t>
  </si>
  <si>
    <t>Top 10 Defensive Robots</t>
  </si>
  <si>
    <t>Top 10 Assist Robots</t>
  </si>
  <si>
    <t>Top 10 Autonomous Robots</t>
  </si>
  <si>
    <t>Rank</t>
  </si>
  <si>
    <t>Value</t>
  </si>
  <si>
    <t>Top 10 Truss/Catch Robots</t>
  </si>
  <si>
    <t>Top 10 Fastest Cycle Robots</t>
  </si>
  <si>
    <t>Top 10 Shooting %</t>
  </si>
  <si>
    <t>Shooting %</t>
  </si>
  <si>
    <t>Terry</t>
  </si>
  <si>
    <t>Beno</t>
  </si>
  <si>
    <t>Ian</t>
  </si>
  <si>
    <t>Logan</t>
  </si>
  <si>
    <t>Riley</t>
  </si>
  <si>
    <t>Maddie</t>
  </si>
  <si>
    <t>Neal</t>
  </si>
  <si>
    <t>Jacobson</t>
  </si>
  <si>
    <t>Team #3</t>
  </si>
  <si>
    <t>Borman</t>
  </si>
  <si>
    <t>Krummel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</si>
</sst>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Aharoni"/>
      <charset val="177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indexed="17"/>
        <bgColor indexed="64"/>
      </patternFill>
    </fill>
    <fill>
      <patternFill patternType="solid">
        <fgColor indexed="16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DashDot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Dot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5" borderId="34" applyNumberFormat="0" applyAlignment="0" applyProtection="0"/>
  </cellStyleXfs>
  <cellXfs count="216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0" fillId="0" borderId="22" xfId="0" applyBorder="1"/>
    <xf numFmtId="0" fontId="0" fillId="0" borderId="23" xfId="0" applyBorder="1"/>
    <xf numFmtId="0" fontId="0" fillId="0" borderId="4" xfId="0" applyBorder="1"/>
    <xf numFmtId="0" fontId="0" fillId="0" borderId="24" xfId="0" applyFill="1" applyBorder="1"/>
    <xf numFmtId="0" fontId="0" fillId="0" borderId="25" xfId="0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0" xfId="0" applyFill="1"/>
    <xf numFmtId="0" fontId="0" fillId="3" borderId="15" xfId="0" applyFill="1" applyBorder="1"/>
    <xf numFmtId="0" fontId="0" fillId="3" borderId="11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4" xfId="0" applyFill="1" applyBorder="1"/>
    <xf numFmtId="0" fontId="0" fillId="3" borderId="16" xfId="0" applyFill="1" applyBorder="1"/>
    <xf numFmtId="0" fontId="0" fillId="3" borderId="10" xfId="0" applyFill="1" applyBorder="1"/>
    <xf numFmtId="0" fontId="0" fillId="3" borderId="14" xfId="0" applyFill="1" applyBorder="1"/>
    <xf numFmtId="0" fontId="0" fillId="3" borderId="13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5" xfId="0" applyFill="1" applyBorder="1"/>
    <xf numFmtId="0" fontId="0" fillId="4" borderId="11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1" xfId="0" applyFill="1" applyBorder="1"/>
    <xf numFmtId="0" fontId="0" fillId="4" borderId="16" xfId="0" applyFill="1" applyBorder="1"/>
    <xf numFmtId="0" fontId="0" fillId="4" borderId="10" xfId="0" applyFill="1" applyBorder="1"/>
    <xf numFmtId="0" fontId="0" fillId="4" borderId="6" xfId="0" applyFill="1" applyBorder="1"/>
    <xf numFmtId="0" fontId="0" fillId="4" borderId="14" xfId="0" applyFill="1" applyBorder="1"/>
    <xf numFmtId="0" fontId="0" fillId="4" borderId="13" xfId="0" applyFill="1" applyBorder="1"/>
    <xf numFmtId="0" fontId="0" fillId="4" borderId="9" xfId="0" applyFill="1" applyBorder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2" xfId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2" xfId="0" applyBorder="1"/>
    <xf numFmtId="0" fontId="0" fillId="0" borderId="29" xfId="0" applyBorder="1"/>
    <xf numFmtId="0" fontId="0" fillId="0" borderId="18" xfId="0" applyBorder="1"/>
    <xf numFmtId="0" fontId="0" fillId="0" borderId="28" xfId="0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36" xfId="0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11" xfId="0" applyFill="1" applyBorder="1"/>
    <xf numFmtId="0" fontId="0" fillId="0" borderId="15" xfId="0" applyFill="1" applyBorder="1"/>
    <xf numFmtId="0" fontId="0" fillId="0" borderId="23" xfId="0" applyFill="1" applyBorder="1"/>
    <xf numFmtId="0" fontId="0" fillId="0" borderId="22" xfId="0" applyFill="1" applyBorder="1"/>
    <xf numFmtId="0" fontId="0" fillId="0" borderId="10" xfId="0" applyFill="1" applyBorder="1"/>
    <xf numFmtId="0" fontId="0" fillId="0" borderId="16" xfId="0" applyFill="1" applyBorder="1"/>
    <xf numFmtId="0" fontId="0" fillId="0" borderId="39" xfId="0" applyFill="1" applyBorder="1"/>
    <xf numFmtId="0" fontId="0" fillId="0" borderId="44" xfId="0" applyFill="1" applyBorder="1"/>
    <xf numFmtId="0" fontId="0" fillId="0" borderId="2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33" xfId="0" applyFill="1" applyBorder="1"/>
    <xf numFmtId="0" fontId="0" fillId="0" borderId="20" xfId="0" applyFill="1" applyBorder="1"/>
    <xf numFmtId="0" fontId="0" fillId="0" borderId="1" xfId="0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50" xfId="0" applyBorder="1"/>
    <xf numFmtId="0" fontId="0" fillId="0" borderId="50" xfId="0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0" borderId="51" xfId="0" applyFill="1" applyBorder="1"/>
    <xf numFmtId="0" fontId="0" fillId="0" borderId="50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ont="1" applyFill="1" applyBorder="1"/>
    <xf numFmtId="0" fontId="0" fillId="0" borderId="18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8" fillId="0" borderId="5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5" borderId="52" xfId="2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0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9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3">
    <cellStyle name="Check Cell" xfId="2" builtinId="23"/>
    <cellStyle name="Good" xfId="1" builtinId="26"/>
    <cellStyle name="Normal" xfId="0" builtinId="0"/>
  </cellStyles>
  <dxfs count="60"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right style="mediumDashDot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mediumDashDot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right style="mediumDashDot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left style="medium">
          <color indexed="64"/>
        </left>
        <right style="mediumDashDot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Search!$N$4</c:f>
              <c:strCache>
                <c:ptCount val="1"/>
                <c:pt idx="0">
                  <c:v>Avg Cycle Time</c:v>
                </c:pt>
              </c:strCache>
            </c:strRef>
          </c:tx>
          <c:marker>
            <c:symbol val="none"/>
          </c:marker>
          <c:val>
            <c:numRef>
              <c:f>Search!$P$4:$Y$4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40256"/>
        <c:axId val="117041792"/>
      </c:lineChart>
      <c:catAx>
        <c:axId val="117040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7041792"/>
        <c:crosses val="autoZero"/>
        <c:auto val="1"/>
        <c:lblAlgn val="ctr"/>
        <c:lblOffset val="100"/>
        <c:noMultiLvlLbl val="0"/>
      </c:catAx>
      <c:valAx>
        <c:axId val="11704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40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Search!$N$7</c:f>
              <c:strCache>
                <c:ptCount val="1"/>
                <c:pt idx="0">
                  <c:v>Avg. APC</c:v>
                </c:pt>
              </c:strCache>
            </c:strRef>
          </c:tx>
          <c:marker>
            <c:symbol val="none"/>
          </c:marker>
          <c:val>
            <c:numRef>
              <c:f>Search!$P$7:$Y$7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43904"/>
        <c:axId val="117657984"/>
      </c:lineChart>
      <c:catAx>
        <c:axId val="117643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7657984"/>
        <c:crosses val="autoZero"/>
        <c:auto val="1"/>
        <c:lblAlgn val="ctr"/>
        <c:lblOffset val="100"/>
        <c:noMultiLvlLbl val="0"/>
      </c:catAx>
      <c:valAx>
        <c:axId val="11765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4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Compare!$A$29</c:f>
              <c:strCache>
                <c:ptCount val="1"/>
                <c:pt idx="0">
                  <c:v>Avg Cycle Time</c:v>
                </c:pt>
              </c:strCache>
            </c:strRef>
          </c:tx>
          <c:marker>
            <c:symbol val="none"/>
          </c:marker>
          <c:val>
            <c:numRef>
              <c:f>Compare!$C$29:$L$29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1"/>
          <c:order val="1"/>
          <c:tx>
            <c:v>Avg Cycle Time 2</c:v>
          </c:tx>
          <c:marker>
            <c:symbol val="none"/>
          </c:marker>
          <c:val>
            <c:numRef>
              <c:f>Compare!$R$29:$AA$29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49472"/>
        <c:axId val="125055360"/>
      </c:lineChart>
      <c:catAx>
        <c:axId val="125049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5055360"/>
        <c:crosses val="autoZero"/>
        <c:auto val="1"/>
        <c:lblAlgn val="ctr"/>
        <c:lblOffset val="100"/>
        <c:noMultiLvlLbl val="0"/>
      </c:catAx>
      <c:valAx>
        <c:axId val="12505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04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Compare!$A$32</c:f>
              <c:strCache>
                <c:ptCount val="1"/>
                <c:pt idx="0">
                  <c:v>Avg. APC</c:v>
                </c:pt>
              </c:strCache>
            </c:strRef>
          </c:tx>
          <c:marker>
            <c:symbol val="none"/>
          </c:marker>
          <c:val>
            <c:numRef>
              <c:f>Compare!$C$32:$L$32</c:f>
              <c:numCache>
                <c:formatCode>General</c:formatCode>
                <c:ptCount val="10"/>
              </c:numCache>
            </c:numRef>
          </c:val>
          <c:smooth val="0"/>
        </c:ser>
        <c:ser>
          <c:idx val="1"/>
          <c:order val="1"/>
          <c:tx>
            <c:v>Avg. APC 2</c:v>
          </c:tx>
          <c:marker>
            <c:symbol val="none"/>
          </c:marker>
          <c:val>
            <c:numRef>
              <c:f>Compare!$R$32:$AA$32</c:f>
              <c:numCache>
                <c:formatCode>General</c:formatCode>
                <c:ptCount val="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84800"/>
        <c:axId val="125086336"/>
      </c:lineChart>
      <c:catAx>
        <c:axId val="125084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25086336"/>
        <c:crosses val="autoZero"/>
        <c:auto val="1"/>
        <c:lblAlgn val="ctr"/>
        <c:lblOffset val="100"/>
        <c:noMultiLvlLbl val="0"/>
      </c:catAx>
      <c:valAx>
        <c:axId val="12508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08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457200</xdr:colOff>
      <xdr:row>0</xdr:row>
      <xdr:rowOff>0</xdr:rowOff>
    </xdr:from>
    <xdr:to>
      <xdr:col>15</xdr:col>
      <xdr:colOff>285750</xdr:colOff>
      <xdr:row>3</xdr:row>
      <xdr:rowOff>121041</xdr:rowOff>
    </xdr:to>
    <xdr:pic>
      <xdr:nvPicPr>
        <xdr:cNvPr id="32" name="Picture 31" descr="http://t3.gstatic.com/images?q=tbn:ANd9GcTHpI5GRWwOiWKuXDOiLWowpkmFBuvxekop8OXqgzbQEmgtxka2:www.frc1716.org/uploads/1/1/4/9/11493721/2772273.png%3F46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0"/>
          <a:ext cx="2266950" cy="692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285751</xdr:colOff>
      <xdr:row>0</xdr:row>
      <xdr:rowOff>0</xdr:rowOff>
    </xdr:from>
    <xdr:to>
      <xdr:col>18</xdr:col>
      <xdr:colOff>133350</xdr:colOff>
      <xdr:row>3</xdr:row>
      <xdr:rowOff>124998</xdr:rowOff>
    </xdr:to>
    <xdr:pic>
      <xdr:nvPicPr>
        <xdr:cNvPr id="33" name="Picture 32" descr="http://t1.gstatic.com/images?q=tbn:ANd9GcRQbCELkC9XLHOMWt5SSF47Jwr8kNKvjvEKuJExAoW_4Z9bDOlwpA:www.frc1716.org/uploads/1/1/4/9/11493721/4672241.png%3F46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1" y="0"/>
          <a:ext cx="1676399" cy="6964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285750</xdr:colOff>
      <xdr:row>3</xdr:row>
      <xdr:rowOff>123826</xdr:rowOff>
    </xdr:from>
    <xdr:to>
      <xdr:col>18</xdr:col>
      <xdr:colOff>133350</xdr:colOff>
      <xdr:row>7</xdr:row>
      <xdr:rowOff>58325</xdr:rowOff>
    </xdr:to>
    <xdr:pic>
      <xdr:nvPicPr>
        <xdr:cNvPr id="34" name="Picture 33" descr="http://t1.gstatic.com/images?q=tbn:ANd9GcRzv7bNHcpQ8UlC1CEkStCpXPtm_d82v02UfA28nfFXGC5pgRWO:www.frc1716.org/uploads/1/1/4/9/11493721/7075336.png%3F46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8950" y="695326"/>
          <a:ext cx="1676400" cy="696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457200</xdr:colOff>
      <xdr:row>0</xdr:row>
      <xdr:rowOff>0</xdr:rowOff>
    </xdr:from>
    <xdr:to>
      <xdr:col>7</xdr:col>
      <xdr:colOff>314325</xdr:colOff>
      <xdr:row>3</xdr:row>
      <xdr:rowOff>126124</xdr:rowOff>
    </xdr:to>
    <xdr:pic>
      <xdr:nvPicPr>
        <xdr:cNvPr id="35" name="Picture 34" descr="http://t0.gstatic.com/images?q=tbn:ANd9GcRg-fw4FskDE0HSXwh8h4rvQCFcRb5wMuR-qthp16JIROESlZn5:www.frc1716.org/uploads/1/1/4/9/11493721/1330332.png%3F2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0"/>
          <a:ext cx="1685925" cy="697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457200</xdr:colOff>
      <xdr:row>3</xdr:row>
      <xdr:rowOff>122183</xdr:rowOff>
    </xdr:to>
    <xdr:pic>
      <xdr:nvPicPr>
        <xdr:cNvPr id="36" name="Picture 35" descr="http://t0.gstatic.com/images?q=tbn:ANd9GcT3V0-pwtgcw2JHp-lOzX-Dq7Evh_AtXOFhLLbsWzhnOLN7yXdi:www.frc1716.org/uploads/1/1/4/9/11493721/5351796_ori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6400" cy="6936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314325</xdr:colOff>
      <xdr:row>0</xdr:row>
      <xdr:rowOff>0</xdr:rowOff>
    </xdr:from>
    <xdr:to>
      <xdr:col>9</xdr:col>
      <xdr:colOff>171450</xdr:colOff>
      <xdr:row>3</xdr:row>
      <xdr:rowOff>126124</xdr:rowOff>
    </xdr:to>
    <xdr:pic>
      <xdr:nvPicPr>
        <xdr:cNvPr id="37" name="Picture 36" descr="http://t0.gstatic.com/images?q=tbn:ANd9GcRmD9FWXt_e11gO--UatMnIPKEx-UaLzqsGIoHeeCayG11E-8xDnA:www.frc1716.org/uploads/1/1/4/9/11493721/3344381.png%3F29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2325" y="0"/>
          <a:ext cx="1685925" cy="697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0</xdr:row>
      <xdr:rowOff>0</xdr:rowOff>
    </xdr:from>
    <xdr:to>
      <xdr:col>11</xdr:col>
      <xdr:colOff>19050</xdr:colOff>
      <xdr:row>3</xdr:row>
      <xdr:rowOff>126578</xdr:rowOff>
    </xdr:to>
    <xdr:pic>
      <xdr:nvPicPr>
        <xdr:cNvPr id="38" name="Picture 37" descr="http://t1.gstatic.com/images?q=tbn:ANd9GcQ9-ZpMgVcVowzO9BFfGB-O8zPeL0sxzmaw_xm6bd4O9MTgrWqlkQ:www.frc1716.org/uploads/1/1/4/9/11493721/9377168_ori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0" y="0"/>
          <a:ext cx="1676400" cy="698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</xdr:colOff>
      <xdr:row>0</xdr:row>
      <xdr:rowOff>0</xdr:rowOff>
    </xdr:from>
    <xdr:to>
      <xdr:col>13</xdr:col>
      <xdr:colOff>457200</xdr:colOff>
      <xdr:row>3</xdr:row>
      <xdr:rowOff>119063</xdr:rowOff>
    </xdr:to>
    <xdr:pic>
      <xdr:nvPicPr>
        <xdr:cNvPr id="39" name="Picture 38" descr="http://t0.gstatic.com/images?q=tbn:ANd9GcTgNTxGxRlOmA1abxEIFHTDkta0t-ke-MrGS5syjT7PF2NNcWVk:www.frc1716.org/uploads/1/1/4/9/11493721/4290695.png%3F28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24650" y="0"/>
          <a:ext cx="1657350" cy="690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76201</xdr:colOff>
      <xdr:row>0</xdr:row>
      <xdr:rowOff>114301</xdr:rowOff>
    </xdr:from>
    <xdr:to>
      <xdr:col>21</xdr:col>
      <xdr:colOff>95251</xdr:colOff>
      <xdr:row>7</xdr:row>
      <xdr:rowOff>19051</xdr:rowOff>
    </xdr:to>
    <xdr:pic>
      <xdr:nvPicPr>
        <xdr:cNvPr id="41" name="Picture 40" descr="http://t1.gstatic.com/images?q=tbn:ANd9GcTSo3EF2r26Wj8M-UYvHPlao-y-XLy9-TPlVkAnQSU2LCeGmuRh:www.frc1716.org/uploads/1/1/4/9/11493721/9606851.png%3F2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1" y="114301"/>
          <a:ext cx="1238250" cy="123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981075</xdr:colOff>
      <xdr:row>31</xdr:row>
      <xdr:rowOff>11274</xdr:rowOff>
    </xdr:from>
    <xdr:to>
      <xdr:col>21</xdr:col>
      <xdr:colOff>600075</xdr:colOff>
      <xdr:row>38</xdr:row>
      <xdr:rowOff>0</xdr:rowOff>
    </xdr:to>
    <xdr:pic>
      <xdr:nvPicPr>
        <xdr:cNvPr id="42" name="Picture 41" descr="http://t0.gstatic.com/images?q=tbn:ANd9GcQM9wN9VCDxmQr3TitoGS5fpUb6haXxuIpr55n3Xvcx_B8TVK4I:www.frc1716.org/files/theme/team1716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935824"/>
          <a:ext cx="5715000" cy="13222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47625</xdr:colOff>
      <xdr:row>6</xdr:row>
      <xdr:rowOff>19050</xdr:rowOff>
    </xdr:from>
    <xdr:to>
      <xdr:col>6</xdr:col>
      <xdr:colOff>85725</xdr:colOff>
      <xdr:row>18</xdr:row>
      <xdr:rowOff>123825</xdr:rowOff>
    </xdr:to>
    <xdr:pic>
      <xdr:nvPicPr>
        <xdr:cNvPr id="43" name="Picture 42" descr="http://t2.gstatic.com/images?q=tbn:ANd9GcRsj3tYg4sytmxv-ogl0FAYZk29x_hVohVdkDQe_aIG3-fl0JMR:www.frc1716.org/uploads/1/1/4/9/11493721/robologo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162050"/>
          <a:ext cx="1866900" cy="243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419101</xdr:colOff>
      <xdr:row>19</xdr:row>
      <xdr:rowOff>180975</xdr:rowOff>
    </xdr:from>
    <xdr:to>
      <xdr:col>5</xdr:col>
      <xdr:colOff>476251</xdr:colOff>
      <xdr:row>23</xdr:row>
      <xdr:rowOff>142875</xdr:rowOff>
    </xdr:to>
    <xdr:sp macro="[0]!RESETNew" textlink="">
      <xdr:nvSpPr>
        <xdr:cNvPr id="44" name="Rectangle 43"/>
        <xdr:cNvSpPr/>
      </xdr:nvSpPr>
      <xdr:spPr>
        <a:xfrm>
          <a:off x="1028701" y="3838575"/>
          <a:ext cx="1276350" cy="723900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RESET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285750</xdr:colOff>
      <xdr:row>24</xdr:row>
      <xdr:rowOff>161925</xdr:rowOff>
    </xdr:from>
    <xdr:to>
      <xdr:col>5</xdr:col>
      <xdr:colOff>590550</xdr:colOff>
      <xdr:row>27</xdr:row>
      <xdr:rowOff>76200</xdr:rowOff>
    </xdr:to>
    <xdr:sp macro="[0]!Intake.Intake" textlink="">
      <xdr:nvSpPr>
        <xdr:cNvPr id="46" name="Rectangle 45"/>
        <xdr:cNvSpPr/>
      </xdr:nvSpPr>
      <xdr:spPr>
        <a:xfrm>
          <a:off x="895350" y="4781550"/>
          <a:ext cx="1524000" cy="485775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ENTER DATA</a:t>
          </a:r>
        </a:p>
      </xdr:txBody>
    </xdr:sp>
    <xdr:clientData/>
  </xdr:twoCellAnchor>
  <xdr:twoCellAnchor editAs="oneCell">
    <xdr:from>
      <xdr:col>13</xdr:col>
      <xdr:colOff>1057275</xdr:colOff>
      <xdr:row>3</xdr:row>
      <xdr:rowOff>123826</xdr:rowOff>
    </xdr:from>
    <xdr:to>
      <xdr:col>15</xdr:col>
      <xdr:colOff>295275</xdr:colOff>
      <xdr:row>7</xdr:row>
      <xdr:rowOff>58325</xdr:rowOff>
    </xdr:to>
    <xdr:pic>
      <xdr:nvPicPr>
        <xdr:cNvPr id="17" name="Picture 16" descr="http://t1.gstatic.com/images?q=tbn:ANd9GcRzv7bNHcpQ8UlC1CEkStCpXPtm_d82v02UfA28nfFXGC5pgRWO:www.frc1716.org/uploads/1/1/4/9/11493721/7075336.png%3F462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695326"/>
          <a:ext cx="1676400" cy="696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1143000</xdr:colOff>
      <xdr:row>4</xdr:row>
      <xdr:rowOff>47625</xdr:rowOff>
    </xdr:from>
    <xdr:to>
      <xdr:col>15</xdr:col>
      <xdr:colOff>256800</xdr:colOff>
      <xdr:row>6</xdr:row>
      <xdr:rowOff>123825</xdr:rowOff>
    </xdr:to>
    <xdr:pic>
      <xdr:nvPicPr>
        <xdr:cNvPr id="40" name="Picture 39" descr="http://t0.gstatic.com/images?q=tbn:ANd9GcR5VHgTW_9mNU7Dlw6rf0as0unJwDGEFFscvXu2RN_TxjsFnD6S:www.frc1716.org/uploads/1/1/4/9/11493721/9338735.png%3F297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809625"/>
          <a:ext cx="1552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9525</xdr:colOff>
      <xdr:row>21</xdr:row>
      <xdr:rowOff>9525</xdr:rowOff>
    </xdr:from>
    <xdr:to>
      <xdr:col>12</xdr:col>
      <xdr:colOff>0</xdr:colOff>
      <xdr:row>24</xdr:row>
      <xdr:rowOff>0</xdr:rowOff>
    </xdr:to>
    <xdr:sp macro="[0]!Intake.Calculations" textlink="">
      <xdr:nvSpPr>
        <xdr:cNvPr id="3" name="Rectangle 2"/>
        <xdr:cNvSpPr/>
      </xdr:nvSpPr>
      <xdr:spPr>
        <a:xfrm>
          <a:off x="5495925" y="4057650"/>
          <a:ext cx="1819275" cy="561975"/>
        </a:xfrm>
        <a:prstGeom prst="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Calculate</a:t>
          </a:r>
          <a:r>
            <a:rPr lang="en-US" sz="1400" b="1" baseline="0">
              <a:solidFill>
                <a:sysClr val="windowText" lastClr="000000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Team and TeleOp Points</a:t>
          </a:r>
        </a:p>
      </xdr:txBody>
    </xdr:sp>
    <xdr:clientData/>
  </xdr:twoCellAnchor>
  <xdr:twoCellAnchor>
    <xdr:from>
      <xdr:col>3</xdr:col>
      <xdr:colOff>276225</xdr:colOff>
      <xdr:row>28</xdr:row>
      <xdr:rowOff>76200</xdr:rowOff>
    </xdr:from>
    <xdr:to>
      <xdr:col>6</xdr:col>
      <xdr:colOff>0</xdr:colOff>
      <xdr:row>30</xdr:row>
      <xdr:rowOff>171450</xdr:rowOff>
    </xdr:to>
    <xdr:sp macro="[0]!BlockCounter.BlockCounter" textlink="">
      <xdr:nvSpPr>
        <xdr:cNvPr id="2" name="Rectangle 1"/>
        <xdr:cNvSpPr/>
      </xdr:nvSpPr>
      <xdr:spPr>
        <a:xfrm>
          <a:off x="885825" y="5457825"/>
          <a:ext cx="1552575" cy="4857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Block</a:t>
          </a:r>
          <a:r>
            <a:rPr lang="en-US" sz="1800" b="1" baseline="0"/>
            <a:t> </a:t>
          </a:r>
          <a:r>
            <a:rPr lang="en-US" sz="1600" b="1" baseline="0"/>
            <a:t>Counter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38100</xdr:rowOff>
    </xdr:from>
    <xdr:to>
      <xdr:col>0</xdr:col>
      <xdr:colOff>447675</xdr:colOff>
      <xdr:row>1</xdr:row>
      <xdr:rowOff>142875</xdr:rowOff>
    </xdr:to>
    <xdr:sp macro="[0]!CLEARMatchData" textlink="">
      <xdr:nvSpPr>
        <xdr:cNvPr id="2" name="Rectangle 1"/>
        <xdr:cNvSpPr/>
      </xdr:nvSpPr>
      <xdr:spPr>
        <a:xfrm>
          <a:off x="47625" y="38100"/>
          <a:ext cx="400050" cy="295275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1</xdr:rowOff>
    </xdr:from>
    <xdr:to>
      <xdr:col>0</xdr:col>
      <xdr:colOff>447675</xdr:colOff>
      <xdr:row>0</xdr:row>
      <xdr:rowOff>152401</xdr:rowOff>
    </xdr:to>
    <xdr:sp macro="[0]!ClearAllianceData" textlink="">
      <xdr:nvSpPr>
        <xdr:cNvPr id="3" name="Rectangle 2"/>
        <xdr:cNvSpPr/>
      </xdr:nvSpPr>
      <xdr:spPr>
        <a:xfrm>
          <a:off x="47625" y="1"/>
          <a:ext cx="400050" cy="152400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</xdr:colOff>
      <xdr:row>11</xdr:row>
      <xdr:rowOff>9525</xdr:rowOff>
    </xdr:from>
    <xdr:to>
      <xdr:col>25</xdr:col>
      <xdr:colOff>28575</xdr:colOff>
      <xdr:row>21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4761</xdr:colOff>
      <xdr:row>21</xdr:row>
      <xdr:rowOff>171450</xdr:rowOff>
    </xdr:from>
    <xdr:to>
      <xdr:col>25</xdr:col>
      <xdr:colOff>28574</xdr:colOff>
      <xdr:row>32</xdr:row>
      <xdr:rowOff>171450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171449</xdr:colOff>
      <xdr:row>7</xdr:row>
      <xdr:rowOff>114300</xdr:rowOff>
    </xdr:from>
    <xdr:to>
      <xdr:col>17</xdr:col>
      <xdr:colOff>180975</xdr:colOff>
      <xdr:row>10</xdr:row>
      <xdr:rowOff>95250</xdr:rowOff>
    </xdr:to>
    <xdr:sp macro="[0]!Search.Search" textlink="">
      <xdr:nvSpPr>
        <xdr:cNvPr id="2" name="Rectangle 1"/>
        <xdr:cNvSpPr/>
      </xdr:nvSpPr>
      <xdr:spPr>
        <a:xfrm>
          <a:off x="9315449" y="1476375"/>
          <a:ext cx="1228726" cy="571500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25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SEARCH</a:t>
          </a:r>
        </a:p>
      </xdr:txBody>
    </xdr:sp>
    <xdr:clientData/>
  </xdr:twoCellAnchor>
  <xdr:twoCellAnchor>
    <xdr:from>
      <xdr:col>17</xdr:col>
      <xdr:colOff>352425</xdr:colOff>
      <xdr:row>7</xdr:row>
      <xdr:rowOff>142876</xdr:rowOff>
    </xdr:from>
    <xdr:to>
      <xdr:col>18</xdr:col>
      <xdr:colOff>581025</xdr:colOff>
      <xdr:row>10</xdr:row>
      <xdr:rowOff>28576</xdr:rowOff>
    </xdr:to>
    <xdr:sp macro="[0]!CLEAR.ClearSearchData" textlink="">
      <xdr:nvSpPr>
        <xdr:cNvPr id="6" name="Rectangle 5"/>
        <xdr:cNvSpPr/>
      </xdr:nvSpPr>
      <xdr:spPr>
        <a:xfrm>
          <a:off x="10715625" y="1504951"/>
          <a:ext cx="838200" cy="476250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608541</xdr:colOff>
      <xdr:row>33</xdr:row>
      <xdr:rowOff>10582</xdr:rowOff>
    </xdr:from>
    <xdr:to>
      <xdr:col>11</xdr:col>
      <xdr:colOff>0</xdr:colOff>
      <xdr:row>41</xdr:row>
      <xdr:rowOff>154515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5291</xdr:colOff>
      <xdr:row>32</xdr:row>
      <xdr:rowOff>179915</xdr:rowOff>
    </xdr:from>
    <xdr:to>
      <xdr:col>27</xdr:col>
      <xdr:colOff>10582</xdr:colOff>
      <xdr:row>42</xdr:row>
      <xdr:rowOff>6348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21166</xdr:colOff>
      <xdr:row>9</xdr:row>
      <xdr:rowOff>190499</xdr:rowOff>
    </xdr:from>
    <xdr:to>
      <xdr:col>13</xdr:col>
      <xdr:colOff>306916</xdr:colOff>
      <xdr:row>23</xdr:row>
      <xdr:rowOff>201082</xdr:rowOff>
    </xdr:to>
    <xdr:sp macro="[0]!Compare1" textlink="">
      <xdr:nvSpPr>
        <xdr:cNvPr id="5" name="Rectangle 4"/>
        <xdr:cNvSpPr/>
      </xdr:nvSpPr>
      <xdr:spPr>
        <a:xfrm>
          <a:off x="7387166" y="1926166"/>
          <a:ext cx="899583" cy="270933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</a:t>
          </a:r>
        </a:p>
        <a:p>
          <a:pPr algn="ctr"/>
          <a:r>
            <a:rPr lang="en-US" sz="2000"/>
            <a:t>O</a:t>
          </a:r>
        </a:p>
        <a:p>
          <a:pPr algn="ctr"/>
          <a:r>
            <a:rPr lang="en-US" sz="2000"/>
            <a:t>M</a:t>
          </a:r>
        </a:p>
        <a:p>
          <a:pPr algn="ctr"/>
          <a:r>
            <a:rPr lang="en-US" sz="2000"/>
            <a:t>P</a:t>
          </a:r>
        </a:p>
        <a:p>
          <a:pPr algn="ctr"/>
          <a:r>
            <a:rPr lang="en-US" sz="2000"/>
            <a:t>A</a:t>
          </a:r>
        </a:p>
        <a:p>
          <a:pPr algn="ctr"/>
          <a:r>
            <a:rPr lang="en-US" sz="2000"/>
            <a:t>R</a:t>
          </a:r>
        </a:p>
        <a:p>
          <a:pPr algn="ctr"/>
          <a:r>
            <a:rPr lang="en-US" sz="2000"/>
            <a:t>E</a:t>
          </a:r>
        </a:p>
        <a:p>
          <a:pPr algn="ctr"/>
          <a:r>
            <a:rPr lang="en-US" sz="1000"/>
            <a:t>Team 1</a:t>
          </a:r>
        </a:p>
      </xdr:txBody>
    </xdr:sp>
    <xdr:clientData/>
  </xdr:twoCellAnchor>
  <xdr:twoCellAnchor>
    <xdr:from>
      <xdr:col>13</xdr:col>
      <xdr:colOff>317500</xdr:colOff>
      <xdr:row>9</xdr:row>
      <xdr:rowOff>190499</xdr:rowOff>
    </xdr:from>
    <xdr:to>
      <xdr:col>14</xdr:col>
      <xdr:colOff>603249</xdr:colOff>
      <xdr:row>23</xdr:row>
      <xdr:rowOff>201082</xdr:rowOff>
    </xdr:to>
    <xdr:sp macro="[0]!Compare2" textlink="">
      <xdr:nvSpPr>
        <xdr:cNvPr id="6" name="Rectangle 5"/>
        <xdr:cNvSpPr/>
      </xdr:nvSpPr>
      <xdr:spPr>
        <a:xfrm>
          <a:off x="8297333" y="1926166"/>
          <a:ext cx="899583" cy="2709333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</a:t>
          </a:r>
        </a:p>
        <a:p>
          <a:pPr algn="ctr"/>
          <a:r>
            <a:rPr lang="en-US" sz="2000"/>
            <a:t>O</a:t>
          </a:r>
        </a:p>
        <a:p>
          <a:pPr algn="ctr"/>
          <a:r>
            <a:rPr lang="en-US" sz="2000"/>
            <a:t>M</a:t>
          </a:r>
        </a:p>
        <a:p>
          <a:pPr algn="ctr"/>
          <a:r>
            <a:rPr lang="en-US" sz="2000"/>
            <a:t>P</a:t>
          </a:r>
        </a:p>
        <a:p>
          <a:pPr algn="ctr"/>
          <a:r>
            <a:rPr lang="en-US" sz="2000"/>
            <a:t>A</a:t>
          </a:r>
        </a:p>
        <a:p>
          <a:pPr algn="ctr"/>
          <a:r>
            <a:rPr lang="en-US" sz="2000"/>
            <a:t>R</a:t>
          </a:r>
        </a:p>
        <a:p>
          <a:pPr algn="ctr"/>
          <a:r>
            <a:rPr lang="en-US" sz="2000"/>
            <a:t>E</a:t>
          </a:r>
        </a:p>
        <a:p>
          <a:pPr algn="ctr"/>
          <a:r>
            <a:rPr lang="en-US" sz="1000"/>
            <a:t>Team 2</a:t>
          </a:r>
        </a:p>
      </xdr:txBody>
    </xdr:sp>
    <xdr:clientData/>
  </xdr:twoCellAnchor>
  <xdr:twoCellAnchor>
    <xdr:from>
      <xdr:col>12</xdr:col>
      <xdr:colOff>10583</xdr:colOff>
      <xdr:row>25</xdr:row>
      <xdr:rowOff>0</xdr:rowOff>
    </xdr:from>
    <xdr:to>
      <xdr:col>13</xdr:col>
      <xdr:colOff>296334</xdr:colOff>
      <xdr:row>32</xdr:row>
      <xdr:rowOff>0</xdr:rowOff>
    </xdr:to>
    <xdr:sp macro="[0]!ClearCompare1" textlink="">
      <xdr:nvSpPr>
        <xdr:cNvPr id="7" name="Rectangle 6"/>
        <xdr:cNvSpPr/>
      </xdr:nvSpPr>
      <xdr:spPr>
        <a:xfrm>
          <a:off x="7376583" y="4836583"/>
          <a:ext cx="899584" cy="134408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  <a:p>
          <a:pPr algn="ctr"/>
          <a:r>
            <a:rPr lang="en-US" sz="1600"/>
            <a:t>Team 1</a:t>
          </a:r>
        </a:p>
      </xdr:txBody>
    </xdr:sp>
    <xdr:clientData/>
  </xdr:twoCellAnchor>
  <xdr:twoCellAnchor>
    <xdr:from>
      <xdr:col>13</xdr:col>
      <xdr:colOff>317500</xdr:colOff>
      <xdr:row>25</xdr:row>
      <xdr:rowOff>1</xdr:rowOff>
    </xdr:from>
    <xdr:to>
      <xdr:col>14</xdr:col>
      <xdr:colOff>603250</xdr:colOff>
      <xdr:row>32</xdr:row>
      <xdr:rowOff>1</xdr:rowOff>
    </xdr:to>
    <xdr:sp macro="[0]!ClearCompare2" textlink="">
      <xdr:nvSpPr>
        <xdr:cNvPr id="8" name="Rectangle 7"/>
        <xdr:cNvSpPr/>
      </xdr:nvSpPr>
      <xdr:spPr>
        <a:xfrm>
          <a:off x="8297333" y="4836584"/>
          <a:ext cx="899584" cy="134408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  <a:p>
          <a:pPr algn="ctr"/>
          <a:r>
            <a:rPr lang="en-US" sz="1600"/>
            <a:t>Team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38100</xdr:colOff>
      <xdr:row>1</xdr:row>
      <xdr:rowOff>47625</xdr:rowOff>
    </xdr:from>
    <xdr:to>
      <xdr:col>21</xdr:col>
      <xdr:colOff>590550</xdr:colOff>
      <xdr:row>3</xdr:row>
      <xdr:rowOff>238125</xdr:rowOff>
    </xdr:to>
    <xdr:sp macro="[0]!Rankings.Rankings" textlink="">
      <xdr:nvSpPr>
        <xdr:cNvPr id="2" name="Rectangle 1"/>
        <xdr:cNvSpPr/>
      </xdr:nvSpPr>
      <xdr:spPr>
        <a:xfrm>
          <a:off x="11496675" y="247650"/>
          <a:ext cx="1771650" cy="723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RANK</a:t>
          </a:r>
          <a:r>
            <a:rPr lang="en-US" sz="1800" baseline="0"/>
            <a:t> ROBOTS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12</xdr:row>
      <xdr:rowOff>19050</xdr:rowOff>
    </xdr:from>
    <xdr:to>
      <xdr:col>3</xdr:col>
      <xdr:colOff>0</xdr:colOff>
      <xdr:row>16</xdr:row>
      <xdr:rowOff>0</xdr:rowOff>
    </xdr:to>
    <xdr:sp macro="[0]!Top10Offense" textlink="">
      <xdr:nvSpPr>
        <xdr:cNvPr id="2" name="Rectangle 1"/>
        <xdr:cNvSpPr/>
      </xdr:nvSpPr>
      <xdr:spPr>
        <a:xfrm>
          <a:off x="9525" y="2314575"/>
          <a:ext cx="1819275" cy="742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3</xdr:col>
      <xdr:colOff>9525</xdr:colOff>
      <xdr:row>12</xdr:row>
      <xdr:rowOff>0</xdr:rowOff>
    </xdr:from>
    <xdr:to>
      <xdr:col>6</xdr:col>
      <xdr:colOff>0</xdr:colOff>
      <xdr:row>16</xdr:row>
      <xdr:rowOff>0</xdr:rowOff>
    </xdr:to>
    <xdr:sp macro="[0]!Top10Defense" textlink="">
      <xdr:nvSpPr>
        <xdr:cNvPr id="3" name="Rectangle 2"/>
        <xdr:cNvSpPr/>
      </xdr:nvSpPr>
      <xdr:spPr>
        <a:xfrm>
          <a:off x="1838325" y="2295525"/>
          <a:ext cx="1819275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 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6</xdr:col>
      <xdr:colOff>9525</xdr:colOff>
      <xdr:row>12</xdr:row>
      <xdr:rowOff>9524</xdr:rowOff>
    </xdr:from>
    <xdr:to>
      <xdr:col>9</xdr:col>
      <xdr:colOff>0</xdr:colOff>
      <xdr:row>15</xdr:row>
      <xdr:rowOff>190499</xdr:rowOff>
    </xdr:to>
    <xdr:sp macro="[0]!Top10Assist" textlink="">
      <xdr:nvSpPr>
        <xdr:cNvPr id="4" name="Rectangle 3"/>
        <xdr:cNvSpPr/>
      </xdr:nvSpPr>
      <xdr:spPr>
        <a:xfrm>
          <a:off x="3667125" y="2305049"/>
          <a:ext cx="1819275" cy="7524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9</xdr:col>
      <xdr:colOff>0</xdr:colOff>
      <xdr:row>12</xdr:row>
      <xdr:rowOff>9525</xdr:rowOff>
    </xdr:from>
    <xdr:to>
      <xdr:col>11</xdr:col>
      <xdr:colOff>600075</xdr:colOff>
      <xdr:row>16</xdr:row>
      <xdr:rowOff>0</xdr:rowOff>
    </xdr:to>
    <xdr:sp macro="[0]!Top10Auto" textlink="">
      <xdr:nvSpPr>
        <xdr:cNvPr id="5" name="Rectangle 4"/>
        <xdr:cNvSpPr/>
      </xdr:nvSpPr>
      <xdr:spPr>
        <a:xfrm>
          <a:off x="5486400" y="2305050"/>
          <a:ext cx="1819275" cy="7524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11</xdr:col>
      <xdr:colOff>600075</xdr:colOff>
      <xdr:row>12</xdr:row>
      <xdr:rowOff>9525</xdr:rowOff>
    </xdr:from>
    <xdr:to>
      <xdr:col>14</xdr:col>
      <xdr:colOff>600075</xdr:colOff>
      <xdr:row>16</xdr:row>
      <xdr:rowOff>0</xdr:rowOff>
    </xdr:to>
    <xdr:sp macro="[0]!Top10Shooting" textlink="">
      <xdr:nvSpPr>
        <xdr:cNvPr id="6" name="Rectangle 5"/>
        <xdr:cNvSpPr/>
      </xdr:nvSpPr>
      <xdr:spPr>
        <a:xfrm>
          <a:off x="7305675" y="2305050"/>
          <a:ext cx="1571625" cy="7524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 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15</xdr:col>
      <xdr:colOff>0</xdr:colOff>
      <xdr:row>12</xdr:row>
      <xdr:rowOff>9525</xdr:rowOff>
    </xdr:from>
    <xdr:to>
      <xdr:col>17</xdr:col>
      <xdr:colOff>600075</xdr:colOff>
      <xdr:row>16</xdr:row>
      <xdr:rowOff>0</xdr:rowOff>
    </xdr:to>
    <xdr:sp macro="[0]!Top10TrussCatch" textlink="">
      <xdr:nvSpPr>
        <xdr:cNvPr id="7" name="Rectangle 6"/>
        <xdr:cNvSpPr/>
      </xdr:nvSpPr>
      <xdr:spPr>
        <a:xfrm>
          <a:off x="8886825" y="2305050"/>
          <a:ext cx="1819275" cy="752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  <xdr:twoCellAnchor>
    <xdr:from>
      <xdr:col>17</xdr:col>
      <xdr:colOff>600075</xdr:colOff>
      <xdr:row>12</xdr:row>
      <xdr:rowOff>9525</xdr:rowOff>
    </xdr:from>
    <xdr:to>
      <xdr:col>21</xdr:col>
      <xdr:colOff>0</xdr:colOff>
      <xdr:row>16</xdr:row>
      <xdr:rowOff>0</xdr:rowOff>
    </xdr:to>
    <xdr:sp macro="[0]!Top10Fastest" textlink="">
      <xdr:nvSpPr>
        <xdr:cNvPr id="8" name="Rectangle 7"/>
        <xdr:cNvSpPr/>
      </xdr:nvSpPr>
      <xdr:spPr>
        <a:xfrm>
          <a:off x="10963275" y="2305050"/>
          <a:ext cx="1838325" cy="752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RANK</a:t>
          </a:r>
        </a:p>
        <a:p>
          <a:pPr algn="ctr"/>
          <a:r>
            <a:rPr lang="en-US" sz="2000"/>
            <a:t>ROBOTS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B3:E58" totalsRowShown="0" headerRowDxfId="59" dataDxfId="57" headerRowBorderDxfId="58" tableBorderDxfId="56">
  <autoFilter ref="B3:E58"/>
  <tableColumns count="4">
    <tableColumn id="1" name="Auto Made" dataDxfId="55">
      <calculatedColumnFormula>'Match Data'!B4+'Match Data'!AA4+'Match Data'!AZ4+'Match Data'!BY4+'Match Data'!CX4+'Match Data'!DW4+'Match Data'!EV4+'Match Data'!FU4+'Match Data'!GT4+'Match Data'!HS4</calculatedColumnFormula>
    </tableColumn>
    <tableColumn id="2" name="Auto Miss" dataDxfId="54">
      <calculatedColumnFormula>'Match Data'!C4+'Match Data'!AB4+'Match Data'!BA4+'Match Data'!BZ4+'Match Data'!CY4+'Match Data'!DX4+'Match Data'!EW4+'Match Data'!FV4+'Match Data'!GU4+'Match Data'!HT4</calculatedColumnFormula>
    </tableColumn>
    <tableColumn id="3" name="Move" dataDxfId="53">
      <calculatedColumnFormula>'Match Data'!D4+'Match Data'!AC4+'Match Data'!BB4+'Match Data'!CA4+'Match Data'!CZ4+'Match Data'!DY4+'Match Data'!EX4+'Match Data'!FW4+'Match Data'!GV4+'Match Data'!HU4</calculatedColumnFormula>
    </tableColumn>
    <tableColumn id="4" name="Auto Points" dataDxfId="52">
      <calculatedColumnFormula>'Match Data'!E4+'Match Data'!AD4+'Match Data'!BC4+'Match Data'!CB4+'Match Data'!DA4+'Match Data'!DZ4+'Match Data'!EY4+'Match Data'!FX4+'Match Data'!GW4+'Match Data'!HV4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F3:Q58" totalsRowShown="0" headerRowDxfId="51" dataDxfId="49" headerRowBorderDxfId="50" tableBorderDxfId="48">
  <autoFilter ref="F3:Q58"/>
  <tableColumns count="12">
    <tableColumn id="1" name="High Made" dataDxfId="47">
      <calculatedColumnFormula>'Match Data'!F4+'Match Data'!AE4+'Match Data'!BD4+'Match Data'!CC4+'Match Data'!DB4+'Match Data'!EA4+'Match Data'!EZ4+'Match Data'!FY4+'Match Data'!GX4+'Match Data'!HW4</calculatedColumnFormula>
    </tableColumn>
    <tableColumn id="2" name="High Miss" dataDxfId="46">
      <calculatedColumnFormula>'Match Data'!G4+'Match Data'!AF4+'Match Data'!BE4+'Match Data'!CD4+'Match Data'!DC4+'Match Data'!EB4+'Match Data'!FA4+'Match Data'!FZ4+'Match Data'!GY4+'Match Data'!HX4</calculatedColumnFormula>
    </tableColumn>
    <tableColumn id="3" name="Low Made" dataDxfId="45">
      <calculatedColumnFormula>'Match Data'!H4+'Match Data'!AG4+'Match Data'!BF4+'Match Data'!CE4+'Match Data'!DD4+'Match Data'!EC4+'Match Data'!FB4+'Match Data'!GA4+'Match Data'!GZ4+'Match Data'!HY4</calculatedColumnFormula>
    </tableColumn>
    <tableColumn id="4" name="Low Miss" dataDxfId="44">
      <calculatedColumnFormula>'Match Data'!I4+'Match Data'!AH4+'Match Data'!BG4+'Match Data'!CF4+'Match Data'!DE4+'Match Data'!ED4+'Match Data'!FC4+'Match Data'!GB4+'Match Data'!HA4+'Match Data'!HZ4</calculatedColumnFormula>
    </tableColumn>
    <tableColumn id="12" name="Shooting %" dataDxfId="43">
      <calculatedColumnFormula>(Table5[[#This Row],[High Made]]+Table5[[#This Row],[Low Made]])/(SUM(Table5[[#This Row],[High Made]:[Low Miss]]))</calculatedColumnFormula>
    </tableColumn>
    <tableColumn id="5" name="Assist Pass" dataDxfId="42">
      <calculatedColumnFormula>'Match Data'!J4+'Match Data'!AI4+'Match Data'!BH4+'Match Data'!CG4+'Match Data'!DF4+'Match Data'!EE4+'Match Data'!FD4+'Match Data'!GC4+'Match Data'!HB4+'Match Data'!IA4</calculatedColumnFormula>
    </tableColumn>
    <tableColumn id="6" name="Assist Receive" dataDxfId="41">
      <calculatedColumnFormula>'Match Data'!K4+'Match Data'!AJ4+'Match Data'!BI4+'Match Data'!CH4+'Match Data'!DG4+'Match Data'!EF4+'Match Data'!FE4+'Match Data'!GD4+'Match Data'!HC4+'Match Data'!IB4</calculatedColumnFormula>
    </tableColumn>
    <tableColumn id="7" name="Truss Made" dataDxfId="40">
      <calculatedColumnFormula>'Match Data'!L4+'Match Data'!AK4+'Match Data'!BJ4+'Match Data'!CI4+'Match Data'!DH4+'Match Data'!EG4+'Match Data'!FF4+'Match Data'!GE4+'Match Data'!HD4+'Match Data'!IC4</calculatedColumnFormula>
    </tableColumn>
    <tableColumn id="8" name="Truss Miss" dataDxfId="39">
      <calculatedColumnFormula>'Match Data'!M4+'Match Data'!AL4+'Match Data'!BK4+'Match Data'!CJ4+'Match Data'!DI4+'Match Data'!EH4+'Match Data'!FG4+'Match Data'!GF4+'Match Data'!HE4+'Match Data'!ID4</calculatedColumnFormula>
    </tableColumn>
    <tableColumn id="9" name="Catch Made" dataDxfId="38">
      <calculatedColumnFormula>'Match Data'!N4+'Match Data'!AM4+'Match Data'!BL4+'Match Data'!CK4+'Match Data'!DJ4+'Match Data'!EI4+'Match Data'!FH4+'Match Data'!GG4+'Match Data'!HF4+'Match Data'!IE4</calculatedColumnFormula>
    </tableColumn>
    <tableColumn id="10" name="Catch Miss" dataDxfId="37">
      <calculatedColumnFormula>'Match Data'!O4+'Match Data'!AN4+'Match Data'!BM4+'Match Data'!CL4+'Match Data'!DK4+'Match Data'!EJ4+'Match Data'!FI4+'Match Data'!GH4+'Match Data'!HG4+'Match Data'!IF4</calculatedColumnFormula>
    </tableColumn>
    <tableColumn id="11" name="Teleop Points" dataDxfId="36">
      <calculatedColumnFormula>'Match Data'!P4+'Match Data'!AO4+'Match Data'!BN4+'Match Data'!CM4+'Match Data'!DL4+'Match Data'!EK4+'Match Data'!FJ4+'Match Data'!GI4+'Match Data'!HH4+'Match Data'!IG4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R3:V58" totalsRowShown="0" headerRowDxfId="35" headerRowBorderDxfId="34" tableBorderDxfId="33">
  <autoFilter ref="R3:V58"/>
  <tableColumns count="5">
    <tableColumn id="1" name="Extend" dataDxfId="32">
      <calculatedColumnFormula>'Match Data'!Q4+'Match Data'!AP4+'Match Data'!BO4+'Match Data'!CN4+'Match Data'!DM4+'Match Data'!EL4+'Match Data'!FK4+'Match Data'!GJ4+'Match Data'!HI4+'Match Data'!IH4</calculatedColumnFormula>
    </tableColumn>
    <tableColumn id="5" name="Auto Block" dataDxfId="31"/>
    <tableColumn id="2" name="Teleop Block" dataDxfId="30"/>
    <tableColumn id="3" name="Deflect" dataDxfId="29">
      <calculatedColumnFormula>'Match Data'!S4+'Match Data'!AR4+'Match Data'!BQ4+'Match Data'!CP4+'Match Data'!DO4+'Match Data'!EN4+'Match Data'!FM4+'Match Data'!GL4+'Match Data'!HK4+'Match Data'!IJ4</calculatedColumnFormula>
    </tableColumn>
    <tableColumn id="4" name="Botherbot" dataDxfId="28">
      <calculatedColumnFormula>'Match Data'!T4+'Match Data'!AS4+'Match Data'!BR4+'Match Data'!CQ4+'Match Data'!DP4+'Match Data'!EO4+'Match Data'!FN4+'Match Data'!GM4+'Match Data'!HL4+'Match Data'!IK4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W3:Z58" totalsRowShown="0" headerRowDxfId="27" headerRowBorderDxfId="26" tableBorderDxfId="25">
  <autoFilter ref="W3:Z58"/>
  <tableColumns count="4">
    <tableColumn id="1" name="Foul" dataDxfId="24">
      <calculatedColumnFormula>'Match Data'!U4+'Match Data'!AT4+'Match Data'!BS4+'Match Data'!CR4+'Match Data'!DQ4+'Match Data'!EP4+'Match Data'!FO4+'Match Data'!GN4+'Match Data'!HM4+'Match Data'!IL4</calculatedColumnFormula>
    </tableColumn>
    <tableColumn id="2" name="Tech Foul" dataDxfId="23">
      <calculatedColumnFormula>'Match Data'!V4+'Match Data'!AU4+'Match Data'!BT4+'Match Data'!CS4+'Match Data'!DR4+'Match Data'!EQ4+'Match Data'!FP4+'Match Data'!GO4+'Match Data'!HN4+'Match Data'!IM4</calculatedColumnFormula>
    </tableColumn>
    <tableColumn id="3" name="Yellow" dataDxfId="22">
      <calculatedColumnFormula>'Match Data'!W4+'Match Data'!AV4+'Match Data'!BU4+'Match Data'!CT4+'Match Data'!DS4+'Match Data'!ER4+'Match Data'!FQ4+'Match Data'!GP4+'Match Data'!HO4+'Match Data'!IN4</calculatedColumnFormula>
    </tableColumn>
    <tableColumn id="4" name="Red" dataDxfId="21">
      <calculatedColumnFormula>'Match Data'!X4+'Match Data'!AW4+'Match Data'!BV4+'Match Data'!CU4+'Match Data'!DT4+'Match Data'!ES4+'Match Data'!FR4+'Match Data'!GQ4+'Match Data'!HP4+'Match Data'!IO4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A3:AB58" totalsRowShown="0" headerRowDxfId="20" dataDxfId="18" headerRowBorderDxfId="19" tableBorderDxfId="17">
  <autoFilter ref="AA3:AB58"/>
  <tableColumns count="2">
    <tableColumn id="1" name="Team Points" dataDxfId="16">
      <calculatedColumnFormula>'Match Data'!Y4+'Match Data'!AX4+'Match Data'!BW4+'Match Data'!CV4+'Match Data'!DU4+'Match Data'!ET4+'Match Data'!FS4+'Match Data'!GR4+'Match Data'!HQ4+'Match Data'!IP4</calculatedColumnFormula>
    </tableColumn>
    <tableColumn id="2" name="Alliance Points" dataDxfId="15">
      <calculatedColumnFormula>'Match Data'!Z4+'Match Data'!AY4+'Match Data'!BX4+'Match Data'!CW4+'Match Data'!DV4+'Match Data'!EU4+'Match Data'!FT4+'Match Data'!GS4+'Match Data'!HR4+'Match Data'!IQ4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AC3:AL58" totalsRowShown="0" headerRowDxfId="14" dataDxfId="12" headerRowBorderDxfId="13" tableBorderDxfId="11" totalsRowBorderDxfId="10">
  <autoFilter ref="AC3:AL58"/>
  <tableColumns count="10">
    <tableColumn id="1" name="Total Cycles" dataDxfId="9">
      <calculatedColumnFormula>'Alliance Data'!B3+'Alliance Data'!L3+'Alliance Data'!V3+'Alliance Data'!AF3+'Alliance Data'!AP3+'Alliance Data'!AZ3+'Alliance Data'!BJ3+'Alliance Data'!BT3+'Alliance Data'!CD3+'Alliance Data'!CN3</calculatedColumnFormula>
    </tableColumn>
    <tableColumn id="2" name="Average C-Time" dataDxfId="8">
      <calculatedColumnFormula>('Alliance Data'!C3+'Alliance Data'!M3+'Alliance Data'!W3+'Alliance Data'!AG3+'Alliance Data'!AQ3+'Alliance Data'!BA3+'Alliance Data'!BK3+'Alliance Data'!BU3+'Alliance Data'!CE3+'Alliance Data'!CO3)/Value!Q2</calculatedColumnFormula>
    </tableColumn>
    <tableColumn id="3" name="Average R-Time" dataDxfId="7">
      <calculatedColumnFormula>('Alliance Data'!D3+'Alliance Data'!N3+'Alliance Data'!X3+'Alliance Data'!AH3+'Alliance Data'!AR3+'Alliance Data'!BB3+'Alliance Data'!BL3+'Alliance Data'!BV3+'Alliance Data'!CF3+'Alliance Data'!CP3)/Value!Q2</calculatedColumnFormula>
    </tableColumn>
    <tableColumn id="4" name="Average W-Time" dataDxfId="6">
      <calculatedColumnFormula>('Alliance Data'!E3+'Alliance Data'!O3+'Alliance Data'!Y3+'Alliance Data'!AI3+'Alliance Data'!AS3+'Alliance Data'!BC3+'Alliance Data'!BM3+'Alliance Data'!BW3+'Alliance Data'!CG3+'Alliance Data'!CQ3)/Value!Q2</calculatedColumnFormula>
    </tableColumn>
    <tableColumn id="5" name="Average B-Time" dataDxfId="5">
      <calculatedColumnFormula>('Alliance Data'!F3+'Alliance Data'!P3+'Alliance Data'!Z3+'Alliance Data'!AJ3+'Alliance Data'!AT3+'Alliance Data'!BD3+'Alliance Data'!BN3+'Alliance Data'!BX3+'Alliance Data'!CH3+'Alliance Data'!CR3)/Value!Q2</calculatedColumnFormula>
    </tableColumn>
    <tableColumn id="6" name="Shot Pref" dataDxfId="4">
      <calculatedColumnFormula>('Alliance Data'!G3+'Alliance Data'!Q3+'Alliance Data'!AA3+'Alliance Data'!AK3+'Alliance Data'!AU3+'Alliance Data'!BE3+'Alliance Data'!BO3+'Alliance Data'!BY3+'Alliance Data'!CI3+'Alliance Data'!CS3)/Value!Q2</calculatedColumnFormula>
    </tableColumn>
    <tableColumn id="7" name="Zone Pref" dataDxfId="3">
      <calculatedColumnFormula>('Alliance Data'!H3+'Alliance Data'!R3+'Alliance Data'!AB3+'Alliance Data'!AL3+'Alliance Data'!AV3+'Alliance Data'!BF3+'Alliance Data'!BP3+'Alliance Data'!BZ3+'Alliance Data'!CJ3+'Alliance Data'!CT3)/Value!Q2</calculatedColumnFormula>
    </tableColumn>
    <tableColumn id="8" name="Average Assists" dataDxfId="2">
      <calculatedColumnFormula>('Alliance Data'!I3+'Alliance Data'!S3+'Alliance Data'!AC3+'Alliance Data'!AM3+'Alliance Data'!AW3+'Alliance Data'!BG3+'Alliance Data'!BQ3+'Alliance Data'!CA3+'Alliance Data'!CK3+'Alliance Data'!CU3)/Value!Q2</calculatedColumnFormula>
    </tableColumn>
    <tableColumn id="9" name="Alliance Passes" dataDxfId="1">
      <calculatedColumnFormula>'Alliance Data'!J3+'Alliance Data'!T3+'Alliance Data'!AD3+'Alliance Data'!AN3+'Alliance Data'!AX3+'Alliance Data'!BH3+'Alliance Data'!BR3+'Alliance Data'!CB3+'Alliance Data'!CL3+'Alliance Data'!CV3</calculatedColumnFormula>
    </tableColumn>
    <tableColumn id="10" name="Alliance Gets" dataDxfId="0">
      <calculatedColumnFormula>'Alliance Data'!K3+'Alliance Data'!U3+'Alliance Data'!AE3+'Alliance Data'!AO3+'Alliance Data'!AY3+'Alliance Data'!BI3+'Alliance Data'!BS3+'Alliance Data'!CC3+'Alliance Data'!CM3+'Alliance Data'!CW3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V38"/>
  <sheetViews>
    <sheetView tabSelected="1" topLeftCell="C1" workbookViewId="0">
      <selection activeCell="H26" sqref="H26"/>
    </sheetView>
  </sheetViews>
  <sheetFormatPr defaultColWidth="0" defaultRowHeight="15" zeroHeight="1" x14ac:dyDescent="0.25"/>
  <cols>
    <col min="1" max="1" width="9.140625" hidden="1" customWidth="1"/>
    <col min="2" max="2" width="0" hidden="1" customWidth="1"/>
    <col min="3" max="7" width="9.140625" customWidth="1"/>
    <col min="8" max="8" width="18.28515625" customWidth="1"/>
    <col min="9" max="10" width="9.140625" customWidth="1"/>
    <col min="11" max="11" width="18.28515625" customWidth="1"/>
    <col min="12" max="13" width="9.140625" customWidth="1"/>
    <col min="14" max="14" width="27.42578125" customWidth="1"/>
    <col min="15" max="22" width="9.140625" customWidth="1"/>
    <col min="23" max="16384" width="9.140625" hidden="1"/>
  </cols>
  <sheetData>
    <row r="1" spans="8:22" x14ac:dyDescent="0.25"/>
    <row r="2" spans="8:22" x14ac:dyDescent="0.25"/>
    <row r="3" spans="8:22" x14ac:dyDescent="0.25"/>
    <row r="4" spans="8:22" x14ac:dyDescent="0.25"/>
    <row r="5" spans="8:22" x14ac:dyDescent="0.25"/>
    <row r="6" spans="8:22" x14ac:dyDescent="0.25"/>
    <row r="7" spans="8:22" x14ac:dyDescent="0.25"/>
    <row r="8" spans="8:22" ht="15.75" x14ac:dyDescent="0.25">
      <c r="H8" s="18" t="s">
        <v>45</v>
      </c>
      <c r="I8" s="70"/>
    </row>
    <row r="9" spans="8:22" x14ac:dyDescent="0.25">
      <c r="H9" s="16"/>
      <c r="I9" s="16"/>
    </row>
    <row r="10" spans="8:22" ht="15.75" x14ac:dyDescent="0.25">
      <c r="H10" s="19" t="s">
        <v>2</v>
      </c>
      <c r="I10" s="16"/>
      <c r="K10" s="19" t="s">
        <v>1</v>
      </c>
      <c r="L10" s="16"/>
      <c r="N10" s="19" t="s">
        <v>59</v>
      </c>
      <c r="O10" s="4"/>
      <c r="P10" s="4"/>
      <c r="Q10" s="4"/>
      <c r="R10" s="4"/>
      <c r="S10" s="4"/>
      <c r="T10" s="4"/>
      <c r="U10" s="4"/>
    </row>
    <row r="11" spans="8:22" x14ac:dyDescent="0.25">
      <c r="H11" s="70" t="s">
        <v>10</v>
      </c>
      <c r="I11" s="70">
        <v>0</v>
      </c>
      <c r="K11" s="70" t="s">
        <v>51</v>
      </c>
      <c r="L11" s="70">
        <v>0</v>
      </c>
      <c r="N11" s="103" t="s">
        <v>0</v>
      </c>
      <c r="O11" s="20">
        <v>0</v>
      </c>
      <c r="P11" s="4"/>
      <c r="Q11" s="4"/>
      <c r="R11" s="4"/>
      <c r="S11" s="4"/>
      <c r="T11" s="4"/>
      <c r="U11" s="1" t="s">
        <v>69</v>
      </c>
    </row>
    <row r="12" spans="8:22" x14ac:dyDescent="0.25">
      <c r="H12" s="70" t="s">
        <v>11</v>
      </c>
      <c r="I12" s="70">
        <v>0</v>
      </c>
      <c r="K12" s="70" t="s">
        <v>52</v>
      </c>
      <c r="L12" s="70">
        <v>0</v>
      </c>
      <c r="N12" s="103" t="s">
        <v>60</v>
      </c>
      <c r="O12" s="70">
        <v>0</v>
      </c>
      <c r="P12" s="70"/>
      <c r="Q12" s="70"/>
      <c r="R12" s="70"/>
      <c r="S12" s="70"/>
      <c r="T12" s="70"/>
      <c r="U12" s="71">
        <f>AVERAGE(O12:T12)</f>
        <v>0</v>
      </c>
      <c r="V12" s="17"/>
    </row>
    <row r="13" spans="8:22" x14ac:dyDescent="0.25">
      <c r="H13" s="70" t="s">
        <v>3</v>
      </c>
      <c r="I13" s="70">
        <v>0</v>
      </c>
      <c r="K13" s="16"/>
      <c r="L13" s="16"/>
      <c r="N13" s="103" t="s">
        <v>61</v>
      </c>
      <c r="O13" s="70">
        <v>0</v>
      </c>
      <c r="P13" s="70"/>
      <c r="Q13" s="70"/>
      <c r="R13" s="70"/>
      <c r="S13" s="70"/>
      <c r="T13" s="70"/>
      <c r="U13" s="71">
        <f t="shared" ref="U13:U15" si="0">AVERAGE(O13:T13)</f>
        <v>0</v>
      </c>
    </row>
    <row r="14" spans="8:22" ht="15.75" x14ac:dyDescent="0.25">
      <c r="H14" s="70" t="s">
        <v>12</v>
      </c>
      <c r="I14" s="70">
        <v>0</v>
      </c>
      <c r="K14" s="19" t="s">
        <v>53</v>
      </c>
      <c r="L14" s="16"/>
      <c r="N14" s="103" t="s">
        <v>62</v>
      </c>
      <c r="O14" s="70">
        <v>0</v>
      </c>
      <c r="P14" s="70"/>
      <c r="Q14" s="70"/>
      <c r="R14" s="70"/>
      <c r="S14" s="70"/>
      <c r="T14" s="70"/>
      <c r="U14" s="71">
        <f t="shared" si="0"/>
        <v>0</v>
      </c>
    </row>
    <row r="15" spans="8:22" x14ac:dyDescent="0.25">
      <c r="H15" s="16"/>
      <c r="I15" s="16"/>
      <c r="K15" s="70" t="s">
        <v>54</v>
      </c>
      <c r="L15" s="70">
        <v>0</v>
      </c>
      <c r="N15" s="103" t="s">
        <v>63</v>
      </c>
      <c r="O15" s="20">
        <v>0</v>
      </c>
      <c r="P15" s="70"/>
      <c r="Q15" s="70"/>
      <c r="R15" s="70"/>
      <c r="S15" s="70"/>
      <c r="T15" s="70"/>
      <c r="U15" s="71">
        <f t="shared" si="0"/>
        <v>0</v>
      </c>
    </row>
    <row r="16" spans="8:22" ht="15.75" x14ac:dyDescent="0.25">
      <c r="H16" s="19" t="s">
        <v>4</v>
      </c>
      <c r="I16" s="16"/>
      <c r="K16" s="70" t="s">
        <v>55</v>
      </c>
      <c r="L16" s="70">
        <v>0</v>
      </c>
      <c r="N16" s="103" t="s">
        <v>64</v>
      </c>
      <c r="O16" s="70">
        <f>IF(SUM(I17:I18)&gt;SUM(I19:I20), 1, 0)</f>
        <v>0</v>
      </c>
      <c r="P16" s="4"/>
      <c r="Q16" s="4" t="s">
        <v>66</v>
      </c>
      <c r="R16" s="4"/>
      <c r="S16" s="4"/>
      <c r="T16" s="4"/>
      <c r="U16" s="4"/>
    </row>
    <row r="17" spans="3:21" x14ac:dyDescent="0.25">
      <c r="H17" s="70" t="s">
        <v>46</v>
      </c>
      <c r="I17" s="70">
        <v>0</v>
      </c>
      <c r="K17" s="16"/>
      <c r="L17" s="16"/>
      <c r="N17" s="103" t="s">
        <v>65</v>
      </c>
      <c r="O17" s="20">
        <f>IF(AND(U13&gt;U14, U13&gt;U15), 0, IF(U14&gt;U15, 1, 2))</f>
        <v>2</v>
      </c>
      <c r="P17" s="4"/>
      <c r="Q17" s="4" t="s">
        <v>67</v>
      </c>
      <c r="R17" s="4"/>
      <c r="S17" s="4"/>
      <c r="T17" s="16"/>
      <c r="U17" s="4"/>
    </row>
    <row r="18" spans="3:21" ht="15.75" x14ac:dyDescent="0.25">
      <c r="H18" s="70" t="s">
        <v>47</v>
      </c>
      <c r="I18" s="70">
        <v>0</v>
      </c>
      <c r="K18" s="19" t="s">
        <v>56</v>
      </c>
      <c r="L18" s="16"/>
      <c r="N18" s="103" t="s">
        <v>70</v>
      </c>
      <c r="O18" s="70">
        <v>0</v>
      </c>
      <c r="P18" s="70"/>
      <c r="Q18" s="70"/>
      <c r="R18" s="70"/>
      <c r="S18" s="70"/>
      <c r="T18" s="70"/>
      <c r="U18" s="72">
        <f>AVERAGE(O18:T18)</f>
        <v>0</v>
      </c>
    </row>
    <row r="19" spans="3:21" x14ac:dyDescent="0.25">
      <c r="H19" s="70" t="s">
        <v>48</v>
      </c>
      <c r="I19" s="70">
        <v>0</v>
      </c>
      <c r="K19" s="70" t="s">
        <v>57</v>
      </c>
      <c r="L19" s="70">
        <v>0</v>
      </c>
      <c r="N19" s="112" t="s">
        <v>115</v>
      </c>
      <c r="O19" s="103">
        <v>0</v>
      </c>
      <c r="Q19" s="3"/>
    </row>
    <row r="20" spans="3:21" x14ac:dyDescent="0.25">
      <c r="H20" s="70" t="s">
        <v>49</v>
      </c>
      <c r="I20" s="70">
        <v>0</v>
      </c>
      <c r="K20" s="70" t="s">
        <v>58</v>
      </c>
      <c r="L20" s="70">
        <v>0</v>
      </c>
      <c r="N20" s="123" t="s">
        <v>116</v>
      </c>
      <c r="O20" s="20">
        <v>0</v>
      </c>
    </row>
    <row r="21" spans="3:21" x14ac:dyDescent="0.25">
      <c r="H21" s="70" t="s">
        <v>5</v>
      </c>
      <c r="I21" s="70">
        <v>0</v>
      </c>
      <c r="N21" s="112" t="s">
        <v>141</v>
      </c>
      <c r="O21" s="1"/>
      <c r="P21" s="1"/>
    </row>
    <row r="22" spans="3:21" x14ac:dyDescent="0.25">
      <c r="H22" s="70" t="s">
        <v>6</v>
      </c>
      <c r="I22" s="70">
        <v>0</v>
      </c>
    </row>
    <row r="23" spans="3:21" x14ac:dyDescent="0.25">
      <c r="H23" s="70" t="s">
        <v>13</v>
      </c>
      <c r="I23" s="70">
        <v>0</v>
      </c>
      <c r="M23" s="141">
        <v>1</v>
      </c>
      <c r="N23" s="84"/>
      <c r="O23" s="84"/>
      <c r="P23" s="84"/>
      <c r="Q23" s="84"/>
      <c r="R23" s="84"/>
      <c r="S23" s="84"/>
      <c r="T23" s="84"/>
      <c r="U23" s="84"/>
    </row>
    <row r="24" spans="3:21" x14ac:dyDescent="0.25">
      <c r="C24" s="85"/>
      <c r="H24" s="70" t="s">
        <v>14</v>
      </c>
      <c r="I24" s="70">
        <v>0</v>
      </c>
      <c r="M24" s="142"/>
      <c r="N24" s="84"/>
      <c r="O24" s="84"/>
      <c r="P24" s="84"/>
      <c r="Q24" s="84"/>
      <c r="R24" s="84"/>
      <c r="S24" s="84"/>
      <c r="T24" s="84"/>
      <c r="U24" s="84"/>
    </row>
    <row r="25" spans="3:21" x14ac:dyDescent="0.25">
      <c r="C25" s="85"/>
      <c r="H25" s="70" t="s">
        <v>22</v>
      </c>
      <c r="I25" s="70">
        <v>0</v>
      </c>
      <c r="N25" s="84"/>
      <c r="O25" s="84"/>
      <c r="P25" s="84"/>
      <c r="Q25" s="84"/>
      <c r="R25" s="84"/>
      <c r="S25" s="84"/>
      <c r="T25" s="84"/>
      <c r="U25" s="84"/>
    </row>
    <row r="26" spans="3:21" x14ac:dyDescent="0.25">
      <c r="C26" s="143">
        <v>2</v>
      </c>
      <c r="H26" s="70" t="s">
        <v>50</v>
      </c>
      <c r="I26" s="70">
        <v>0</v>
      </c>
      <c r="N26" s="84"/>
      <c r="O26" s="84"/>
      <c r="P26" s="84"/>
      <c r="Q26" s="84"/>
      <c r="R26" s="84"/>
      <c r="S26" s="84"/>
      <c r="T26" s="84"/>
      <c r="U26" s="84"/>
    </row>
    <row r="27" spans="3:21" x14ac:dyDescent="0.25">
      <c r="C27" s="144"/>
      <c r="H27" s="70" t="s">
        <v>15</v>
      </c>
      <c r="I27" s="70">
        <v>0</v>
      </c>
      <c r="N27" s="84"/>
      <c r="O27" s="84"/>
      <c r="P27" s="84"/>
      <c r="Q27" s="84"/>
      <c r="R27" s="84"/>
      <c r="S27" s="84"/>
      <c r="T27" s="84"/>
      <c r="U27" s="84"/>
    </row>
    <row r="28" spans="3:21" x14ac:dyDescent="0.25">
      <c r="C28" s="85"/>
      <c r="H28" s="16"/>
      <c r="I28" s="16"/>
      <c r="K28" s="81"/>
      <c r="L28" s="82"/>
      <c r="M28" s="82"/>
      <c r="N28" s="84"/>
      <c r="O28" s="84"/>
      <c r="P28" s="84"/>
      <c r="Q28" s="84"/>
      <c r="R28" s="84"/>
      <c r="S28" s="84"/>
      <c r="T28" s="84"/>
      <c r="U28" s="84"/>
    </row>
    <row r="29" spans="3:21" ht="15.75" x14ac:dyDescent="0.25">
      <c r="C29" s="85"/>
      <c r="H29" s="19" t="s">
        <v>24</v>
      </c>
      <c r="I29" s="4"/>
      <c r="K29" s="82"/>
      <c r="L29" s="82"/>
      <c r="M29" s="82"/>
      <c r="N29" s="84"/>
      <c r="O29" s="84"/>
      <c r="P29" s="84"/>
      <c r="Q29" s="84"/>
      <c r="R29" s="84"/>
      <c r="S29" s="84"/>
      <c r="T29" s="84"/>
      <c r="U29" s="84"/>
    </row>
    <row r="30" spans="3:21" x14ac:dyDescent="0.25">
      <c r="C30" s="145">
        <v>3</v>
      </c>
      <c r="H30" s="70" t="s">
        <v>139</v>
      </c>
      <c r="I30" s="70">
        <v>0</v>
      </c>
      <c r="K30" s="82"/>
      <c r="L30" s="82"/>
      <c r="M30" s="82"/>
      <c r="N30" s="82"/>
      <c r="O30" s="82"/>
      <c r="P30" s="82"/>
      <c r="Q30" s="82"/>
      <c r="R30" s="82"/>
    </row>
    <row r="31" spans="3:21" x14ac:dyDescent="0.25">
      <c r="C31" s="146"/>
      <c r="H31" s="70" t="s">
        <v>8</v>
      </c>
      <c r="I31" s="70">
        <v>0</v>
      </c>
      <c r="J31" t="s">
        <v>117</v>
      </c>
    </row>
    <row r="32" spans="3:21" x14ac:dyDescent="0.25">
      <c r="C32" s="85"/>
      <c r="H32" s="70" t="s">
        <v>138</v>
      </c>
      <c r="I32" s="70">
        <v>0</v>
      </c>
    </row>
    <row r="33" spans="3:9" x14ac:dyDescent="0.25">
      <c r="C33" s="85"/>
      <c r="H33" s="70" t="s">
        <v>137</v>
      </c>
      <c r="I33" s="70">
        <v>0</v>
      </c>
    </row>
    <row r="34" spans="3:9" x14ac:dyDescent="0.25"/>
    <row r="35" spans="3:9" x14ac:dyDescent="0.25"/>
    <row r="36" spans="3:9" x14ac:dyDescent="0.25">
      <c r="C36" t="s">
        <v>68</v>
      </c>
    </row>
    <row r="37" spans="3:9" x14ac:dyDescent="0.25"/>
    <row r="38" spans="3:9" x14ac:dyDescent="0.25"/>
  </sheetData>
  <mergeCells count="3">
    <mergeCell ref="M23:M24"/>
    <mergeCell ref="C26:C27"/>
    <mergeCell ref="C30:C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Q150"/>
  <sheetViews>
    <sheetView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P3" sqref="P3"/>
    </sheetView>
  </sheetViews>
  <sheetFormatPr defaultRowHeight="15" zeroHeight="1" x14ac:dyDescent="0.25"/>
  <cols>
    <col min="1" max="1" width="7.28515625" bestFit="1" customWidth="1"/>
    <col min="2" max="2" width="10.7109375" style="35" bestFit="1" customWidth="1"/>
    <col min="3" max="3" width="9.7109375" style="35" bestFit="1" customWidth="1"/>
    <col min="4" max="4" width="6" style="35" bestFit="1" customWidth="1"/>
    <col min="5" max="5" width="11.28515625" style="35" bestFit="1" customWidth="1"/>
    <col min="6" max="6" width="10.42578125" style="35" bestFit="1" customWidth="1"/>
    <col min="7" max="7" width="9.42578125" style="35" bestFit="1" customWidth="1"/>
    <col min="8" max="8" width="10" style="35" bestFit="1" customWidth="1"/>
    <col min="9" max="9" width="9" style="35" bestFit="1" customWidth="1"/>
    <col min="10" max="10" width="10.42578125" style="35" bestFit="1" customWidth="1"/>
    <col min="11" max="11" width="13.7109375" style="35" bestFit="1" customWidth="1"/>
    <col min="12" max="12" width="11" style="35" bestFit="1" customWidth="1"/>
    <col min="13" max="13" width="10" style="35" bestFit="1" customWidth="1"/>
    <col min="14" max="14" width="11.28515625" style="35" bestFit="1" customWidth="1"/>
    <col min="15" max="15" width="10.28515625" style="35" bestFit="1" customWidth="1"/>
    <col min="16" max="16" width="13.28515625" style="35" bestFit="1" customWidth="1"/>
    <col min="17" max="17" width="7.140625" style="35" bestFit="1" customWidth="1"/>
    <col min="18" max="18" width="5.7109375" style="35" bestFit="1" customWidth="1"/>
    <col min="19" max="19" width="7.42578125" style="35" bestFit="1" customWidth="1"/>
    <col min="20" max="20" width="10" style="35" bestFit="1" customWidth="1"/>
    <col min="21" max="21" width="4.85546875" style="35" bestFit="1" customWidth="1"/>
    <col min="22" max="22" width="9.42578125" style="35" bestFit="1" customWidth="1"/>
    <col min="23" max="23" width="7" style="35" bestFit="1" customWidth="1"/>
    <col min="24" max="24" width="4.42578125" style="35" bestFit="1" customWidth="1"/>
    <col min="25" max="25" width="11.85546875" style="35" bestFit="1" customWidth="1"/>
    <col min="26" max="26" width="14.28515625" style="35" bestFit="1" customWidth="1"/>
    <col min="27" max="27" width="10.7109375" style="3" bestFit="1" customWidth="1"/>
    <col min="28" max="28" width="9.7109375" style="3" bestFit="1" customWidth="1"/>
    <col min="29" max="29" width="6" style="3" bestFit="1" customWidth="1"/>
    <col min="30" max="30" width="11.28515625" style="3" bestFit="1" customWidth="1"/>
    <col min="31" max="31" width="10.42578125" style="3" bestFit="1" customWidth="1"/>
    <col min="32" max="32" width="9.42578125" style="3" bestFit="1" customWidth="1"/>
    <col min="33" max="33" width="10" style="3" bestFit="1" customWidth="1"/>
    <col min="34" max="34" width="9" style="3" bestFit="1" customWidth="1"/>
    <col min="35" max="35" width="10.42578125" style="3" bestFit="1" customWidth="1"/>
    <col min="36" max="36" width="13.7109375" style="3" bestFit="1" customWidth="1"/>
    <col min="37" max="37" width="11" style="3" bestFit="1" customWidth="1"/>
    <col min="38" max="38" width="10" style="3" bestFit="1" customWidth="1"/>
    <col min="39" max="39" width="11.28515625" style="3" bestFit="1" customWidth="1"/>
    <col min="40" max="40" width="10.28515625" style="3" bestFit="1" customWidth="1"/>
    <col min="41" max="41" width="13.28515625" style="3" bestFit="1" customWidth="1"/>
    <col min="42" max="42" width="7.140625" style="3" bestFit="1" customWidth="1"/>
    <col min="43" max="43" width="5.7109375" style="3" bestFit="1" customWidth="1"/>
    <col min="44" max="44" width="7.42578125" style="3" bestFit="1" customWidth="1"/>
    <col min="45" max="45" width="10" style="3" bestFit="1" customWidth="1"/>
    <col min="46" max="46" width="4.85546875" style="3" bestFit="1" customWidth="1"/>
    <col min="47" max="47" width="9.42578125" style="3" bestFit="1" customWidth="1"/>
    <col min="48" max="48" width="7" style="3" bestFit="1" customWidth="1"/>
    <col min="49" max="49" width="4.42578125" style="3" bestFit="1" customWidth="1"/>
    <col min="50" max="50" width="11.85546875" style="3" bestFit="1" customWidth="1"/>
    <col min="51" max="51" width="14.28515625" style="3" bestFit="1" customWidth="1"/>
    <col min="52" max="52" width="10.7109375" style="35" bestFit="1" customWidth="1"/>
    <col min="53" max="53" width="9.7109375" style="35" bestFit="1" customWidth="1"/>
    <col min="54" max="54" width="6" style="35" bestFit="1" customWidth="1"/>
    <col min="55" max="55" width="11.28515625" style="35" bestFit="1" customWidth="1"/>
    <col min="56" max="56" width="10.42578125" style="35" bestFit="1" customWidth="1"/>
    <col min="57" max="57" width="9.42578125" style="35" bestFit="1" customWidth="1"/>
    <col min="58" max="58" width="10" style="35" bestFit="1" customWidth="1"/>
    <col min="59" max="59" width="9" style="35" bestFit="1" customWidth="1"/>
    <col min="60" max="60" width="10.42578125" style="35" bestFit="1" customWidth="1"/>
    <col min="61" max="61" width="13.7109375" style="35" bestFit="1" customWidth="1"/>
    <col min="62" max="62" width="11" style="35" bestFit="1" customWidth="1"/>
    <col min="63" max="63" width="10" style="35" bestFit="1" customWidth="1"/>
    <col min="64" max="64" width="11.28515625" style="35" bestFit="1" customWidth="1"/>
    <col min="65" max="65" width="10.28515625" style="35" bestFit="1" customWidth="1"/>
    <col min="66" max="66" width="13.28515625" style="35" bestFit="1" customWidth="1"/>
    <col min="67" max="67" width="7.140625" style="35" bestFit="1" customWidth="1"/>
    <col min="68" max="68" width="5.7109375" style="35" bestFit="1" customWidth="1"/>
    <col min="69" max="69" width="7.42578125" style="35" bestFit="1" customWidth="1"/>
    <col min="70" max="70" width="10" style="35" bestFit="1" customWidth="1"/>
    <col min="71" max="71" width="4.85546875" style="35" bestFit="1" customWidth="1"/>
    <col min="72" max="72" width="9.42578125" style="35" bestFit="1" customWidth="1"/>
    <col min="73" max="73" width="7" style="35" bestFit="1" customWidth="1"/>
    <col min="74" max="74" width="4.42578125" style="35" bestFit="1" customWidth="1"/>
    <col min="75" max="75" width="11.85546875" style="35" bestFit="1" customWidth="1"/>
    <col min="76" max="76" width="14.28515625" style="35" bestFit="1" customWidth="1"/>
    <col min="77" max="77" width="10.7109375" style="3" bestFit="1" customWidth="1"/>
    <col min="78" max="78" width="9.7109375" style="3" bestFit="1" customWidth="1"/>
    <col min="79" max="79" width="6" style="3" bestFit="1" customWidth="1"/>
    <col min="80" max="80" width="11.28515625" style="3" bestFit="1" customWidth="1"/>
    <col min="81" max="81" width="10.42578125" style="3" bestFit="1" customWidth="1"/>
    <col min="82" max="82" width="9.42578125" style="3" bestFit="1" customWidth="1"/>
    <col min="83" max="83" width="10" style="3" bestFit="1" customWidth="1"/>
    <col min="84" max="84" width="9" style="3" bestFit="1" customWidth="1"/>
    <col min="85" max="85" width="10.42578125" style="3" bestFit="1" customWidth="1"/>
    <col min="86" max="86" width="13.7109375" style="3" bestFit="1" customWidth="1"/>
    <col min="87" max="87" width="11" style="3" bestFit="1" customWidth="1"/>
    <col min="88" max="88" width="10" style="3" bestFit="1" customWidth="1"/>
    <col min="89" max="89" width="11.28515625" style="3" bestFit="1" customWidth="1"/>
    <col min="90" max="90" width="10.28515625" style="3" bestFit="1" customWidth="1"/>
    <col min="91" max="91" width="13.28515625" style="3" bestFit="1" customWidth="1"/>
    <col min="92" max="92" width="7.140625" style="3" bestFit="1" customWidth="1"/>
    <col min="93" max="93" width="5.7109375" style="3" bestFit="1" customWidth="1"/>
    <col min="94" max="94" width="7.42578125" style="3" bestFit="1" customWidth="1"/>
    <col min="95" max="95" width="10" style="3" bestFit="1" customWidth="1"/>
    <col min="96" max="96" width="4.85546875" style="3" bestFit="1" customWidth="1"/>
    <col min="97" max="97" width="9.42578125" style="3" bestFit="1" customWidth="1"/>
    <col min="98" max="98" width="7" style="3" bestFit="1" customWidth="1"/>
    <col min="99" max="99" width="4.42578125" style="3" bestFit="1" customWidth="1"/>
    <col min="100" max="100" width="11.85546875" style="3" bestFit="1" customWidth="1"/>
    <col min="101" max="101" width="14.28515625" style="3" bestFit="1" customWidth="1"/>
    <col min="102" max="102" width="10.7109375" style="35" bestFit="1" customWidth="1"/>
    <col min="103" max="103" width="9.7109375" style="35" bestFit="1" customWidth="1"/>
    <col min="104" max="104" width="6" style="35" bestFit="1" customWidth="1"/>
    <col min="105" max="105" width="11.28515625" style="35" bestFit="1" customWidth="1"/>
    <col min="106" max="106" width="10.42578125" style="35" bestFit="1" customWidth="1"/>
    <col min="107" max="107" width="9.42578125" style="35" bestFit="1" customWidth="1"/>
    <col min="108" max="108" width="10" style="35" bestFit="1" customWidth="1"/>
    <col min="109" max="109" width="9" style="35" bestFit="1" customWidth="1"/>
    <col min="110" max="110" width="10.42578125" style="35" bestFit="1" customWidth="1"/>
    <col min="111" max="111" width="13.7109375" style="35" bestFit="1" customWidth="1"/>
    <col min="112" max="112" width="11" style="35" bestFit="1" customWidth="1"/>
    <col min="113" max="113" width="10" style="35" bestFit="1" customWidth="1"/>
    <col min="114" max="114" width="11.28515625" style="35" bestFit="1" customWidth="1"/>
    <col min="115" max="115" width="10.28515625" style="35" bestFit="1" customWidth="1"/>
    <col min="116" max="116" width="13.28515625" style="35" bestFit="1" customWidth="1"/>
    <col min="117" max="117" width="7.140625" style="35" bestFit="1" customWidth="1"/>
    <col min="118" max="118" width="5.7109375" style="35" bestFit="1" customWidth="1"/>
    <col min="119" max="119" width="7.42578125" style="35" bestFit="1" customWidth="1"/>
    <col min="120" max="120" width="10" style="35" bestFit="1" customWidth="1"/>
    <col min="121" max="121" width="4.85546875" style="35" bestFit="1" customWidth="1"/>
    <col min="122" max="122" width="9.42578125" style="35" bestFit="1" customWidth="1"/>
    <col min="123" max="123" width="7" style="35" bestFit="1" customWidth="1"/>
    <col min="124" max="124" width="4.42578125" style="35" bestFit="1" customWidth="1"/>
    <col min="125" max="125" width="11.85546875" style="35" bestFit="1" customWidth="1"/>
    <col min="126" max="126" width="14.28515625" style="35" bestFit="1" customWidth="1"/>
    <col min="127" max="127" width="10.7109375" style="68" bestFit="1" customWidth="1"/>
    <col min="128" max="128" width="9.7109375" style="68" bestFit="1" customWidth="1"/>
    <col min="129" max="129" width="6" style="68" bestFit="1" customWidth="1"/>
    <col min="130" max="130" width="11.28515625" style="68" bestFit="1" customWidth="1"/>
    <col min="131" max="131" width="10.42578125" style="68" bestFit="1" customWidth="1"/>
    <col min="132" max="132" width="9.42578125" style="68" bestFit="1" customWidth="1"/>
    <col min="133" max="133" width="10" style="68" bestFit="1" customWidth="1"/>
    <col min="134" max="134" width="9" style="68" bestFit="1" customWidth="1"/>
    <col min="135" max="135" width="10.42578125" style="68" bestFit="1" customWidth="1"/>
    <col min="136" max="136" width="13.7109375" style="68" bestFit="1" customWidth="1"/>
    <col min="137" max="137" width="11" style="68" bestFit="1" customWidth="1"/>
    <col min="138" max="138" width="10" style="68" bestFit="1" customWidth="1"/>
    <col min="139" max="139" width="11.28515625" style="68" bestFit="1" customWidth="1"/>
    <col min="140" max="140" width="10.28515625" style="68" bestFit="1" customWidth="1"/>
    <col min="141" max="141" width="13.28515625" style="68" bestFit="1" customWidth="1"/>
    <col min="142" max="142" width="7.140625" style="68" bestFit="1" customWidth="1"/>
    <col min="143" max="143" width="5.7109375" style="68" bestFit="1" customWidth="1"/>
    <col min="144" max="144" width="7.42578125" style="68" bestFit="1" customWidth="1"/>
    <col min="145" max="145" width="10" style="68" bestFit="1" customWidth="1"/>
    <col min="146" max="146" width="4.85546875" style="68" bestFit="1" customWidth="1"/>
    <col min="147" max="147" width="9.42578125" style="68" bestFit="1" customWidth="1"/>
    <col min="148" max="148" width="7" style="68" bestFit="1" customWidth="1"/>
    <col min="149" max="149" width="4.42578125" style="68" bestFit="1" customWidth="1"/>
    <col min="150" max="150" width="11.85546875" style="68" bestFit="1" customWidth="1"/>
    <col min="151" max="151" width="14.28515625" style="68" bestFit="1" customWidth="1"/>
    <col min="152" max="152" width="10.7109375" style="35" bestFit="1" customWidth="1"/>
    <col min="153" max="153" width="9.7109375" style="35" bestFit="1" customWidth="1"/>
    <col min="154" max="154" width="6" style="35" bestFit="1" customWidth="1"/>
    <col min="155" max="155" width="11.28515625" style="35" bestFit="1" customWidth="1"/>
    <col min="156" max="156" width="10.42578125" style="35" bestFit="1" customWidth="1"/>
    <col min="157" max="157" width="9.42578125" style="35" bestFit="1" customWidth="1"/>
    <col min="158" max="158" width="10" style="35" bestFit="1" customWidth="1"/>
    <col min="159" max="159" width="9" style="35" bestFit="1" customWidth="1"/>
    <col min="160" max="160" width="10.42578125" style="35" bestFit="1" customWidth="1"/>
    <col min="161" max="161" width="13.7109375" style="35" bestFit="1" customWidth="1"/>
    <col min="162" max="162" width="11" style="35" bestFit="1" customWidth="1"/>
    <col min="163" max="163" width="10" style="35" bestFit="1" customWidth="1"/>
    <col min="164" max="164" width="11.28515625" style="35" bestFit="1" customWidth="1"/>
    <col min="165" max="165" width="10.28515625" style="35" bestFit="1" customWidth="1"/>
    <col min="166" max="166" width="13.28515625" style="35" bestFit="1" customWidth="1"/>
    <col min="167" max="167" width="7.140625" style="35" bestFit="1" customWidth="1"/>
    <col min="168" max="168" width="5.7109375" style="35" bestFit="1" customWidth="1"/>
    <col min="169" max="169" width="7.42578125" style="35" bestFit="1" customWidth="1"/>
    <col min="170" max="170" width="10" style="35" bestFit="1" customWidth="1"/>
    <col min="171" max="171" width="4.85546875" style="35" bestFit="1" customWidth="1"/>
    <col min="172" max="172" width="9.42578125" style="35" bestFit="1" customWidth="1"/>
    <col min="173" max="173" width="7" style="35" bestFit="1" customWidth="1"/>
    <col min="174" max="174" width="4.42578125" style="35" bestFit="1" customWidth="1"/>
    <col min="175" max="175" width="11.85546875" style="35" bestFit="1" customWidth="1"/>
    <col min="176" max="176" width="14.28515625" style="35" bestFit="1" customWidth="1"/>
    <col min="177" max="177" width="10.7109375" style="3" bestFit="1" customWidth="1"/>
    <col min="178" max="178" width="9.7109375" style="3" bestFit="1" customWidth="1"/>
    <col min="179" max="179" width="6" style="3" bestFit="1" customWidth="1"/>
    <col min="180" max="180" width="11.28515625" style="3" bestFit="1" customWidth="1"/>
    <col min="181" max="181" width="10.42578125" style="3" bestFit="1" customWidth="1"/>
    <col min="182" max="182" width="9.42578125" style="3" bestFit="1" customWidth="1"/>
    <col min="183" max="183" width="10" style="3" bestFit="1" customWidth="1"/>
    <col min="184" max="184" width="9" style="3" bestFit="1" customWidth="1"/>
    <col min="185" max="185" width="10.42578125" style="3" bestFit="1" customWidth="1"/>
    <col min="186" max="186" width="13.7109375" style="3" bestFit="1" customWidth="1"/>
    <col min="187" max="187" width="11" style="3" bestFit="1" customWidth="1"/>
    <col min="188" max="188" width="10" style="3" bestFit="1" customWidth="1"/>
    <col min="189" max="189" width="11.28515625" style="3" bestFit="1" customWidth="1"/>
    <col min="190" max="190" width="10.28515625" style="3" bestFit="1" customWidth="1"/>
    <col min="191" max="191" width="13.28515625" style="3" bestFit="1" customWidth="1"/>
    <col min="192" max="192" width="7.140625" style="3" bestFit="1" customWidth="1"/>
    <col min="193" max="193" width="5.7109375" style="3" bestFit="1" customWidth="1"/>
    <col min="194" max="194" width="7.42578125" style="3" bestFit="1" customWidth="1"/>
    <col min="195" max="195" width="10" style="3" bestFit="1" customWidth="1"/>
    <col min="196" max="196" width="4.85546875" style="3" bestFit="1" customWidth="1"/>
    <col min="197" max="197" width="9.42578125" style="3" bestFit="1" customWidth="1"/>
    <col min="198" max="198" width="7" style="3" bestFit="1" customWidth="1"/>
    <col min="199" max="199" width="4.42578125" style="3" bestFit="1" customWidth="1"/>
    <col min="200" max="200" width="11.85546875" style="3" bestFit="1" customWidth="1"/>
    <col min="201" max="201" width="14.28515625" style="3" bestFit="1" customWidth="1"/>
    <col min="202" max="202" width="10.7109375" style="35" bestFit="1" customWidth="1"/>
    <col min="203" max="203" width="9.7109375" style="35" bestFit="1" customWidth="1"/>
    <col min="204" max="204" width="6" style="35" bestFit="1" customWidth="1"/>
    <col min="205" max="205" width="11.28515625" style="35" bestFit="1" customWidth="1"/>
    <col min="206" max="206" width="10.42578125" style="35" bestFit="1" customWidth="1"/>
    <col min="207" max="207" width="9.42578125" style="35" bestFit="1" customWidth="1"/>
    <col min="208" max="208" width="10" style="35" bestFit="1" customWidth="1"/>
    <col min="209" max="209" width="9" style="35" bestFit="1" customWidth="1"/>
    <col min="210" max="210" width="10.42578125" style="35" bestFit="1" customWidth="1"/>
    <col min="211" max="211" width="13.7109375" style="35" bestFit="1" customWidth="1"/>
    <col min="212" max="212" width="11" style="35" bestFit="1" customWidth="1"/>
    <col min="213" max="213" width="10" style="35" bestFit="1" customWidth="1"/>
    <col min="214" max="214" width="11.28515625" style="35" bestFit="1" customWidth="1"/>
    <col min="215" max="215" width="10.28515625" style="35" bestFit="1" customWidth="1"/>
    <col min="216" max="216" width="13.28515625" style="35" bestFit="1" customWidth="1"/>
    <col min="217" max="217" width="7.140625" style="35" bestFit="1" customWidth="1"/>
    <col min="218" max="218" width="5.7109375" style="35" bestFit="1" customWidth="1"/>
    <col min="219" max="219" width="7.42578125" style="35" bestFit="1" customWidth="1"/>
    <col min="220" max="220" width="10" style="35" bestFit="1" customWidth="1"/>
    <col min="221" max="221" width="4.85546875" style="35" bestFit="1" customWidth="1"/>
    <col min="222" max="222" width="9.42578125" style="35" bestFit="1" customWidth="1"/>
    <col min="223" max="223" width="7" style="35" bestFit="1" customWidth="1"/>
    <col min="224" max="224" width="4.42578125" style="35" bestFit="1" customWidth="1"/>
    <col min="225" max="225" width="11.85546875" style="35" bestFit="1" customWidth="1"/>
    <col min="226" max="226" width="14.28515625" style="35" bestFit="1" customWidth="1"/>
    <col min="227" max="227" width="10.7109375" style="3" bestFit="1" customWidth="1"/>
    <col min="228" max="228" width="9.7109375" style="3" bestFit="1" customWidth="1"/>
    <col min="229" max="229" width="6" style="3" bestFit="1" customWidth="1"/>
    <col min="230" max="230" width="11.28515625" style="3" bestFit="1" customWidth="1"/>
    <col min="231" max="231" width="10.42578125" style="3" bestFit="1" customWidth="1"/>
    <col min="232" max="232" width="9.42578125" style="3" bestFit="1" customWidth="1"/>
    <col min="233" max="233" width="10" style="3" bestFit="1" customWidth="1"/>
    <col min="234" max="234" width="9" style="3" bestFit="1" customWidth="1"/>
    <col min="235" max="235" width="10.42578125" style="3" bestFit="1" customWidth="1"/>
    <col min="236" max="236" width="13.7109375" style="3" bestFit="1" customWidth="1"/>
    <col min="237" max="237" width="11" style="3" bestFit="1" customWidth="1"/>
    <col min="238" max="238" width="10" style="3" bestFit="1" customWidth="1"/>
    <col min="239" max="239" width="11.28515625" style="3" bestFit="1" customWidth="1"/>
    <col min="240" max="240" width="10.28515625" style="3" bestFit="1" customWidth="1"/>
    <col min="241" max="241" width="13.28515625" style="3" bestFit="1" customWidth="1"/>
    <col min="242" max="242" width="7.140625" style="3" bestFit="1" customWidth="1"/>
    <col min="243" max="243" width="5.7109375" style="3" bestFit="1" customWidth="1"/>
    <col min="244" max="244" width="7.42578125" style="3" bestFit="1" customWidth="1"/>
    <col min="245" max="245" width="10" style="3" bestFit="1" customWidth="1"/>
    <col min="246" max="246" width="4.85546875" style="3" bestFit="1" customWidth="1"/>
    <col min="247" max="247" width="9.42578125" style="3" bestFit="1" customWidth="1"/>
    <col min="248" max="248" width="7" style="3" bestFit="1" customWidth="1"/>
    <col min="249" max="249" width="4.42578125" style="3" bestFit="1" customWidth="1"/>
    <col min="250" max="250" width="11.85546875" style="3" bestFit="1" customWidth="1"/>
    <col min="251" max="251" width="14.28515625" style="3" bestFit="1" customWidth="1"/>
  </cols>
  <sheetData>
    <row r="1" spans="1:251" x14ac:dyDescent="0.25">
      <c r="B1" s="151" t="s">
        <v>29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3"/>
      <c r="AA1" s="158" t="s">
        <v>30</v>
      </c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60"/>
      <c r="AZ1" s="151" t="s">
        <v>31</v>
      </c>
      <c r="BA1" s="152"/>
      <c r="BB1" s="152"/>
      <c r="BC1" s="152"/>
      <c r="BD1" s="152"/>
      <c r="BE1" s="152"/>
      <c r="BF1" s="152"/>
      <c r="BG1" s="152"/>
      <c r="BH1" s="152"/>
      <c r="BI1" s="152"/>
      <c r="BJ1" s="152"/>
      <c r="BK1" s="152"/>
      <c r="BL1" s="152"/>
      <c r="BM1" s="152"/>
      <c r="BN1" s="152"/>
      <c r="BO1" s="152"/>
      <c r="BP1" s="152"/>
      <c r="BQ1" s="152"/>
      <c r="BR1" s="152"/>
      <c r="BS1" s="152"/>
      <c r="BT1" s="152"/>
      <c r="BU1" s="152"/>
      <c r="BV1" s="152"/>
      <c r="BW1" s="152"/>
      <c r="BX1" s="153"/>
      <c r="BY1" s="158" t="s">
        <v>32</v>
      </c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60"/>
      <c r="CX1" s="151" t="s">
        <v>33</v>
      </c>
      <c r="CY1" s="152"/>
      <c r="CZ1" s="152"/>
      <c r="DA1" s="152"/>
      <c r="DB1" s="152"/>
      <c r="DC1" s="152"/>
      <c r="DD1" s="152"/>
      <c r="DE1" s="152"/>
      <c r="DF1" s="152"/>
      <c r="DG1" s="152"/>
      <c r="DH1" s="152"/>
      <c r="DI1" s="152"/>
      <c r="DJ1" s="152"/>
      <c r="DK1" s="152"/>
      <c r="DL1" s="152"/>
      <c r="DM1" s="152"/>
      <c r="DN1" s="152"/>
      <c r="DO1" s="152"/>
      <c r="DP1" s="152"/>
      <c r="DQ1" s="152"/>
      <c r="DR1" s="152"/>
      <c r="DS1" s="152"/>
      <c r="DT1" s="152"/>
      <c r="DU1" s="152"/>
      <c r="DV1" s="153"/>
      <c r="DW1" s="161" t="s">
        <v>34</v>
      </c>
      <c r="DX1" s="162"/>
      <c r="DY1" s="162"/>
      <c r="DZ1" s="162"/>
      <c r="EA1" s="162"/>
      <c r="EB1" s="162"/>
      <c r="EC1" s="162"/>
      <c r="ED1" s="162"/>
      <c r="EE1" s="162"/>
      <c r="EF1" s="162"/>
      <c r="EG1" s="162"/>
      <c r="EH1" s="162"/>
      <c r="EI1" s="162"/>
      <c r="EJ1" s="162"/>
      <c r="EK1" s="162"/>
      <c r="EL1" s="162"/>
      <c r="EM1" s="162"/>
      <c r="EN1" s="162"/>
      <c r="EO1" s="162"/>
      <c r="EP1" s="162"/>
      <c r="EQ1" s="162"/>
      <c r="ER1" s="162"/>
      <c r="ES1" s="162"/>
      <c r="ET1" s="162"/>
      <c r="EU1" s="163"/>
      <c r="EV1" s="151" t="s">
        <v>35</v>
      </c>
      <c r="EW1" s="152"/>
      <c r="EX1" s="152"/>
      <c r="EY1" s="152"/>
      <c r="EZ1" s="152"/>
      <c r="FA1" s="152"/>
      <c r="FB1" s="152"/>
      <c r="FC1" s="152"/>
      <c r="FD1" s="152"/>
      <c r="FE1" s="152"/>
      <c r="FF1" s="152"/>
      <c r="FG1" s="152"/>
      <c r="FH1" s="152"/>
      <c r="FI1" s="152"/>
      <c r="FJ1" s="152"/>
      <c r="FK1" s="152"/>
      <c r="FL1" s="152"/>
      <c r="FM1" s="152"/>
      <c r="FN1" s="152"/>
      <c r="FO1" s="152"/>
      <c r="FP1" s="152"/>
      <c r="FQ1" s="152"/>
      <c r="FR1" s="152"/>
      <c r="FS1" s="152"/>
      <c r="FT1" s="153"/>
      <c r="FU1" s="158" t="s">
        <v>36</v>
      </c>
      <c r="FV1" s="159"/>
      <c r="FW1" s="159"/>
      <c r="FX1" s="159"/>
      <c r="FY1" s="159"/>
      <c r="FZ1" s="159"/>
      <c r="GA1" s="159"/>
      <c r="GB1" s="159"/>
      <c r="GC1" s="159"/>
      <c r="GD1" s="159"/>
      <c r="GE1" s="159"/>
      <c r="GF1" s="159"/>
      <c r="GG1" s="159"/>
      <c r="GH1" s="159"/>
      <c r="GI1" s="159"/>
      <c r="GJ1" s="159"/>
      <c r="GK1" s="159"/>
      <c r="GL1" s="159"/>
      <c r="GM1" s="159"/>
      <c r="GN1" s="159"/>
      <c r="GO1" s="159"/>
      <c r="GP1" s="159"/>
      <c r="GQ1" s="159"/>
      <c r="GR1" s="159"/>
      <c r="GS1" s="160"/>
      <c r="GT1" s="151" t="s">
        <v>37</v>
      </c>
      <c r="GU1" s="152"/>
      <c r="GV1" s="152"/>
      <c r="GW1" s="152"/>
      <c r="GX1" s="152"/>
      <c r="GY1" s="152"/>
      <c r="GZ1" s="152"/>
      <c r="HA1" s="152"/>
      <c r="HB1" s="152"/>
      <c r="HC1" s="152"/>
      <c r="HD1" s="152"/>
      <c r="HE1" s="152"/>
      <c r="HF1" s="152"/>
      <c r="HG1" s="152"/>
      <c r="HH1" s="152"/>
      <c r="HI1" s="152"/>
      <c r="HJ1" s="152"/>
      <c r="HK1" s="152"/>
      <c r="HL1" s="152"/>
      <c r="HM1" s="152"/>
      <c r="HN1" s="152"/>
      <c r="HO1" s="152"/>
      <c r="HP1" s="152"/>
      <c r="HQ1" s="152"/>
      <c r="HR1" s="153"/>
      <c r="HS1" s="158" t="s">
        <v>38</v>
      </c>
      <c r="HT1" s="159"/>
      <c r="HU1" s="159"/>
      <c r="HV1" s="159"/>
      <c r="HW1" s="159"/>
      <c r="HX1" s="159"/>
      <c r="HY1" s="159"/>
      <c r="HZ1" s="159"/>
      <c r="IA1" s="159"/>
      <c r="IB1" s="159"/>
      <c r="IC1" s="159"/>
      <c r="ID1" s="159"/>
      <c r="IE1" s="159"/>
      <c r="IF1" s="159"/>
      <c r="IG1" s="159"/>
      <c r="IH1" s="159"/>
      <c r="II1" s="159"/>
      <c r="IJ1" s="159"/>
      <c r="IK1" s="159"/>
      <c r="IL1" s="159"/>
      <c r="IM1" s="159"/>
      <c r="IN1" s="159"/>
      <c r="IO1" s="159"/>
      <c r="IP1" s="159"/>
      <c r="IQ1" s="160"/>
    </row>
    <row r="2" spans="1:251" x14ac:dyDescent="0.25">
      <c r="B2" s="147" t="s">
        <v>2</v>
      </c>
      <c r="C2" s="148"/>
      <c r="D2" s="148"/>
      <c r="E2" s="149"/>
      <c r="F2" s="150" t="s">
        <v>4</v>
      </c>
      <c r="G2" s="148"/>
      <c r="H2" s="148"/>
      <c r="I2" s="148"/>
      <c r="J2" s="148"/>
      <c r="K2" s="148"/>
      <c r="L2" s="148"/>
      <c r="M2" s="148"/>
      <c r="N2" s="148"/>
      <c r="O2" s="148"/>
      <c r="P2" s="149"/>
      <c r="Q2" s="150" t="s">
        <v>24</v>
      </c>
      <c r="R2" s="148"/>
      <c r="S2" s="148"/>
      <c r="T2" s="149"/>
      <c r="U2" s="156" t="s">
        <v>1</v>
      </c>
      <c r="V2" s="154"/>
      <c r="W2" s="154"/>
      <c r="X2" s="157"/>
      <c r="Y2" s="154" t="s">
        <v>72</v>
      </c>
      <c r="Z2" s="155"/>
      <c r="AA2" s="171" t="s">
        <v>2</v>
      </c>
      <c r="AB2" s="172"/>
      <c r="AC2" s="172"/>
      <c r="AD2" s="173"/>
      <c r="AE2" s="174" t="s">
        <v>4</v>
      </c>
      <c r="AF2" s="172"/>
      <c r="AG2" s="172"/>
      <c r="AH2" s="172"/>
      <c r="AI2" s="172"/>
      <c r="AJ2" s="172"/>
      <c r="AK2" s="172"/>
      <c r="AL2" s="172"/>
      <c r="AM2" s="172"/>
      <c r="AN2" s="172"/>
      <c r="AO2" s="173"/>
      <c r="AP2" s="174" t="s">
        <v>24</v>
      </c>
      <c r="AQ2" s="172"/>
      <c r="AR2" s="172"/>
      <c r="AS2" s="173"/>
      <c r="AT2" s="168" t="s">
        <v>1</v>
      </c>
      <c r="AU2" s="169"/>
      <c r="AV2" s="169"/>
      <c r="AW2" s="170"/>
      <c r="AX2" s="169" t="s">
        <v>72</v>
      </c>
      <c r="AY2" s="179"/>
      <c r="AZ2" s="147" t="s">
        <v>2</v>
      </c>
      <c r="BA2" s="148"/>
      <c r="BB2" s="148"/>
      <c r="BC2" s="149"/>
      <c r="BD2" s="150" t="s">
        <v>4</v>
      </c>
      <c r="BE2" s="148"/>
      <c r="BF2" s="148"/>
      <c r="BG2" s="148"/>
      <c r="BH2" s="148"/>
      <c r="BI2" s="148"/>
      <c r="BJ2" s="148"/>
      <c r="BK2" s="148"/>
      <c r="BL2" s="148"/>
      <c r="BM2" s="148"/>
      <c r="BN2" s="149"/>
      <c r="BO2" s="150" t="s">
        <v>24</v>
      </c>
      <c r="BP2" s="148"/>
      <c r="BQ2" s="148"/>
      <c r="BR2" s="149"/>
      <c r="BS2" s="156" t="s">
        <v>1</v>
      </c>
      <c r="BT2" s="154"/>
      <c r="BU2" s="154"/>
      <c r="BV2" s="157"/>
      <c r="BW2" s="154" t="s">
        <v>72</v>
      </c>
      <c r="BX2" s="155"/>
      <c r="BY2" s="171" t="s">
        <v>2</v>
      </c>
      <c r="BZ2" s="172"/>
      <c r="CA2" s="172"/>
      <c r="CB2" s="173"/>
      <c r="CC2" s="174" t="s">
        <v>4</v>
      </c>
      <c r="CD2" s="172"/>
      <c r="CE2" s="172"/>
      <c r="CF2" s="172"/>
      <c r="CG2" s="172"/>
      <c r="CH2" s="172"/>
      <c r="CI2" s="172"/>
      <c r="CJ2" s="172"/>
      <c r="CK2" s="172"/>
      <c r="CL2" s="172"/>
      <c r="CM2" s="173"/>
      <c r="CN2" s="174" t="s">
        <v>24</v>
      </c>
      <c r="CO2" s="172"/>
      <c r="CP2" s="172"/>
      <c r="CQ2" s="173"/>
      <c r="CR2" s="168" t="s">
        <v>1</v>
      </c>
      <c r="CS2" s="169"/>
      <c r="CT2" s="169"/>
      <c r="CU2" s="170"/>
      <c r="CV2" s="169" t="s">
        <v>72</v>
      </c>
      <c r="CW2" s="179"/>
      <c r="CX2" s="147" t="s">
        <v>2</v>
      </c>
      <c r="CY2" s="148"/>
      <c r="CZ2" s="148"/>
      <c r="DA2" s="149"/>
      <c r="DB2" s="150" t="s">
        <v>4</v>
      </c>
      <c r="DC2" s="148"/>
      <c r="DD2" s="148"/>
      <c r="DE2" s="148"/>
      <c r="DF2" s="148"/>
      <c r="DG2" s="148"/>
      <c r="DH2" s="148"/>
      <c r="DI2" s="148"/>
      <c r="DJ2" s="148"/>
      <c r="DK2" s="148"/>
      <c r="DL2" s="149"/>
      <c r="DM2" s="150" t="s">
        <v>24</v>
      </c>
      <c r="DN2" s="148"/>
      <c r="DO2" s="148"/>
      <c r="DP2" s="149"/>
      <c r="DQ2" s="156" t="s">
        <v>1</v>
      </c>
      <c r="DR2" s="154"/>
      <c r="DS2" s="154"/>
      <c r="DT2" s="157"/>
      <c r="DU2" s="154" t="s">
        <v>72</v>
      </c>
      <c r="DV2" s="155"/>
      <c r="DW2" s="178" t="s">
        <v>2</v>
      </c>
      <c r="DX2" s="176"/>
      <c r="DY2" s="176"/>
      <c r="DZ2" s="177"/>
      <c r="EA2" s="175" t="s">
        <v>4</v>
      </c>
      <c r="EB2" s="176"/>
      <c r="EC2" s="176"/>
      <c r="ED2" s="176"/>
      <c r="EE2" s="176"/>
      <c r="EF2" s="176"/>
      <c r="EG2" s="176"/>
      <c r="EH2" s="176"/>
      <c r="EI2" s="176"/>
      <c r="EJ2" s="176"/>
      <c r="EK2" s="177"/>
      <c r="EL2" s="175" t="s">
        <v>24</v>
      </c>
      <c r="EM2" s="176"/>
      <c r="EN2" s="176"/>
      <c r="EO2" s="177"/>
      <c r="EP2" s="164" t="s">
        <v>1</v>
      </c>
      <c r="EQ2" s="165"/>
      <c r="ER2" s="165"/>
      <c r="ES2" s="166"/>
      <c r="ET2" s="165" t="s">
        <v>72</v>
      </c>
      <c r="EU2" s="167"/>
      <c r="EV2" s="147" t="s">
        <v>2</v>
      </c>
      <c r="EW2" s="148"/>
      <c r="EX2" s="148"/>
      <c r="EY2" s="149"/>
      <c r="EZ2" s="150" t="s">
        <v>4</v>
      </c>
      <c r="FA2" s="148"/>
      <c r="FB2" s="148"/>
      <c r="FC2" s="148"/>
      <c r="FD2" s="148"/>
      <c r="FE2" s="148"/>
      <c r="FF2" s="148"/>
      <c r="FG2" s="148"/>
      <c r="FH2" s="148"/>
      <c r="FI2" s="148"/>
      <c r="FJ2" s="149"/>
      <c r="FK2" s="150" t="s">
        <v>24</v>
      </c>
      <c r="FL2" s="148"/>
      <c r="FM2" s="148"/>
      <c r="FN2" s="149"/>
      <c r="FO2" s="156" t="s">
        <v>1</v>
      </c>
      <c r="FP2" s="154"/>
      <c r="FQ2" s="154"/>
      <c r="FR2" s="157"/>
      <c r="FS2" s="154" t="s">
        <v>72</v>
      </c>
      <c r="FT2" s="155"/>
      <c r="FU2" s="171" t="s">
        <v>2</v>
      </c>
      <c r="FV2" s="172"/>
      <c r="FW2" s="172"/>
      <c r="FX2" s="173"/>
      <c r="FY2" s="174" t="s">
        <v>4</v>
      </c>
      <c r="FZ2" s="172"/>
      <c r="GA2" s="172"/>
      <c r="GB2" s="172"/>
      <c r="GC2" s="172"/>
      <c r="GD2" s="172"/>
      <c r="GE2" s="172"/>
      <c r="GF2" s="172"/>
      <c r="GG2" s="172"/>
      <c r="GH2" s="172"/>
      <c r="GI2" s="173"/>
      <c r="GJ2" s="174" t="s">
        <v>24</v>
      </c>
      <c r="GK2" s="172"/>
      <c r="GL2" s="172"/>
      <c r="GM2" s="173"/>
      <c r="GN2" s="168" t="s">
        <v>1</v>
      </c>
      <c r="GO2" s="169"/>
      <c r="GP2" s="169"/>
      <c r="GQ2" s="170"/>
      <c r="GR2" s="169" t="s">
        <v>72</v>
      </c>
      <c r="GS2" s="179"/>
      <c r="GT2" s="147" t="s">
        <v>2</v>
      </c>
      <c r="GU2" s="148"/>
      <c r="GV2" s="148"/>
      <c r="GW2" s="149"/>
      <c r="GX2" s="150" t="s">
        <v>4</v>
      </c>
      <c r="GY2" s="148"/>
      <c r="GZ2" s="148"/>
      <c r="HA2" s="148"/>
      <c r="HB2" s="148"/>
      <c r="HC2" s="148"/>
      <c r="HD2" s="148"/>
      <c r="HE2" s="148"/>
      <c r="HF2" s="148"/>
      <c r="HG2" s="148"/>
      <c r="HH2" s="149"/>
      <c r="HI2" s="150" t="s">
        <v>24</v>
      </c>
      <c r="HJ2" s="148"/>
      <c r="HK2" s="148"/>
      <c r="HL2" s="149"/>
      <c r="HM2" s="156" t="s">
        <v>1</v>
      </c>
      <c r="HN2" s="154"/>
      <c r="HO2" s="154"/>
      <c r="HP2" s="157"/>
      <c r="HQ2" s="154" t="s">
        <v>72</v>
      </c>
      <c r="HR2" s="155"/>
      <c r="HS2" s="171" t="s">
        <v>2</v>
      </c>
      <c r="HT2" s="172"/>
      <c r="HU2" s="172"/>
      <c r="HV2" s="173"/>
      <c r="HW2" s="174" t="s">
        <v>4</v>
      </c>
      <c r="HX2" s="172"/>
      <c r="HY2" s="172"/>
      <c r="HZ2" s="172"/>
      <c r="IA2" s="172"/>
      <c r="IB2" s="172"/>
      <c r="IC2" s="172"/>
      <c r="ID2" s="172"/>
      <c r="IE2" s="172"/>
      <c r="IF2" s="172"/>
      <c r="IG2" s="173"/>
      <c r="IH2" s="174" t="s">
        <v>24</v>
      </c>
      <c r="II2" s="172"/>
      <c r="IJ2" s="172"/>
      <c r="IK2" s="173"/>
      <c r="IL2" s="168" t="s">
        <v>1</v>
      </c>
      <c r="IM2" s="169"/>
      <c r="IN2" s="169"/>
      <c r="IO2" s="170"/>
      <c r="IP2" s="169" t="s">
        <v>72</v>
      </c>
      <c r="IQ2" s="179"/>
    </row>
    <row r="3" spans="1:251" ht="15.75" thickBot="1" x14ac:dyDescent="0.3">
      <c r="A3" s="2" t="s">
        <v>17</v>
      </c>
      <c r="B3" s="32" t="s">
        <v>10</v>
      </c>
      <c r="C3" s="33" t="s">
        <v>11</v>
      </c>
      <c r="D3" s="33" t="s">
        <v>3</v>
      </c>
      <c r="E3" s="36" t="s">
        <v>12</v>
      </c>
      <c r="F3" s="37" t="s">
        <v>18</v>
      </c>
      <c r="G3" s="33" t="s">
        <v>19</v>
      </c>
      <c r="H3" s="33" t="s">
        <v>20</v>
      </c>
      <c r="I3" s="33" t="s">
        <v>21</v>
      </c>
      <c r="J3" s="33" t="s">
        <v>5</v>
      </c>
      <c r="K3" s="33" t="s">
        <v>6</v>
      </c>
      <c r="L3" s="33" t="s">
        <v>13</v>
      </c>
      <c r="M3" s="33" t="s">
        <v>14</v>
      </c>
      <c r="N3" s="33" t="s">
        <v>22</v>
      </c>
      <c r="O3" s="33" t="s">
        <v>23</v>
      </c>
      <c r="P3" s="36" t="s">
        <v>15</v>
      </c>
      <c r="Q3" s="37" t="s">
        <v>7</v>
      </c>
      <c r="R3" s="33" t="s">
        <v>8</v>
      </c>
      <c r="S3" s="33" t="s">
        <v>9</v>
      </c>
      <c r="T3" s="36" t="s">
        <v>16</v>
      </c>
      <c r="U3" s="37" t="s">
        <v>25</v>
      </c>
      <c r="V3" s="33" t="s">
        <v>26</v>
      </c>
      <c r="W3" s="33" t="s">
        <v>27</v>
      </c>
      <c r="X3" s="36" t="s">
        <v>28</v>
      </c>
      <c r="Y3" s="38" t="s">
        <v>54</v>
      </c>
      <c r="Z3" s="39" t="s">
        <v>55</v>
      </c>
      <c r="AA3" s="7" t="s">
        <v>10</v>
      </c>
      <c r="AB3" s="8" t="s">
        <v>11</v>
      </c>
      <c r="AC3" s="8" t="s">
        <v>3</v>
      </c>
      <c r="AD3" s="14" t="s">
        <v>12</v>
      </c>
      <c r="AE3" s="11" t="s">
        <v>18</v>
      </c>
      <c r="AF3" s="8" t="s">
        <v>19</v>
      </c>
      <c r="AG3" s="8" t="s">
        <v>20</v>
      </c>
      <c r="AH3" s="8" t="s">
        <v>21</v>
      </c>
      <c r="AI3" s="8" t="s">
        <v>5</v>
      </c>
      <c r="AJ3" s="8" t="s">
        <v>6</v>
      </c>
      <c r="AK3" s="8" t="s">
        <v>13</v>
      </c>
      <c r="AL3" s="8" t="s">
        <v>14</v>
      </c>
      <c r="AM3" s="8" t="s">
        <v>22</v>
      </c>
      <c r="AN3" s="8" t="s">
        <v>23</v>
      </c>
      <c r="AO3" s="14" t="s">
        <v>15</v>
      </c>
      <c r="AP3" s="11" t="s">
        <v>7</v>
      </c>
      <c r="AQ3" s="8" t="s">
        <v>8</v>
      </c>
      <c r="AR3" s="8" t="s">
        <v>9</v>
      </c>
      <c r="AS3" s="14" t="s">
        <v>16</v>
      </c>
      <c r="AT3" s="11" t="s">
        <v>25</v>
      </c>
      <c r="AU3" s="8" t="s">
        <v>26</v>
      </c>
      <c r="AV3" s="8" t="s">
        <v>27</v>
      </c>
      <c r="AW3" s="14" t="s">
        <v>28</v>
      </c>
      <c r="AX3" s="27" t="s">
        <v>54</v>
      </c>
      <c r="AY3" s="28" t="s">
        <v>55</v>
      </c>
      <c r="AZ3" s="32" t="s">
        <v>10</v>
      </c>
      <c r="BA3" s="33" t="s">
        <v>11</v>
      </c>
      <c r="BB3" s="33" t="s">
        <v>3</v>
      </c>
      <c r="BC3" s="36" t="s">
        <v>12</v>
      </c>
      <c r="BD3" s="37" t="s">
        <v>18</v>
      </c>
      <c r="BE3" s="33" t="s">
        <v>19</v>
      </c>
      <c r="BF3" s="33" t="s">
        <v>20</v>
      </c>
      <c r="BG3" s="33" t="s">
        <v>21</v>
      </c>
      <c r="BH3" s="33" t="s">
        <v>5</v>
      </c>
      <c r="BI3" s="33" t="s">
        <v>6</v>
      </c>
      <c r="BJ3" s="33" t="s">
        <v>13</v>
      </c>
      <c r="BK3" s="33" t="s">
        <v>14</v>
      </c>
      <c r="BL3" s="33" t="s">
        <v>22</v>
      </c>
      <c r="BM3" s="33" t="s">
        <v>23</v>
      </c>
      <c r="BN3" s="36" t="s">
        <v>15</v>
      </c>
      <c r="BO3" s="37" t="s">
        <v>7</v>
      </c>
      <c r="BP3" s="33" t="s">
        <v>8</v>
      </c>
      <c r="BQ3" s="33" t="s">
        <v>9</v>
      </c>
      <c r="BR3" s="36" t="s">
        <v>16</v>
      </c>
      <c r="BS3" s="37" t="s">
        <v>25</v>
      </c>
      <c r="BT3" s="33" t="s">
        <v>26</v>
      </c>
      <c r="BU3" s="33" t="s">
        <v>27</v>
      </c>
      <c r="BV3" s="36" t="s">
        <v>28</v>
      </c>
      <c r="BW3" s="38" t="s">
        <v>54</v>
      </c>
      <c r="BX3" s="39" t="s">
        <v>55</v>
      </c>
      <c r="BY3" s="7" t="s">
        <v>10</v>
      </c>
      <c r="BZ3" s="8" t="s">
        <v>11</v>
      </c>
      <c r="CA3" s="8" t="s">
        <v>3</v>
      </c>
      <c r="CB3" s="14" t="s">
        <v>12</v>
      </c>
      <c r="CC3" s="11" t="s">
        <v>18</v>
      </c>
      <c r="CD3" s="8" t="s">
        <v>19</v>
      </c>
      <c r="CE3" s="8" t="s">
        <v>20</v>
      </c>
      <c r="CF3" s="8" t="s">
        <v>21</v>
      </c>
      <c r="CG3" s="8" t="s">
        <v>5</v>
      </c>
      <c r="CH3" s="8" t="s">
        <v>6</v>
      </c>
      <c r="CI3" s="8" t="s">
        <v>13</v>
      </c>
      <c r="CJ3" s="8" t="s">
        <v>14</v>
      </c>
      <c r="CK3" s="8" t="s">
        <v>22</v>
      </c>
      <c r="CL3" s="8" t="s">
        <v>23</v>
      </c>
      <c r="CM3" s="14" t="s">
        <v>15</v>
      </c>
      <c r="CN3" s="11" t="s">
        <v>7</v>
      </c>
      <c r="CO3" s="8" t="s">
        <v>8</v>
      </c>
      <c r="CP3" s="8" t="s">
        <v>9</v>
      </c>
      <c r="CQ3" s="14" t="s">
        <v>16</v>
      </c>
      <c r="CR3" s="11" t="s">
        <v>25</v>
      </c>
      <c r="CS3" s="8" t="s">
        <v>26</v>
      </c>
      <c r="CT3" s="8" t="s">
        <v>27</v>
      </c>
      <c r="CU3" s="14" t="s">
        <v>28</v>
      </c>
      <c r="CV3" s="27" t="s">
        <v>54</v>
      </c>
      <c r="CW3" s="28" t="s">
        <v>55</v>
      </c>
      <c r="CX3" s="32" t="s">
        <v>10</v>
      </c>
      <c r="CY3" s="33" t="s">
        <v>11</v>
      </c>
      <c r="CZ3" s="33" t="s">
        <v>3</v>
      </c>
      <c r="DA3" s="36" t="s">
        <v>12</v>
      </c>
      <c r="DB3" s="37" t="s">
        <v>18</v>
      </c>
      <c r="DC3" s="33" t="s">
        <v>19</v>
      </c>
      <c r="DD3" s="33" t="s">
        <v>20</v>
      </c>
      <c r="DE3" s="33" t="s">
        <v>21</v>
      </c>
      <c r="DF3" s="33" t="s">
        <v>5</v>
      </c>
      <c r="DG3" s="33" t="s">
        <v>6</v>
      </c>
      <c r="DH3" s="33" t="s">
        <v>13</v>
      </c>
      <c r="DI3" s="33" t="s">
        <v>14</v>
      </c>
      <c r="DJ3" s="33" t="s">
        <v>22</v>
      </c>
      <c r="DK3" s="33" t="s">
        <v>23</v>
      </c>
      <c r="DL3" s="36" t="s">
        <v>15</v>
      </c>
      <c r="DM3" s="37" t="s">
        <v>7</v>
      </c>
      <c r="DN3" s="33" t="s">
        <v>8</v>
      </c>
      <c r="DO3" s="33" t="s">
        <v>9</v>
      </c>
      <c r="DP3" s="36" t="s">
        <v>16</v>
      </c>
      <c r="DQ3" s="37" t="s">
        <v>25</v>
      </c>
      <c r="DR3" s="33" t="s">
        <v>26</v>
      </c>
      <c r="DS3" s="33" t="s">
        <v>27</v>
      </c>
      <c r="DT3" s="36" t="s">
        <v>28</v>
      </c>
      <c r="DU3" s="38" t="s">
        <v>54</v>
      </c>
      <c r="DV3" s="39" t="s">
        <v>55</v>
      </c>
      <c r="DW3" s="49" t="s">
        <v>10</v>
      </c>
      <c r="DX3" s="50" t="s">
        <v>11</v>
      </c>
      <c r="DY3" s="50" t="s">
        <v>3</v>
      </c>
      <c r="DZ3" s="51" t="s">
        <v>12</v>
      </c>
      <c r="EA3" s="52" t="s">
        <v>18</v>
      </c>
      <c r="EB3" s="50" t="s">
        <v>19</v>
      </c>
      <c r="EC3" s="50" t="s">
        <v>20</v>
      </c>
      <c r="ED3" s="50" t="s">
        <v>21</v>
      </c>
      <c r="EE3" s="50" t="s">
        <v>5</v>
      </c>
      <c r="EF3" s="50" t="s">
        <v>6</v>
      </c>
      <c r="EG3" s="50" t="s">
        <v>13</v>
      </c>
      <c r="EH3" s="50" t="s">
        <v>14</v>
      </c>
      <c r="EI3" s="50" t="s">
        <v>22</v>
      </c>
      <c r="EJ3" s="50" t="s">
        <v>23</v>
      </c>
      <c r="EK3" s="51" t="s">
        <v>15</v>
      </c>
      <c r="EL3" s="52" t="s">
        <v>7</v>
      </c>
      <c r="EM3" s="50" t="s">
        <v>8</v>
      </c>
      <c r="EN3" s="50" t="s">
        <v>9</v>
      </c>
      <c r="EO3" s="51" t="s">
        <v>16</v>
      </c>
      <c r="EP3" s="52" t="s">
        <v>25</v>
      </c>
      <c r="EQ3" s="50" t="s">
        <v>26</v>
      </c>
      <c r="ER3" s="50" t="s">
        <v>27</v>
      </c>
      <c r="ES3" s="51" t="s">
        <v>28</v>
      </c>
      <c r="ET3" s="53" t="s">
        <v>54</v>
      </c>
      <c r="EU3" s="54" t="s">
        <v>55</v>
      </c>
      <c r="EV3" s="32" t="s">
        <v>10</v>
      </c>
      <c r="EW3" s="33" t="s">
        <v>11</v>
      </c>
      <c r="EX3" s="33" t="s">
        <v>3</v>
      </c>
      <c r="EY3" s="36" t="s">
        <v>12</v>
      </c>
      <c r="EZ3" s="37" t="s">
        <v>18</v>
      </c>
      <c r="FA3" s="33" t="s">
        <v>19</v>
      </c>
      <c r="FB3" s="33" t="s">
        <v>20</v>
      </c>
      <c r="FC3" s="33" t="s">
        <v>21</v>
      </c>
      <c r="FD3" s="33" t="s">
        <v>5</v>
      </c>
      <c r="FE3" s="33" t="s">
        <v>6</v>
      </c>
      <c r="FF3" s="33" t="s">
        <v>13</v>
      </c>
      <c r="FG3" s="33" t="s">
        <v>14</v>
      </c>
      <c r="FH3" s="33" t="s">
        <v>22</v>
      </c>
      <c r="FI3" s="33" t="s">
        <v>23</v>
      </c>
      <c r="FJ3" s="36" t="s">
        <v>15</v>
      </c>
      <c r="FK3" s="37" t="s">
        <v>7</v>
      </c>
      <c r="FL3" s="33" t="s">
        <v>8</v>
      </c>
      <c r="FM3" s="33" t="s">
        <v>9</v>
      </c>
      <c r="FN3" s="36" t="s">
        <v>16</v>
      </c>
      <c r="FO3" s="37" t="s">
        <v>25</v>
      </c>
      <c r="FP3" s="33" t="s">
        <v>26</v>
      </c>
      <c r="FQ3" s="33" t="s">
        <v>27</v>
      </c>
      <c r="FR3" s="36" t="s">
        <v>28</v>
      </c>
      <c r="FS3" s="38" t="s">
        <v>54</v>
      </c>
      <c r="FT3" s="39" t="s">
        <v>55</v>
      </c>
      <c r="FU3" s="7" t="s">
        <v>10</v>
      </c>
      <c r="FV3" s="8" t="s">
        <v>11</v>
      </c>
      <c r="FW3" s="8" t="s">
        <v>3</v>
      </c>
      <c r="FX3" s="14" t="s">
        <v>12</v>
      </c>
      <c r="FY3" s="11" t="s">
        <v>18</v>
      </c>
      <c r="FZ3" s="8" t="s">
        <v>19</v>
      </c>
      <c r="GA3" s="8" t="s">
        <v>20</v>
      </c>
      <c r="GB3" s="8" t="s">
        <v>21</v>
      </c>
      <c r="GC3" s="8" t="s">
        <v>5</v>
      </c>
      <c r="GD3" s="8" t="s">
        <v>6</v>
      </c>
      <c r="GE3" s="8" t="s">
        <v>13</v>
      </c>
      <c r="GF3" s="8" t="s">
        <v>14</v>
      </c>
      <c r="GG3" s="8" t="s">
        <v>22</v>
      </c>
      <c r="GH3" s="8" t="s">
        <v>23</v>
      </c>
      <c r="GI3" s="14" t="s">
        <v>15</v>
      </c>
      <c r="GJ3" s="11" t="s">
        <v>7</v>
      </c>
      <c r="GK3" s="8" t="s">
        <v>8</v>
      </c>
      <c r="GL3" s="8" t="s">
        <v>9</v>
      </c>
      <c r="GM3" s="14" t="s">
        <v>16</v>
      </c>
      <c r="GN3" s="11" t="s">
        <v>25</v>
      </c>
      <c r="GO3" s="8" t="s">
        <v>26</v>
      </c>
      <c r="GP3" s="8" t="s">
        <v>27</v>
      </c>
      <c r="GQ3" s="14" t="s">
        <v>28</v>
      </c>
      <c r="GR3" s="27" t="s">
        <v>54</v>
      </c>
      <c r="GS3" s="28" t="s">
        <v>55</v>
      </c>
      <c r="GT3" s="32" t="s">
        <v>10</v>
      </c>
      <c r="GU3" s="33" t="s">
        <v>11</v>
      </c>
      <c r="GV3" s="33" t="s">
        <v>3</v>
      </c>
      <c r="GW3" s="36" t="s">
        <v>12</v>
      </c>
      <c r="GX3" s="37" t="s">
        <v>18</v>
      </c>
      <c r="GY3" s="33" t="s">
        <v>19</v>
      </c>
      <c r="GZ3" s="33" t="s">
        <v>20</v>
      </c>
      <c r="HA3" s="33" t="s">
        <v>21</v>
      </c>
      <c r="HB3" s="33" t="s">
        <v>5</v>
      </c>
      <c r="HC3" s="33" t="s">
        <v>6</v>
      </c>
      <c r="HD3" s="33" t="s">
        <v>13</v>
      </c>
      <c r="HE3" s="33" t="s">
        <v>14</v>
      </c>
      <c r="HF3" s="33" t="s">
        <v>22</v>
      </c>
      <c r="HG3" s="33" t="s">
        <v>23</v>
      </c>
      <c r="HH3" s="36" t="s">
        <v>15</v>
      </c>
      <c r="HI3" s="37" t="s">
        <v>7</v>
      </c>
      <c r="HJ3" s="33" t="s">
        <v>8</v>
      </c>
      <c r="HK3" s="33" t="s">
        <v>9</v>
      </c>
      <c r="HL3" s="36" t="s">
        <v>16</v>
      </c>
      <c r="HM3" s="37" t="s">
        <v>25</v>
      </c>
      <c r="HN3" s="33" t="s">
        <v>26</v>
      </c>
      <c r="HO3" s="33" t="s">
        <v>27</v>
      </c>
      <c r="HP3" s="36" t="s">
        <v>28</v>
      </c>
      <c r="HQ3" s="38" t="s">
        <v>54</v>
      </c>
      <c r="HR3" s="39" t="s">
        <v>55</v>
      </c>
      <c r="HS3" s="7" t="s">
        <v>10</v>
      </c>
      <c r="HT3" s="8" t="s">
        <v>11</v>
      </c>
      <c r="HU3" s="8" t="s">
        <v>3</v>
      </c>
      <c r="HV3" s="14" t="s">
        <v>12</v>
      </c>
      <c r="HW3" s="11" t="s">
        <v>18</v>
      </c>
      <c r="HX3" s="8" t="s">
        <v>19</v>
      </c>
      <c r="HY3" s="8" t="s">
        <v>20</v>
      </c>
      <c r="HZ3" s="8" t="s">
        <v>21</v>
      </c>
      <c r="IA3" s="8" t="s">
        <v>5</v>
      </c>
      <c r="IB3" s="8" t="s">
        <v>6</v>
      </c>
      <c r="IC3" s="8" t="s">
        <v>13</v>
      </c>
      <c r="ID3" s="8" t="s">
        <v>14</v>
      </c>
      <c r="IE3" s="8" t="s">
        <v>22</v>
      </c>
      <c r="IF3" s="8" t="s">
        <v>23</v>
      </c>
      <c r="IG3" s="14" t="s">
        <v>15</v>
      </c>
      <c r="IH3" s="11" t="s">
        <v>7</v>
      </c>
      <c r="II3" s="8" t="s">
        <v>8</v>
      </c>
      <c r="IJ3" s="8" t="s">
        <v>9</v>
      </c>
      <c r="IK3" s="14" t="s">
        <v>16</v>
      </c>
      <c r="IL3" s="11" t="s">
        <v>25</v>
      </c>
      <c r="IM3" s="8" t="s">
        <v>26</v>
      </c>
      <c r="IN3" s="8" t="s">
        <v>27</v>
      </c>
      <c r="IO3" s="14" t="s">
        <v>28</v>
      </c>
      <c r="IP3" s="27" t="s">
        <v>54</v>
      </c>
      <c r="IQ3" s="28" t="s">
        <v>55</v>
      </c>
    </row>
    <row r="4" spans="1:251" x14ac:dyDescent="0.25">
      <c r="A4" s="2">
        <v>27</v>
      </c>
      <c r="B4" s="40"/>
      <c r="C4" s="41"/>
      <c r="D4" s="41"/>
      <c r="E4" s="42"/>
      <c r="F4" s="43"/>
      <c r="G4" s="41"/>
      <c r="H4" s="41"/>
      <c r="I4" s="41"/>
      <c r="J4" s="41"/>
      <c r="K4" s="41"/>
      <c r="L4" s="41"/>
      <c r="M4" s="41"/>
      <c r="N4" s="41"/>
      <c r="O4" s="41"/>
      <c r="P4" s="42"/>
      <c r="Q4" s="43"/>
      <c r="R4" s="41"/>
      <c r="S4" s="41"/>
      <c r="T4" s="42"/>
      <c r="U4" s="43"/>
      <c r="V4" s="41"/>
      <c r="W4" s="41"/>
      <c r="X4" s="42"/>
      <c r="Y4" s="43"/>
      <c r="Z4" s="44"/>
      <c r="AA4" s="23"/>
      <c r="AB4" s="22"/>
      <c r="AC4" s="22"/>
      <c r="AD4" s="24"/>
      <c r="AE4" s="25"/>
      <c r="AF4" s="22"/>
      <c r="AG4" s="22"/>
      <c r="AH4" s="22"/>
      <c r="AI4" s="22"/>
      <c r="AJ4" s="22"/>
      <c r="AK4" s="22"/>
      <c r="AL4" s="22"/>
      <c r="AM4" s="22"/>
      <c r="AN4" s="22"/>
      <c r="AO4" s="24"/>
      <c r="AP4" s="25"/>
      <c r="AQ4" s="22"/>
      <c r="AR4" s="22"/>
      <c r="AS4" s="24"/>
      <c r="AT4" s="25"/>
      <c r="AU4" s="22"/>
      <c r="AV4" s="22"/>
      <c r="AW4" s="24"/>
      <c r="AX4" s="25"/>
      <c r="AY4" s="26"/>
      <c r="AZ4" s="40"/>
      <c r="BA4" s="41"/>
      <c r="BB4" s="41"/>
      <c r="BC4" s="42"/>
      <c r="BD4" s="43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43"/>
      <c r="BP4" s="41"/>
      <c r="BQ4" s="41"/>
      <c r="BR4" s="42"/>
      <c r="BS4" s="43"/>
      <c r="BT4" s="41"/>
      <c r="BU4" s="41"/>
      <c r="BV4" s="42"/>
      <c r="BW4" s="43"/>
      <c r="BX4" s="44"/>
      <c r="BY4" s="23"/>
      <c r="BZ4" s="22"/>
      <c r="CA4" s="22"/>
      <c r="CB4" s="24"/>
      <c r="CC4" s="25"/>
      <c r="CD4" s="22"/>
      <c r="CE4" s="22"/>
      <c r="CF4" s="22"/>
      <c r="CG4" s="22"/>
      <c r="CH4" s="22"/>
      <c r="CI4" s="22"/>
      <c r="CJ4" s="22"/>
      <c r="CK4" s="22"/>
      <c r="CL4" s="22"/>
      <c r="CM4" s="24"/>
      <c r="CN4" s="25"/>
      <c r="CO4" s="22"/>
      <c r="CP4" s="22"/>
      <c r="CQ4" s="24"/>
      <c r="CR4" s="25"/>
      <c r="CS4" s="22"/>
      <c r="CT4" s="22"/>
      <c r="CU4" s="24"/>
      <c r="CV4" s="25"/>
      <c r="CW4" s="26"/>
      <c r="CX4" s="40"/>
      <c r="CY4" s="41"/>
      <c r="CZ4" s="41"/>
      <c r="DA4" s="42"/>
      <c r="DB4" s="43"/>
      <c r="DC4" s="41"/>
      <c r="DD4" s="41"/>
      <c r="DE4" s="41"/>
      <c r="DF4" s="41"/>
      <c r="DG4" s="41"/>
      <c r="DH4" s="41"/>
      <c r="DI4" s="41"/>
      <c r="DJ4" s="41"/>
      <c r="DK4" s="41"/>
      <c r="DL4" s="42"/>
      <c r="DM4" s="43"/>
      <c r="DN4" s="41"/>
      <c r="DO4" s="41"/>
      <c r="DP4" s="42"/>
      <c r="DQ4" s="43"/>
      <c r="DR4" s="41"/>
      <c r="DS4" s="41"/>
      <c r="DT4" s="42"/>
      <c r="DU4" s="43"/>
      <c r="DV4" s="44"/>
      <c r="DW4" s="55"/>
      <c r="DX4" s="56"/>
      <c r="DY4" s="56"/>
      <c r="DZ4" s="57"/>
      <c r="EA4" s="58"/>
      <c r="EB4" s="56"/>
      <c r="EC4" s="56"/>
      <c r="ED4" s="56"/>
      <c r="EE4" s="56"/>
      <c r="EF4" s="56"/>
      <c r="EG4" s="56"/>
      <c r="EH4" s="56"/>
      <c r="EI4" s="56"/>
      <c r="EJ4" s="56"/>
      <c r="EK4" s="57"/>
      <c r="EL4" s="58"/>
      <c r="EM4" s="56"/>
      <c r="EN4" s="56"/>
      <c r="EO4" s="57"/>
      <c r="EP4" s="58"/>
      <c r="EQ4" s="56"/>
      <c r="ER4" s="56"/>
      <c r="ES4" s="57"/>
      <c r="ET4" s="58"/>
      <c r="EU4" s="59"/>
      <c r="EV4" s="40"/>
      <c r="EW4" s="41"/>
      <c r="EX4" s="41"/>
      <c r="EY4" s="42"/>
      <c r="EZ4" s="43"/>
      <c r="FA4" s="41"/>
      <c r="FB4" s="41"/>
      <c r="FC4" s="41"/>
      <c r="FD4" s="41"/>
      <c r="FE4" s="41"/>
      <c r="FF4" s="41"/>
      <c r="FG4" s="41"/>
      <c r="FH4" s="41"/>
      <c r="FI4" s="41"/>
      <c r="FJ4" s="42"/>
      <c r="FK4" s="43"/>
      <c r="FL4" s="41"/>
      <c r="FM4" s="41"/>
      <c r="FN4" s="42"/>
      <c r="FO4" s="43"/>
      <c r="FP4" s="41"/>
      <c r="FQ4" s="41"/>
      <c r="FR4" s="42"/>
      <c r="FS4" s="43"/>
      <c r="FT4" s="44"/>
      <c r="FU4" s="23"/>
      <c r="FV4" s="22"/>
      <c r="FW4" s="22"/>
      <c r="FX4" s="24"/>
      <c r="FY4" s="25"/>
      <c r="FZ4" s="22"/>
      <c r="GA4" s="22"/>
      <c r="GB4" s="22"/>
      <c r="GC4" s="22"/>
      <c r="GD4" s="22"/>
      <c r="GE4" s="22"/>
      <c r="GF4" s="22"/>
      <c r="GG4" s="22"/>
      <c r="GH4" s="22"/>
      <c r="GI4" s="24"/>
      <c r="GJ4" s="25"/>
      <c r="GK4" s="22"/>
      <c r="GL4" s="22"/>
      <c r="GM4" s="24"/>
      <c r="GN4" s="25"/>
      <c r="GO4" s="22"/>
      <c r="GP4" s="22"/>
      <c r="GQ4" s="24"/>
      <c r="GR4" s="25"/>
      <c r="GS4" s="26"/>
      <c r="GT4" s="40"/>
      <c r="GU4" s="41"/>
      <c r="GV4" s="41"/>
      <c r="GW4" s="42"/>
      <c r="GX4" s="43"/>
      <c r="GY4" s="41"/>
      <c r="GZ4" s="41"/>
      <c r="HA4" s="41"/>
      <c r="HB4" s="41"/>
      <c r="HC4" s="41"/>
      <c r="HD4" s="41"/>
      <c r="HE4" s="41"/>
      <c r="HF4" s="41"/>
      <c r="HG4" s="41"/>
      <c r="HH4" s="42"/>
      <c r="HI4" s="43"/>
      <c r="HJ4" s="41"/>
      <c r="HK4" s="41"/>
      <c r="HL4" s="42"/>
      <c r="HM4" s="43"/>
      <c r="HN4" s="41"/>
      <c r="HO4" s="41"/>
      <c r="HP4" s="42"/>
      <c r="HQ4" s="43"/>
      <c r="HR4" s="44"/>
      <c r="HS4" s="23"/>
      <c r="HT4" s="22"/>
      <c r="HU4" s="22"/>
      <c r="HV4" s="24"/>
      <c r="HW4" s="25"/>
      <c r="HX4" s="22"/>
      <c r="HY4" s="22"/>
      <c r="HZ4" s="22"/>
      <c r="IA4" s="22"/>
      <c r="IB4" s="22"/>
      <c r="IC4" s="22"/>
      <c r="ID4" s="22"/>
      <c r="IE4" s="22"/>
      <c r="IF4" s="22"/>
      <c r="IG4" s="24"/>
      <c r="IH4" s="25"/>
      <c r="II4" s="22"/>
      <c r="IJ4" s="22"/>
      <c r="IK4" s="24"/>
      <c r="IL4" s="25"/>
      <c r="IM4" s="22"/>
      <c r="IN4" s="22"/>
      <c r="IO4" s="24"/>
      <c r="IP4" s="25"/>
      <c r="IQ4" s="26"/>
    </row>
    <row r="5" spans="1:251" x14ac:dyDescent="0.25">
      <c r="A5" s="2">
        <v>269</v>
      </c>
      <c r="B5" s="29"/>
      <c r="C5" s="30"/>
      <c r="D5" s="30"/>
      <c r="E5" s="45"/>
      <c r="F5" s="46"/>
      <c r="G5" s="30"/>
      <c r="H5" s="30"/>
      <c r="I5" s="30"/>
      <c r="J5" s="30"/>
      <c r="K5" s="30"/>
      <c r="L5" s="30"/>
      <c r="M5" s="30"/>
      <c r="N5" s="30"/>
      <c r="O5" s="30"/>
      <c r="P5" s="45"/>
      <c r="Q5" s="46"/>
      <c r="R5" s="30"/>
      <c r="S5" s="30"/>
      <c r="T5" s="45"/>
      <c r="U5" s="46"/>
      <c r="V5" s="30"/>
      <c r="W5" s="30"/>
      <c r="X5" s="45"/>
      <c r="Y5" s="46"/>
      <c r="Z5" s="31"/>
      <c r="AA5" s="5"/>
      <c r="AB5" s="1"/>
      <c r="AC5" s="1"/>
      <c r="AD5" s="15"/>
      <c r="AE5" s="10"/>
      <c r="AF5" s="1"/>
      <c r="AG5" s="1"/>
      <c r="AH5" s="1"/>
      <c r="AI5" s="1"/>
      <c r="AJ5" s="1"/>
      <c r="AK5" s="1"/>
      <c r="AL5" s="1"/>
      <c r="AM5" s="1"/>
      <c r="AN5" s="1"/>
      <c r="AO5" s="15"/>
      <c r="AP5" s="10"/>
      <c r="AQ5" s="1"/>
      <c r="AR5" s="1"/>
      <c r="AS5" s="15"/>
      <c r="AT5" s="10"/>
      <c r="AU5" s="1"/>
      <c r="AV5" s="1"/>
      <c r="AW5" s="15"/>
      <c r="AX5" s="10"/>
      <c r="AY5" s="6"/>
      <c r="AZ5" s="29"/>
      <c r="BA5" s="30"/>
      <c r="BB5" s="30"/>
      <c r="BC5" s="45"/>
      <c r="BD5" s="46"/>
      <c r="BE5" s="30"/>
      <c r="BF5" s="30"/>
      <c r="BG5" s="30"/>
      <c r="BH5" s="30"/>
      <c r="BI5" s="30"/>
      <c r="BJ5" s="30"/>
      <c r="BK5" s="30"/>
      <c r="BL5" s="30"/>
      <c r="BM5" s="30"/>
      <c r="BN5" s="45"/>
      <c r="BO5" s="46"/>
      <c r="BP5" s="30"/>
      <c r="BQ5" s="30"/>
      <c r="BR5" s="45"/>
      <c r="BS5" s="46"/>
      <c r="BT5" s="30"/>
      <c r="BU5" s="30"/>
      <c r="BV5" s="45"/>
      <c r="BW5" s="46"/>
      <c r="BX5" s="31"/>
      <c r="BY5" s="5"/>
      <c r="BZ5" s="1"/>
      <c r="CA5" s="1"/>
      <c r="CB5" s="15"/>
      <c r="CC5" s="10"/>
      <c r="CD5" s="1"/>
      <c r="CE5" s="1"/>
      <c r="CF5" s="1"/>
      <c r="CG5" s="1"/>
      <c r="CH5" s="1"/>
      <c r="CI5" s="1"/>
      <c r="CJ5" s="1"/>
      <c r="CK5" s="1"/>
      <c r="CL5" s="1"/>
      <c r="CM5" s="15"/>
      <c r="CN5" s="10"/>
      <c r="CO5" s="1"/>
      <c r="CP5" s="1"/>
      <c r="CQ5" s="15"/>
      <c r="CR5" s="10"/>
      <c r="CS5" s="1"/>
      <c r="CT5" s="1"/>
      <c r="CU5" s="15"/>
      <c r="CV5" s="10"/>
      <c r="CW5" s="6"/>
      <c r="CX5" s="29"/>
      <c r="CY5" s="30"/>
      <c r="CZ5" s="30"/>
      <c r="DA5" s="45"/>
      <c r="DB5" s="46"/>
      <c r="DC5" s="30"/>
      <c r="DD5" s="30"/>
      <c r="DE5" s="30"/>
      <c r="DF5" s="30"/>
      <c r="DG5" s="30"/>
      <c r="DH5" s="30"/>
      <c r="DI5" s="30"/>
      <c r="DJ5" s="30"/>
      <c r="DK5" s="30"/>
      <c r="DL5" s="45"/>
      <c r="DM5" s="46"/>
      <c r="DN5" s="30"/>
      <c r="DO5" s="30"/>
      <c r="DP5" s="45"/>
      <c r="DQ5" s="46"/>
      <c r="DR5" s="30"/>
      <c r="DS5" s="30"/>
      <c r="DT5" s="45"/>
      <c r="DU5" s="46"/>
      <c r="DV5" s="31"/>
      <c r="DW5" s="60"/>
      <c r="DX5" s="61"/>
      <c r="DY5" s="61"/>
      <c r="DZ5" s="62"/>
      <c r="EA5" s="63"/>
      <c r="EB5" s="61"/>
      <c r="EC5" s="61"/>
      <c r="ED5" s="61"/>
      <c r="EE5" s="61"/>
      <c r="EF5" s="61"/>
      <c r="EG5" s="61"/>
      <c r="EH5" s="61"/>
      <c r="EI5" s="61"/>
      <c r="EJ5" s="61"/>
      <c r="EK5" s="62"/>
      <c r="EL5" s="63"/>
      <c r="EM5" s="61"/>
      <c r="EN5" s="61"/>
      <c r="EO5" s="62"/>
      <c r="EP5" s="63"/>
      <c r="EQ5" s="61"/>
      <c r="ER5" s="61"/>
      <c r="ES5" s="62"/>
      <c r="ET5" s="63"/>
      <c r="EU5" s="64"/>
      <c r="EV5" s="29"/>
      <c r="EW5" s="30"/>
      <c r="EX5" s="30"/>
      <c r="EY5" s="45"/>
      <c r="EZ5" s="46"/>
      <c r="FA5" s="30"/>
      <c r="FB5" s="30"/>
      <c r="FC5" s="30"/>
      <c r="FD5" s="30"/>
      <c r="FE5" s="30"/>
      <c r="FF5" s="30"/>
      <c r="FG5" s="30"/>
      <c r="FH5" s="30"/>
      <c r="FI5" s="30"/>
      <c r="FJ5" s="45"/>
      <c r="FK5" s="46"/>
      <c r="FL5" s="30"/>
      <c r="FM5" s="30"/>
      <c r="FN5" s="45"/>
      <c r="FO5" s="46"/>
      <c r="FP5" s="30"/>
      <c r="FQ5" s="30"/>
      <c r="FR5" s="45"/>
      <c r="FS5" s="46"/>
      <c r="FT5" s="31"/>
      <c r="FU5" s="5"/>
      <c r="FV5" s="1"/>
      <c r="FW5" s="1"/>
      <c r="FX5" s="15"/>
      <c r="FY5" s="10"/>
      <c r="FZ5" s="1"/>
      <c r="GA5" s="1"/>
      <c r="GB5" s="1"/>
      <c r="GC5" s="1"/>
      <c r="GD5" s="1"/>
      <c r="GE5" s="1"/>
      <c r="GF5" s="1"/>
      <c r="GG5" s="1"/>
      <c r="GH5" s="1"/>
      <c r="GI5" s="15"/>
      <c r="GJ5" s="10"/>
      <c r="GK5" s="1"/>
      <c r="GL5" s="1"/>
      <c r="GM5" s="15"/>
      <c r="GN5" s="10"/>
      <c r="GO5" s="1"/>
      <c r="GP5" s="1"/>
      <c r="GQ5" s="15"/>
      <c r="GR5" s="10"/>
      <c r="GS5" s="6"/>
      <c r="GT5" s="29"/>
      <c r="GU5" s="30"/>
      <c r="GV5" s="30"/>
      <c r="GW5" s="45"/>
      <c r="GX5" s="46"/>
      <c r="GY5" s="30"/>
      <c r="GZ5" s="30"/>
      <c r="HA5" s="30"/>
      <c r="HB5" s="30"/>
      <c r="HC5" s="30"/>
      <c r="HD5" s="30"/>
      <c r="HE5" s="30"/>
      <c r="HF5" s="30"/>
      <c r="HG5" s="30"/>
      <c r="HH5" s="45"/>
      <c r="HI5" s="46"/>
      <c r="HJ5" s="30"/>
      <c r="HK5" s="30"/>
      <c r="HL5" s="45"/>
      <c r="HM5" s="46"/>
      <c r="HN5" s="30"/>
      <c r="HO5" s="30"/>
      <c r="HP5" s="45"/>
      <c r="HQ5" s="46"/>
      <c r="HR5" s="31"/>
      <c r="HS5" s="5"/>
      <c r="HT5" s="1"/>
      <c r="HU5" s="1"/>
      <c r="HV5" s="15"/>
      <c r="HW5" s="10"/>
      <c r="HX5" s="1"/>
      <c r="HY5" s="1"/>
      <c r="HZ5" s="1"/>
      <c r="IA5" s="1"/>
      <c r="IB5" s="1"/>
      <c r="IC5" s="1"/>
      <c r="ID5" s="1"/>
      <c r="IE5" s="1"/>
      <c r="IF5" s="1"/>
      <c r="IG5" s="15"/>
      <c r="IH5" s="10"/>
      <c r="II5" s="1"/>
      <c r="IJ5" s="1"/>
      <c r="IK5" s="15"/>
      <c r="IL5" s="10"/>
      <c r="IM5" s="1"/>
      <c r="IN5" s="1"/>
      <c r="IO5" s="15"/>
      <c r="IP5" s="10"/>
      <c r="IQ5" s="6"/>
    </row>
    <row r="6" spans="1:251" x14ac:dyDescent="0.25">
      <c r="A6" s="2">
        <v>359</v>
      </c>
      <c r="B6" s="29"/>
      <c r="C6" s="30"/>
      <c r="D6" s="30"/>
      <c r="E6" s="45"/>
      <c r="F6" s="46"/>
      <c r="G6" s="30"/>
      <c r="H6" s="30"/>
      <c r="I6" s="30"/>
      <c r="J6" s="30"/>
      <c r="K6" s="30"/>
      <c r="L6" s="30"/>
      <c r="M6" s="30"/>
      <c r="N6" s="30"/>
      <c r="O6" s="30"/>
      <c r="P6" s="45"/>
      <c r="Q6" s="46"/>
      <c r="R6" s="30"/>
      <c r="S6" s="30"/>
      <c r="T6" s="45"/>
      <c r="U6" s="46"/>
      <c r="V6" s="30"/>
      <c r="W6" s="30"/>
      <c r="X6" s="45"/>
      <c r="Y6" s="46"/>
      <c r="Z6" s="31"/>
      <c r="AA6" s="5"/>
      <c r="AB6" s="1"/>
      <c r="AC6" s="1"/>
      <c r="AD6" s="15"/>
      <c r="AE6" s="10"/>
      <c r="AF6" s="1"/>
      <c r="AG6" s="1"/>
      <c r="AH6" s="1"/>
      <c r="AI6" s="1"/>
      <c r="AJ6" s="1"/>
      <c r="AK6" s="1"/>
      <c r="AL6" s="1"/>
      <c r="AM6" s="1"/>
      <c r="AN6" s="1"/>
      <c r="AO6" s="15"/>
      <c r="AP6" s="10"/>
      <c r="AQ6" s="1"/>
      <c r="AR6" s="1"/>
      <c r="AS6" s="15"/>
      <c r="AT6" s="10"/>
      <c r="AU6" s="1"/>
      <c r="AV6" s="1"/>
      <c r="AW6" s="15"/>
      <c r="AX6" s="10"/>
      <c r="AY6" s="6"/>
      <c r="AZ6" s="29"/>
      <c r="BA6" s="30"/>
      <c r="BB6" s="30"/>
      <c r="BC6" s="45"/>
      <c r="BD6" s="46"/>
      <c r="BE6" s="30"/>
      <c r="BF6" s="30"/>
      <c r="BG6" s="30"/>
      <c r="BH6" s="30"/>
      <c r="BI6" s="30"/>
      <c r="BJ6" s="30"/>
      <c r="BK6" s="30"/>
      <c r="BL6" s="30"/>
      <c r="BM6" s="30"/>
      <c r="BN6" s="45"/>
      <c r="BO6" s="46"/>
      <c r="BP6" s="30"/>
      <c r="BQ6" s="30"/>
      <c r="BR6" s="45"/>
      <c r="BS6" s="46"/>
      <c r="BT6" s="30"/>
      <c r="BU6" s="30"/>
      <c r="BV6" s="45"/>
      <c r="BW6" s="46"/>
      <c r="BX6" s="31"/>
      <c r="BY6" s="5"/>
      <c r="BZ6" s="1"/>
      <c r="CA6" s="1"/>
      <c r="CB6" s="15"/>
      <c r="CC6" s="10"/>
      <c r="CD6" s="1"/>
      <c r="CE6" s="1"/>
      <c r="CF6" s="1"/>
      <c r="CG6" s="1"/>
      <c r="CH6" s="1"/>
      <c r="CI6" s="1"/>
      <c r="CJ6" s="1"/>
      <c r="CK6" s="1"/>
      <c r="CL6" s="1"/>
      <c r="CM6" s="15"/>
      <c r="CN6" s="10"/>
      <c r="CO6" s="1"/>
      <c r="CP6" s="1"/>
      <c r="CQ6" s="15"/>
      <c r="CR6" s="10"/>
      <c r="CS6" s="1"/>
      <c r="CT6" s="1"/>
      <c r="CU6" s="15"/>
      <c r="CV6" s="10"/>
      <c r="CW6" s="6"/>
      <c r="CX6" s="29"/>
      <c r="CY6" s="30"/>
      <c r="CZ6" s="30"/>
      <c r="DA6" s="45"/>
      <c r="DB6" s="46"/>
      <c r="DC6" s="30"/>
      <c r="DD6" s="30"/>
      <c r="DE6" s="30"/>
      <c r="DF6" s="30"/>
      <c r="DG6" s="30"/>
      <c r="DH6" s="30"/>
      <c r="DI6" s="30"/>
      <c r="DJ6" s="30"/>
      <c r="DK6" s="30"/>
      <c r="DL6" s="45"/>
      <c r="DM6" s="46"/>
      <c r="DN6" s="30"/>
      <c r="DO6" s="30"/>
      <c r="DP6" s="45"/>
      <c r="DQ6" s="46"/>
      <c r="DR6" s="30"/>
      <c r="DS6" s="30"/>
      <c r="DT6" s="45"/>
      <c r="DU6" s="46"/>
      <c r="DV6" s="31"/>
      <c r="DW6" s="60"/>
      <c r="DX6" s="61"/>
      <c r="DY6" s="61"/>
      <c r="DZ6" s="62"/>
      <c r="EA6" s="63"/>
      <c r="EB6" s="61"/>
      <c r="EC6" s="61"/>
      <c r="ED6" s="61"/>
      <c r="EE6" s="61"/>
      <c r="EF6" s="61"/>
      <c r="EG6" s="61"/>
      <c r="EH6" s="61"/>
      <c r="EI6" s="61"/>
      <c r="EJ6" s="61"/>
      <c r="EK6" s="62"/>
      <c r="EL6" s="63"/>
      <c r="EM6" s="61"/>
      <c r="EN6" s="61"/>
      <c r="EO6" s="62"/>
      <c r="EP6" s="63"/>
      <c r="EQ6" s="61"/>
      <c r="ER6" s="61"/>
      <c r="ES6" s="62"/>
      <c r="ET6" s="63"/>
      <c r="EU6" s="64"/>
      <c r="EV6" s="29"/>
      <c r="EW6" s="30"/>
      <c r="EX6" s="30"/>
      <c r="EY6" s="45"/>
      <c r="EZ6" s="46"/>
      <c r="FA6" s="30"/>
      <c r="FB6" s="30"/>
      <c r="FC6" s="30"/>
      <c r="FD6" s="30"/>
      <c r="FE6" s="30"/>
      <c r="FF6" s="30"/>
      <c r="FG6" s="30"/>
      <c r="FH6" s="30"/>
      <c r="FI6" s="30"/>
      <c r="FJ6" s="45"/>
      <c r="FK6" s="46"/>
      <c r="FL6" s="30"/>
      <c r="FM6" s="30"/>
      <c r="FN6" s="45"/>
      <c r="FO6" s="46"/>
      <c r="FP6" s="30"/>
      <c r="FQ6" s="30"/>
      <c r="FR6" s="45"/>
      <c r="FS6" s="46"/>
      <c r="FT6" s="31"/>
      <c r="FU6" s="5"/>
      <c r="FV6" s="1"/>
      <c r="FW6" s="1"/>
      <c r="FX6" s="15"/>
      <c r="FY6" s="10"/>
      <c r="FZ6" s="1"/>
      <c r="GA6" s="1"/>
      <c r="GB6" s="1"/>
      <c r="GC6" s="1"/>
      <c r="GD6" s="1"/>
      <c r="GE6" s="1"/>
      <c r="GF6" s="1"/>
      <c r="GG6" s="1"/>
      <c r="GH6" s="1"/>
      <c r="GI6" s="15"/>
      <c r="GJ6" s="10"/>
      <c r="GK6" s="1"/>
      <c r="GL6" s="1"/>
      <c r="GM6" s="15"/>
      <c r="GN6" s="10"/>
      <c r="GO6" s="1"/>
      <c r="GP6" s="1"/>
      <c r="GQ6" s="15"/>
      <c r="GR6" s="10"/>
      <c r="GS6" s="6"/>
      <c r="GT6" s="29"/>
      <c r="GU6" s="30"/>
      <c r="GV6" s="30"/>
      <c r="GW6" s="45"/>
      <c r="GX6" s="46"/>
      <c r="GY6" s="30"/>
      <c r="GZ6" s="30"/>
      <c r="HA6" s="30"/>
      <c r="HB6" s="30"/>
      <c r="HC6" s="30"/>
      <c r="HD6" s="30"/>
      <c r="HE6" s="30"/>
      <c r="HF6" s="30"/>
      <c r="HG6" s="30"/>
      <c r="HH6" s="45"/>
      <c r="HI6" s="46"/>
      <c r="HJ6" s="30"/>
      <c r="HK6" s="30"/>
      <c r="HL6" s="45"/>
      <c r="HM6" s="46"/>
      <c r="HN6" s="30"/>
      <c r="HO6" s="30"/>
      <c r="HP6" s="45"/>
      <c r="HQ6" s="46"/>
      <c r="HR6" s="31"/>
      <c r="HS6" s="5"/>
      <c r="HT6" s="1"/>
      <c r="HU6" s="1"/>
      <c r="HV6" s="15"/>
      <c r="HW6" s="10"/>
      <c r="HX6" s="1"/>
      <c r="HY6" s="1"/>
      <c r="HZ6" s="1"/>
      <c r="IA6" s="1"/>
      <c r="IB6" s="1"/>
      <c r="IC6" s="1"/>
      <c r="ID6" s="1"/>
      <c r="IE6" s="1"/>
      <c r="IF6" s="1"/>
      <c r="IG6" s="15"/>
      <c r="IH6" s="10"/>
      <c r="II6" s="1"/>
      <c r="IJ6" s="1"/>
      <c r="IK6" s="15"/>
      <c r="IL6" s="10"/>
      <c r="IM6" s="1"/>
      <c r="IN6" s="1"/>
      <c r="IO6" s="15"/>
      <c r="IP6" s="10"/>
      <c r="IQ6" s="6"/>
    </row>
    <row r="7" spans="1:251" x14ac:dyDescent="0.25">
      <c r="A7" s="2">
        <v>876</v>
      </c>
      <c r="B7" s="29"/>
      <c r="C7" s="30"/>
      <c r="D7" s="30"/>
      <c r="E7" s="45"/>
      <c r="F7" s="46"/>
      <c r="G7" s="30"/>
      <c r="H7" s="30"/>
      <c r="I7" s="30"/>
      <c r="J7" s="30"/>
      <c r="K7" s="30"/>
      <c r="L7" s="30"/>
      <c r="M7" s="30"/>
      <c r="N7" s="30"/>
      <c r="O7" s="30"/>
      <c r="P7" s="45"/>
      <c r="Q7" s="46"/>
      <c r="R7" s="30"/>
      <c r="S7" s="30"/>
      <c r="T7" s="45"/>
      <c r="U7" s="46"/>
      <c r="V7" s="30"/>
      <c r="W7" s="30"/>
      <c r="X7" s="45"/>
      <c r="Y7" s="46"/>
      <c r="Z7" s="31"/>
      <c r="AA7" s="5"/>
      <c r="AB7" s="1"/>
      <c r="AC7" s="1"/>
      <c r="AD7" s="15"/>
      <c r="AE7" s="10"/>
      <c r="AF7" s="1"/>
      <c r="AG7" s="1"/>
      <c r="AH7" s="1"/>
      <c r="AI7" s="1"/>
      <c r="AJ7" s="1"/>
      <c r="AK7" s="1"/>
      <c r="AL7" s="1"/>
      <c r="AM7" s="1"/>
      <c r="AN7" s="1"/>
      <c r="AO7" s="15"/>
      <c r="AP7" s="10"/>
      <c r="AQ7" s="1"/>
      <c r="AR7" s="1"/>
      <c r="AS7" s="15"/>
      <c r="AT7" s="10"/>
      <c r="AU7" s="1"/>
      <c r="AV7" s="1"/>
      <c r="AW7" s="15"/>
      <c r="AX7" s="10"/>
      <c r="AY7" s="6"/>
      <c r="AZ7" s="29"/>
      <c r="BA7" s="30"/>
      <c r="BB7" s="30"/>
      <c r="BC7" s="45"/>
      <c r="BD7" s="46"/>
      <c r="BE7" s="30"/>
      <c r="BF7" s="30"/>
      <c r="BG7" s="30"/>
      <c r="BH7" s="30"/>
      <c r="BI7" s="30"/>
      <c r="BJ7" s="30"/>
      <c r="BK7" s="30"/>
      <c r="BL7" s="30"/>
      <c r="BM7" s="30"/>
      <c r="BN7" s="45"/>
      <c r="BO7" s="46"/>
      <c r="BP7" s="30"/>
      <c r="BQ7" s="30"/>
      <c r="BR7" s="45"/>
      <c r="BS7" s="46"/>
      <c r="BT7" s="30"/>
      <c r="BU7" s="30"/>
      <c r="BV7" s="45"/>
      <c r="BW7" s="46"/>
      <c r="BX7" s="31"/>
      <c r="BY7" s="5"/>
      <c r="BZ7" s="1"/>
      <c r="CA7" s="1"/>
      <c r="CB7" s="15"/>
      <c r="CC7" s="10"/>
      <c r="CD7" s="1"/>
      <c r="CE7" s="1"/>
      <c r="CF7" s="1"/>
      <c r="CG7" s="1"/>
      <c r="CH7" s="1"/>
      <c r="CI7" s="1"/>
      <c r="CJ7" s="1"/>
      <c r="CK7" s="1"/>
      <c r="CL7" s="1"/>
      <c r="CM7" s="15"/>
      <c r="CN7" s="10"/>
      <c r="CO7" s="1"/>
      <c r="CP7" s="1"/>
      <c r="CQ7" s="15"/>
      <c r="CR7" s="10"/>
      <c r="CS7" s="1"/>
      <c r="CT7" s="1"/>
      <c r="CU7" s="15"/>
      <c r="CV7" s="10"/>
      <c r="CW7" s="6"/>
      <c r="CX7" s="29"/>
      <c r="CY7" s="30"/>
      <c r="CZ7" s="30"/>
      <c r="DA7" s="45"/>
      <c r="DB7" s="46"/>
      <c r="DC7" s="30"/>
      <c r="DD7" s="30"/>
      <c r="DE7" s="30"/>
      <c r="DF7" s="30"/>
      <c r="DG7" s="30"/>
      <c r="DH7" s="30"/>
      <c r="DI7" s="30"/>
      <c r="DJ7" s="30"/>
      <c r="DK7" s="30"/>
      <c r="DL7" s="45"/>
      <c r="DM7" s="46"/>
      <c r="DN7" s="30"/>
      <c r="DO7" s="30"/>
      <c r="DP7" s="45"/>
      <c r="DQ7" s="46"/>
      <c r="DR7" s="30"/>
      <c r="DS7" s="30"/>
      <c r="DT7" s="45"/>
      <c r="DU7" s="46"/>
      <c r="DV7" s="31"/>
      <c r="DW7" s="60"/>
      <c r="DX7" s="61"/>
      <c r="DY7" s="61"/>
      <c r="DZ7" s="62"/>
      <c r="EA7" s="63"/>
      <c r="EB7" s="61"/>
      <c r="EC7" s="61"/>
      <c r="ED7" s="61"/>
      <c r="EE7" s="61"/>
      <c r="EF7" s="61"/>
      <c r="EG7" s="61"/>
      <c r="EH7" s="61"/>
      <c r="EI7" s="61"/>
      <c r="EJ7" s="61"/>
      <c r="EK7" s="62"/>
      <c r="EL7" s="63"/>
      <c r="EM7" s="61"/>
      <c r="EN7" s="61"/>
      <c r="EO7" s="62"/>
      <c r="EP7" s="63"/>
      <c r="EQ7" s="61"/>
      <c r="ER7" s="61"/>
      <c r="ES7" s="62"/>
      <c r="ET7" s="63"/>
      <c r="EU7" s="64"/>
      <c r="EV7" s="29"/>
      <c r="EW7" s="30"/>
      <c r="EX7" s="30"/>
      <c r="EY7" s="45"/>
      <c r="EZ7" s="46"/>
      <c r="FA7" s="30"/>
      <c r="FB7" s="30"/>
      <c r="FC7" s="30"/>
      <c r="FD7" s="30"/>
      <c r="FE7" s="30"/>
      <c r="FF7" s="30"/>
      <c r="FG7" s="30"/>
      <c r="FH7" s="30"/>
      <c r="FI7" s="30"/>
      <c r="FJ7" s="45"/>
      <c r="FK7" s="46"/>
      <c r="FL7" s="30"/>
      <c r="FM7" s="30"/>
      <c r="FN7" s="45"/>
      <c r="FO7" s="46"/>
      <c r="FP7" s="30"/>
      <c r="FQ7" s="30"/>
      <c r="FR7" s="45"/>
      <c r="FS7" s="46"/>
      <c r="FT7" s="31"/>
      <c r="FU7" s="5"/>
      <c r="FV7" s="1"/>
      <c r="FW7" s="1"/>
      <c r="FX7" s="15"/>
      <c r="FY7" s="10"/>
      <c r="FZ7" s="1"/>
      <c r="GA7" s="1"/>
      <c r="GB7" s="1"/>
      <c r="GC7" s="1"/>
      <c r="GD7" s="1"/>
      <c r="GE7" s="1"/>
      <c r="GF7" s="1"/>
      <c r="GG7" s="1"/>
      <c r="GH7" s="1"/>
      <c r="GI7" s="15"/>
      <c r="GJ7" s="10"/>
      <c r="GK7" s="1"/>
      <c r="GL7" s="1"/>
      <c r="GM7" s="15"/>
      <c r="GN7" s="10"/>
      <c r="GO7" s="1"/>
      <c r="GP7" s="1"/>
      <c r="GQ7" s="15"/>
      <c r="GR7" s="10"/>
      <c r="GS7" s="6"/>
      <c r="GT7" s="29"/>
      <c r="GU7" s="30"/>
      <c r="GV7" s="30"/>
      <c r="GW7" s="45"/>
      <c r="GX7" s="46"/>
      <c r="GY7" s="30"/>
      <c r="GZ7" s="30"/>
      <c r="HA7" s="30"/>
      <c r="HB7" s="30"/>
      <c r="HC7" s="30"/>
      <c r="HD7" s="30"/>
      <c r="HE7" s="30"/>
      <c r="HF7" s="30"/>
      <c r="HG7" s="30"/>
      <c r="HH7" s="45"/>
      <c r="HI7" s="46"/>
      <c r="HJ7" s="30"/>
      <c r="HK7" s="30"/>
      <c r="HL7" s="45"/>
      <c r="HM7" s="46"/>
      <c r="HN7" s="30"/>
      <c r="HO7" s="30"/>
      <c r="HP7" s="45"/>
      <c r="HQ7" s="46"/>
      <c r="HR7" s="31"/>
      <c r="HS7" s="5"/>
      <c r="HT7" s="1"/>
      <c r="HU7" s="1"/>
      <c r="HV7" s="15"/>
      <c r="HW7" s="10"/>
      <c r="HX7" s="1"/>
      <c r="HY7" s="1"/>
      <c r="HZ7" s="1"/>
      <c r="IA7" s="1"/>
      <c r="IB7" s="1"/>
      <c r="IC7" s="1"/>
      <c r="ID7" s="1"/>
      <c r="IE7" s="1"/>
      <c r="IF7" s="1"/>
      <c r="IG7" s="15"/>
      <c r="IH7" s="10"/>
      <c r="II7" s="1"/>
      <c r="IJ7" s="1"/>
      <c r="IK7" s="15"/>
      <c r="IL7" s="10"/>
      <c r="IM7" s="1"/>
      <c r="IN7" s="1"/>
      <c r="IO7" s="15"/>
      <c r="IP7" s="10"/>
      <c r="IQ7" s="6"/>
    </row>
    <row r="8" spans="1:251" x14ac:dyDescent="0.25">
      <c r="A8" s="2">
        <v>877</v>
      </c>
      <c r="B8" s="29"/>
      <c r="C8" s="30"/>
      <c r="D8" s="30"/>
      <c r="E8" s="45"/>
      <c r="F8" s="46"/>
      <c r="G8" s="30"/>
      <c r="H8" s="30"/>
      <c r="I8" s="30"/>
      <c r="J8" s="30"/>
      <c r="K8" s="30"/>
      <c r="L8" s="30"/>
      <c r="M8" s="30"/>
      <c r="N8" s="30"/>
      <c r="O8" s="30"/>
      <c r="P8" s="45"/>
      <c r="Q8" s="46"/>
      <c r="R8" s="30"/>
      <c r="S8" s="30"/>
      <c r="T8" s="45"/>
      <c r="U8" s="46"/>
      <c r="V8" s="30"/>
      <c r="W8" s="30"/>
      <c r="X8" s="45"/>
      <c r="Y8" s="46"/>
      <c r="Z8" s="31"/>
      <c r="AA8" s="5"/>
      <c r="AB8" s="1"/>
      <c r="AC8" s="1"/>
      <c r="AD8" s="15"/>
      <c r="AE8" s="10"/>
      <c r="AF8" s="1"/>
      <c r="AG8" s="1"/>
      <c r="AH8" s="1"/>
      <c r="AI8" s="1"/>
      <c r="AJ8" s="1"/>
      <c r="AK8" s="1"/>
      <c r="AL8" s="1"/>
      <c r="AM8" s="1"/>
      <c r="AN8" s="1"/>
      <c r="AO8" s="15"/>
      <c r="AP8" s="10"/>
      <c r="AQ8" s="1"/>
      <c r="AR8" s="1"/>
      <c r="AS8" s="15"/>
      <c r="AT8" s="10"/>
      <c r="AU8" s="1"/>
      <c r="AV8" s="1"/>
      <c r="AW8" s="15"/>
      <c r="AX8" s="10"/>
      <c r="AY8" s="6"/>
      <c r="AZ8" s="29"/>
      <c r="BA8" s="30"/>
      <c r="BB8" s="30"/>
      <c r="BC8" s="45"/>
      <c r="BD8" s="46"/>
      <c r="BE8" s="30"/>
      <c r="BF8" s="30"/>
      <c r="BG8" s="30"/>
      <c r="BH8" s="30"/>
      <c r="BI8" s="30"/>
      <c r="BJ8" s="30"/>
      <c r="BK8" s="30"/>
      <c r="BL8" s="30"/>
      <c r="BM8" s="30"/>
      <c r="BN8" s="45"/>
      <c r="BO8" s="46"/>
      <c r="BP8" s="30"/>
      <c r="BQ8" s="30"/>
      <c r="BR8" s="45"/>
      <c r="BS8" s="46"/>
      <c r="BT8" s="30"/>
      <c r="BU8" s="30"/>
      <c r="BV8" s="45"/>
      <c r="BW8" s="46"/>
      <c r="BX8" s="31"/>
      <c r="BY8" s="5"/>
      <c r="BZ8" s="1"/>
      <c r="CA8" s="1"/>
      <c r="CB8" s="15"/>
      <c r="CC8" s="10"/>
      <c r="CD8" s="1"/>
      <c r="CE8" s="1"/>
      <c r="CF8" s="1"/>
      <c r="CG8" s="1"/>
      <c r="CH8" s="1"/>
      <c r="CI8" s="1"/>
      <c r="CJ8" s="1"/>
      <c r="CK8" s="1"/>
      <c r="CL8" s="1"/>
      <c r="CM8" s="15"/>
      <c r="CN8" s="10"/>
      <c r="CO8" s="1"/>
      <c r="CP8" s="1"/>
      <c r="CQ8" s="15"/>
      <c r="CR8" s="10"/>
      <c r="CS8" s="1"/>
      <c r="CT8" s="1"/>
      <c r="CU8" s="15"/>
      <c r="CV8" s="10"/>
      <c r="CW8" s="6"/>
      <c r="CX8" s="29"/>
      <c r="CY8" s="30"/>
      <c r="CZ8" s="30"/>
      <c r="DA8" s="45"/>
      <c r="DB8" s="46"/>
      <c r="DC8" s="30"/>
      <c r="DD8" s="30"/>
      <c r="DE8" s="30"/>
      <c r="DF8" s="30"/>
      <c r="DG8" s="30"/>
      <c r="DH8" s="30"/>
      <c r="DI8" s="30"/>
      <c r="DJ8" s="30"/>
      <c r="DK8" s="30"/>
      <c r="DL8" s="45"/>
      <c r="DM8" s="46"/>
      <c r="DN8" s="30"/>
      <c r="DO8" s="30"/>
      <c r="DP8" s="45"/>
      <c r="DQ8" s="46"/>
      <c r="DR8" s="30"/>
      <c r="DS8" s="30"/>
      <c r="DT8" s="45"/>
      <c r="DU8" s="46"/>
      <c r="DV8" s="31"/>
      <c r="DW8" s="60"/>
      <c r="DX8" s="61"/>
      <c r="DY8" s="61"/>
      <c r="DZ8" s="62"/>
      <c r="EA8" s="63"/>
      <c r="EB8" s="61"/>
      <c r="EC8" s="61"/>
      <c r="ED8" s="61"/>
      <c r="EE8" s="61"/>
      <c r="EF8" s="61"/>
      <c r="EG8" s="61"/>
      <c r="EH8" s="61"/>
      <c r="EI8" s="61"/>
      <c r="EJ8" s="61"/>
      <c r="EK8" s="62"/>
      <c r="EL8" s="63"/>
      <c r="EM8" s="61"/>
      <c r="EN8" s="61"/>
      <c r="EO8" s="62"/>
      <c r="EP8" s="63"/>
      <c r="EQ8" s="61"/>
      <c r="ER8" s="61"/>
      <c r="ES8" s="62"/>
      <c r="ET8" s="63"/>
      <c r="EU8" s="64"/>
      <c r="EV8" s="29"/>
      <c r="EW8" s="30"/>
      <c r="EX8" s="30"/>
      <c r="EY8" s="45"/>
      <c r="EZ8" s="46"/>
      <c r="FA8" s="30"/>
      <c r="FB8" s="30"/>
      <c r="FC8" s="30"/>
      <c r="FD8" s="30"/>
      <c r="FE8" s="30"/>
      <c r="FF8" s="30"/>
      <c r="FG8" s="30"/>
      <c r="FH8" s="30"/>
      <c r="FI8" s="30"/>
      <c r="FJ8" s="45"/>
      <c r="FK8" s="46"/>
      <c r="FL8" s="30"/>
      <c r="FM8" s="30"/>
      <c r="FN8" s="45"/>
      <c r="FO8" s="46"/>
      <c r="FP8" s="30"/>
      <c r="FQ8" s="30"/>
      <c r="FR8" s="45"/>
      <c r="FS8" s="46"/>
      <c r="FT8" s="31"/>
      <c r="FU8" s="5"/>
      <c r="FV8" s="1"/>
      <c r="FW8" s="1"/>
      <c r="FX8" s="15"/>
      <c r="FY8" s="10"/>
      <c r="FZ8" s="1"/>
      <c r="GA8" s="1"/>
      <c r="GB8" s="1"/>
      <c r="GC8" s="1"/>
      <c r="GD8" s="1"/>
      <c r="GE8" s="1"/>
      <c r="GF8" s="1"/>
      <c r="GG8" s="1"/>
      <c r="GH8" s="1"/>
      <c r="GI8" s="15"/>
      <c r="GJ8" s="10"/>
      <c r="GK8" s="1"/>
      <c r="GL8" s="1"/>
      <c r="GM8" s="15"/>
      <c r="GN8" s="10"/>
      <c r="GO8" s="1"/>
      <c r="GP8" s="1"/>
      <c r="GQ8" s="15"/>
      <c r="GR8" s="10"/>
      <c r="GS8" s="6"/>
      <c r="GT8" s="29"/>
      <c r="GU8" s="30"/>
      <c r="GV8" s="30"/>
      <c r="GW8" s="45"/>
      <c r="GX8" s="46"/>
      <c r="GY8" s="30"/>
      <c r="GZ8" s="30"/>
      <c r="HA8" s="30"/>
      <c r="HB8" s="30"/>
      <c r="HC8" s="30"/>
      <c r="HD8" s="30"/>
      <c r="HE8" s="30"/>
      <c r="HF8" s="30"/>
      <c r="HG8" s="30"/>
      <c r="HH8" s="45"/>
      <c r="HI8" s="46"/>
      <c r="HJ8" s="30"/>
      <c r="HK8" s="30"/>
      <c r="HL8" s="45"/>
      <c r="HM8" s="46"/>
      <c r="HN8" s="30"/>
      <c r="HO8" s="30"/>
      <c r="HP8" s="45"/>
      <c r="HQ8" s="46"/>
      <c r="HR8" s="31"/>
      <c r="HS8" s="5"/>
      <c r="HT8" s="1"/>
      <c r="HU8" s="1"/>
      <c r="HV8" s="15"/>
      <c r="HW8" s="10"/>
      <c r="HX8" s="1"/>
      <c r="HY8" s="1"/>
      <c r="HZ8" s="1"/>
      <c r="IA8" s="1"/>
      <c r="IB8" s="1"/>
      <c r="IC8" s="1"/>
      <c r="ID8" s="1"/>
      <c r="IE8" s="1"/>
      <c r="IF8" s="1"/>
      <c r="IG8" s="15"/>
      <c r="IH8" s="10"/>
      <c r="II8" s="1"/>
      <c r="IJ8" s="1"/>
      <c r="IK8" s="15"/>
      <c r="IL8" s="10"/>
      <c r="IM8" s="1"/>
      <c r="IN8" s="1"/>
      <c r="IO8" s="15"/>
      <c r="IP8" s="10"/>
      <c r="IQ8" s="6"/>
    </row>
    <row r="9" spans="1:251" x14ac:dyDescent="0.25">
      <c r="A9" s="2">
        <v>1259</v>
      </c>
      <c r="B9" s="29"/>
      <c r="C9" s="30"/>
      <c r="D9" s="30"/>
      <c r="E9" s="45"/>
      <c r="F9" s="46"/>
      <c r="G9" s="30"/>
      <c r="H9" s="30"/>
      <c r="I9" s="30"/>
      <c r="J9" s="30"/>
      <c r="K9" s="30"/>
      <c r="L9" s="30"/>
      <c r="M9" s="30"/>
      <c r="N9" s="30"/>
      <c r="O9" s="30"/>
      <c r="P9" s="45"/>
      <c r="Q9" s="46"/>
      <c r="R9" s="30"/>
      <c r="S9" s="30"/>
      <c r="T9" s="45"/>
      <c r="U9" s="46"/>
      <c r="V9" s="30"/>
      <c r="W9" s="30"/>
      <c r="X9" s="45"/>
      <c r="Y9" s="46"/>
      <c r="Z9" s="31"/>
      <c r="AA9" s="5"/>
      <c r="AB9" s="1"/>
      <c r="AC9" s="1"/>
      <c r="AD9" s="15"/>
      <c r="AE9" s="10"/>
      <c r="AF9" s="1"/>
      <c r="AG9" s="1"/>
      <c r="AH9" s="1"/>
      <c r="AI9" s="1"/>
      <c r="AJ9" s="1"/>
      <c r="AK9" s="1"/>
      <c r="AL9" s="1"/>
      <c r="AM9" s="1"/>
      <c r="AN9" s="1"/>
      <c r="AO9" s="15"/>
      <c r="AP9" s="10"/>
      <c r="AQ9" s="1"/>
      <c r="AR9" s="1"/>
      <c r="AS9" s="15"/>
      <c r="AT9" s="10"/>
      <c r="AU9" s="1"/>
      <c r="AV9" s="1"/>
      <c r="AW9" s="15"/>
      <c r="AX9" s="10"/>
      <c r="AY9" s="6"/>
      <c r="AZ9" s="29"/>
      <c r="BA9" s="30"/>
      <c r="BB9" s="30"/>
      <c r="BC9" s="45"/>
      <c r="BD9" s="46"/>
      <c r="BE9" s="30"/>
      <c r="BF9" s="30"/>
      <c r="BG9" s="30"/>
      <c r="BH9" s="30"/>
      <c r="BI9" s="30"/>
      <c r="BJ9" s="30"/>
      <c r="BK9" s="30"/>
      <c r="BL9" s="30"/>
      <c r="BM9" s="30"/>
      <c r="BN9" s="45"/>
      <c r="BO9" s="46"/>
      <c r="BP9" s="30"/>
      <c r="BQ9" s="30"/>
      <c r="BR9" s="45"/>
      <c r="BS9" s="46"/>
      <c r="BT9" s="30"/>
      <c r="BU9" s="30"/>
      <c r="BV9" s="45"/>
      <c r="BW9" s="46"/>
      <c r="BX9" s="31"/>
      <c r="BY9" s="5"/>
      <c r="BZ9" s="1"/>
      <c r="CA9" s="1"/>
      <c r="CB9" s="15"/>
      <c r="CC9" s="10"/>
      <c r="CD9" s="1"/>
      <c r="CE9" s="1"/>
      <c r="CF9" s="1"/>
      <c r="CG9" s="1"/>
      <c r="CH9" s="1"/>
      <c r="CI9" s="1"/>
      <c r="CJ9" s="1"/>
      <c r="CK9" s="1"/>
      <c r="CL9" s="1"/>
      <c r="CM9" s="15"/>
      <c r="CN9" s="10"/>
      <c r="CO9" s="1"/>
      <c r="CP9" s="1"/>
      <c r="CQ9" s="15"/>
      <c r="CR9" s="10"/>
      <c r="CS9" s="1"/>
      <c r="CT9" s="1"/>
      <c r="CU9" s="15"/>
      <c r="CV9" s="10"/>
      <c r="CW9" s="6"/>
      <c r="CX9" s="29"/>
      <c r="CY9" s="30"/>
      <c r="CZ9" s="30"/>
      <c r="DA9" s="45"/>
      <c r="DB9" s="46"/>
      <c r="DC9" s="30"/>
      <c r="DD9" s="30"/>
      <c r="DE9" s="30"/>
      <c r="DF9" s="30"/>
      <c r="DG9" s="30"/>
      <c r="DH9" s="30"/>
      <c r="DI9" s="30"/>
      <c r="DJ9" s="30"/>
      <c r="DK9" s="30"/>
      <c r="DL9" s="45"/>
      <c r="DM9" s="46"/>
      <c r="DN9" s="30"/>
      <c r="DO9" s="30"/>
      <c r="DP9" s="45"/>
      <c r="DQ9" s="46"/>
      <c r="DR9" s="30"/>
      <c r="DS9" s="30"/>
      <c r="DT9" s="45"/>
      <c r="DU9" s="46"/>
      <c r="DV9" s="31"/>
      <c r="DW9" s="60"/>
      <c r="DX9" s="61"/>
      <c r="DY9" s="61"/>
      <c r="DZ9" s="62"/>
      <c r="EA9" s="63"/>
      <c r="EB9" s="61"/>
      <c r="EC9" s="61"/>
      <c r="ED9" s="61"/>
      <c r="EE9" s="61"/>
      <c r="EF9" s="61"/>
      <c r="EG9" s="61"/>
      <c r="EH9" s="61"/>
      <c r="EI9" s="61"/>
      <c r="EJ9" s="61"/>
      <c r="EK9" s="62"/>
      <c r="EL9" s="63"/>
      <c r="EM9" s="61"/>
      <c r="EN9" s="61"/>
      <c r="EO9" s="62"/>
      <c r="EP9" s="63"/>
      <c r="EQ9" s="61"/>
      <c r="ER9" s="61"/>
      <c r="ES9" s="62"/>
      <c r="ET9" s="63"/>
      <c r="EU9" s="64"/>
      <c r="EV9" s="29"/>
      <c r="EW9" s="30"/>
      <c r="EX9" s="30"/>
      <c r="EY9" s="45"/>
      <c r="EZ9" s="46"/>
      <c r="FA9" s="30"/>
      <c r="FB9" s="30"/>
      <c r="FC9" s="30"/>
      <c r="FD9" s="30"/>
      <c r="FE9" s="30"/>
      <c r="FF9" s="30"/>
      <c r="FG9" s="30"/>
      <c r="FH9" s="30"/>
      <c r="FI9" s="30"/>
      <c r="FJ9" s="45"/>
      <c r="FK9" s="46"/>
      <c r="FL9" s="30"/>
      <c r="FM9" s="30"/>
      <c r="FN9" s="45"/>
      <c r="FO9" s="46"/>
      <c r="FP9" s="30"/>
      <c r="FQ9" s="30"/>
      <c r="FR9" s="45"/>
      <c r="FS9" s="46"/>
      <c r="FT9" s="31"/>
      <c r="FU9" s="5"/>
      <c r="FV9" s="1"/>
      <c r="FW9" s="1"/>
      <c r="FX9" s="15"/>
      <c r="FY9" s="10"/>
      <c r="FZ9" s="1"/>
      <c r="GA9" s="1"/>
      <c r="GB9" s="1"/>
      <c r="GC9" s="1"/>
      <c r="GD9" s="1"/>
      <c r="GE9" s="1"/>
      <c r="GF9" s="1"/>
      <c r="GG9" s="1"/>
      <c r="GH9" s="1"/>
      <c r="GI9" s="15"/>
      <c r="GJ9" s="10"/>
      <c r="GK9" s="1"/>
      <c r="GL9" s="1"/>
      <c r="GM9" s="15"/>
      <c r="GN9" s="10"/>
      <c r="GO9" s="1"/>
      <c r="GP9" s="1"/>
      <c r="GQ9" s="15"/>
      <c r="GR9" s="10"/>
      <c r="GS9" s="6"/>
      <c r="GT9" s="29"/>
      <c r="GU9" s="30"/>
      <c r="GV9" s="30"/>
      <c r="GW9" s="45"/>
      <c r="GX9" s="46"/>
      <c r="GY9" s="30"/>
      <c r="GZ9" s="30"/>
      <c r="HA9" s="30"/>
      <c r="HB9" s="30"/>
      <c r="HC9" s="30"/>
      <c r="HD9" s="30"/>
      <c r="HE9" s="30"/>
      <c r="HF9" s="30"/>
      <c r="HG9" s="30"/>
      <c r="HH9" s="45"/>
      <c r="HI9" s="46"/>
      <c r="HJ9" s="30"/>
      <c r="HK9" s="30"/>
      <c r="HL9" s="45"/>
      <c r="HM9" s="46"/>
      <c r="HN9" s="30"/>
      <c r="HO9" s="30"/>
      <c r="HP9" s="45"/>
      <c r="HQ9" s="46"/>
      <c r="HR9" s="31"/>
      <c r="HS9" s="5"/>
      <c r="HT9" s="1"/>
      <c r="HU9" s="1"/>
      <c r="HV9" s="15"/>
      <c r="HW9" s="10"/>
      <c r="HX9" s="1"/>
      <c r="HY9" s="1"/>
      <c r="HZ9" s="1"/>
      <c r="IA9" s="1"/>
      <c r="IB9" s="1"/>
      <c r="IC9" s="1"/>
      <c r="ID9" s="1"/>
      <c r="IE9" s="1"/>
      <c r="IF9" s="1"/>
      <c r="IG9" s="15"/>
      <c r="IH9" s="10"/>
      <c r="II9" s="1"/>
      <c r="IJ9" s="1"/>
      <c r="IK9" s="15"/>
      <c r="IL9" s="10"/>
      <c r="IM9" s="1"/>
      <c r="IN9" s="1"/>
      <c r="IO9" s="15"/>
      <c r="IP9" s="10"/>
      <c r="IQ9" s="6"/>
    </row>
    <row r="10" spans="1:251" x14ac:dyDescent="0.25">
      <c r="A10" s="2">
        <v>1716</v>
      </c>
      <c r="B10" s="29"/>
      <c r="C10" s="30"/>
      <c r="D10" s="30"/>
      <c r="E10" s="45"/>
      <c r="F10" s="46"/>
      <c r="G10" s="30"/>
      <c r="H10" s="30"/>
      <c r="I10" s="30"/>
      <c r="J10" s="30"/>
      <c r="K10" s="30"/>
      <c r="L10" s="30"/>
      <c r="M10" s="30"/>
      <c r="N10" s="30"/>
      <c r="O10" s="30"/>
      <c r="P10" s="45"/>
      <c r="Q10" s="46"/>
      <c r="R10" s="30"/>
      <c r="S10" s="30"/>
      <c r="T10" s="45"/>
      <c r="U10" s="46"/>
      <c r="V10" s="30"/>
      <c r="W10" s="30"/>
      <c r="X10" s="45"/>
      <c r="Y10" s="46"/>
      <c r="Z10" s="31"/>
      <c r="AA10" s="5"/>
      <c r="AB10" s="1"/>
      <c r="AC10" s="1"/>
      <c r="AD10" s="15"/>
      <c r="AE10" s="10"/>
      <c r="AF10" s="1"/>
      <c r="AG10" s="1"/>
      <c r="AH10" s="1"/>
      <c r="AI10" s="1"/>
      <c r="AJ10" s="1"/>
      <c r="AK10" s="1"/>
      <c r="AL10" s="1"/>
      <c r="AM10" s="1"/>
      <c r="AN10" s="1"/>
      <c r="AO10" s="15"/>
      <c r="AP10" s="10"/>
      <c r="AQ10" s="1"/>
      <c r="AR10" s="1"/>
      <c r="AS10" s="15"/>
      <c r="AT10" s="10"/>
      <c r="AU10" s="1"/>
      <c r="AV10" s="1"/>
      <c r="AW10" s="15"/>
      <c r="AX10" s="10"/>
      <c r="AY10" s="6"/>
      <c r="AZ10" s="29"/>
      <c r="BA10" s="30"/>
      <c r="BB10" s="30"/>
      <c r="BC10" s="45"/>
      <c r="BD10" s="46"/>
      <c r="BE10" s="30"/>
      <c r="BF10" s="30"/>
      <c r="BG10" s="30"/>
      <c r="BH10" s="30"/>
      <c r="BI10" s="30"/>
      <c r="BJ10" s="30"/>
      <c r="BK10" s="30"/>
      <c r="BL10" s="30"/>
      <c r="BM10" s="30"/>
      <c r="BN10" s="45"/>
      <c r="BO10" s="46"/>
      <c r="BP10" s="30"/>
      <c r="BQ10" s="30"/>
      <c r="BR10" s="45"/>
      <c r="BS10" s="46"/>
      <c r="BT10" s="30"/>
      <c r="BU10" s="30"/>
      <c r="BV10" s="45"/>
      <c r="BW10" s="46"/>
      <c r="BX10" s="31"/>
      <c r="BY10" s="5"/>
      <c r="BZ10" s="1"/>
      <c r="CA10" s="1"/>
      <c r="CB10" s="15"/>
      <c r="CC10" s="10"/>
      <c r="CD10" s="1"/>
      <c r="CE10" s="1"/>
      <c r="CF10" s="1"/>
      <c r="CG10" s="1"/>
      <c r="CH10" s="1"/>
      <c r="CI10" s="1"/>
      <c r="CJ10" s="1"/>
      <c r="CK10" s="1"/>
      <c r="CL10" s="1"/>
      <c r="CM10" s="15"/>
      <c r="CN10" s="10"/>
      <c r="CO10" s="1"/>
      <c r="CP10" s="1"/>
      <c r="CQ10" s="15"/>
      <c r="CR10" s="10"/>
      <c r="CS10" s="1"/>
      <c r="CT10" s="1"/>
      <c r="CU10" s="15"/>
      <c r="CV10" s="10"/>
      <c r="CW10" s="6"/>
      <c r="CX10" s="29"/>
      <c r="CY10" s="30"/>
      <c r="CZ10" s="30"/>
      <c r="DA10" s="45"/>
      <c r="DB10" s="46"/>
      <c r="DC10" s="30"/>
      <c r="DD10" s="30"/>
      <c r="DE10" s="30"/>
      <c r="DF10" s="30"/>
      <c r="DG10" s="30"/>
      <c r="DH10" s="30"/>
      <c r="DI10" s="30"/>
      <c r="DJ10" s="30"/>
      <c r="DK10" s="30"/>
      <c r="DL10" s="45"/>
      <c r="DM10" s="46"/>
      <c r="DN10" s="30"/>
      <c r="DO10" s="30"/>
      <c r="DP10" s="45"/>
      <c r="DQ10" s="46"/>
      <c r="DR10" s="30"/>
      <c r="DS10" s="30"/>
      <c r="DT10" s="45"/>
      <c r="DU10" s="46"/>
      <c r="DV10" s="31"/>
      <c r="DW10" s="60"/>
      <c r="DX10" s="61"/>
      <c r="DY10" s="61"/>
      <c r="DZ10" s="62"/>
      <c r="EA10" s="63"/>
      <c r="EB10" s="61"/>
      <c r="EC10" s="61"/>
      <c r="ED10" s="61"/>
      <c r="EE10" s="61"/>
      <c r="EF10" s="61"/>
      <c r="EG10" s="61"/>
      <c r="EH10" s="61"/>
      <c r="EI10" s="61"/>
      <c r="EJ10" s="61"/>
      <c r="EK10" s="62"/>
      <c r="EL10" s="63"/>
      <c r="EM10" s="61"/>
      <c r="EN10" s="61"/>
      <c r="EO10" s="62"/>
      <c r="EP10" s="63"/>
      <c r="EQ10" s="61"/>
      <c r="ER10" s="61"/>
      <c r="ES10" s="62"/>
      <c r="ET10" s="63"/>
      <c r="EU10" s="64"/>
      <c r="EV10" s="29"/>
      <c r="EW10" s="30"/>
      <c r="EX10" s="30"/>
      <c r="EY10" s="45"/>
      <c r="EZ10" s="46"/>
      <c r="FA10" s="30"/>
      <c r="FB10" s="30"/>
      <c r="FC10" s="30"/>
      <c r="FD10" s="30"/>
      <c r="FE10" s="30"/>
      <c r="FF10" s="30"/>
      <c r="FG10" s="30"/>
      <c r="FH10" s="30"/>
      <c r="FI10" s="30"/>
      <c r="FJ10" s="45"/>
      <c r="FK10" s="46"/>
      <c r="FL10" s="30"/>
      <c r="FM10" s="30"/>
      <c r="FN10" s="45"/>
      <c r="FO10" s="46"/>
      <c r="FP10" s="30"/>
      <c r="FQ10" s="30"/>
      <c r="FR10" s="45"/>
      <c r="FS10" s="46"/>
      <c r="FT10" s="31"/>
      <c r="FU10" s="5"/>
      <c r="FV10" s="1"/>
      <c r="FW10" s="1"/>
      <c r="FX10" s="15"/>
      <c r="FY10" s="10"/>
      <c r="FZ10" s="1"/>
      <c r="GA10" s="1"/>
      <c r="GB10" s="1"/>
      <c r="GC10" s="1"/>
      <c r="GD10" s="1"/>
      <c r="GE10" s="1"/>
      <c r="GF10" s="1"/>
      <c r="GG10" s="1"/>
      <c r="GH10" s="1"/>
      <c r="GI10" s="15"/>
      <c r="GJ10" s="10"/>
      <c r="GK10" s="1"/>
      <c r="GL10" s="1"/>
      <c r="GM10" s="15"/>
      <c r="GN10" s="10"/>
      <c r="GO10" s="1"/>
      <c r="GP10" s="1"/>
      <c r="GQ10" s="15"/>
      <c r="GR10" s="10"/>
      <c r="GS10" s="6"/>
      <c r="GT10" s="29"/>
      <c r="GU10" s="30"/>
      <c r="GV10" s="30"/>
      <c r="GW10" s="45"/>
      <c r="GX10" s="46"/>
      <c r="GY10" s="30"/>
      <c r="GZ10" s="30"/>
      <c r="HA10" s="30"/>
      <c r="HB10" s="30"/>
      <c r="HC10" s="30"/>
      <c r="HD10" s="30"/>
      <c r="HE10" s="30"/>
      <c r="HF10" s="30"/>
      <c r="HG10" s="30"/>
      <c r="HH10" s="45"/>
      <c r="HI10" s="46"/>
      <c r="HJ10" s="30"/>
      <c r="HK10" s="30"/>
      <c r="HL10" s="45"/>
      <c r="HM10" s="46"/>
      <c r="HN10" s="30"/>
      <c r="HO10" s="30"/>
      <c r="HP10" s="45"/>
      <c r="HQ10" s="46"/>
      <c r="HR10" s="31"/>
      <c r="HS10" s="5"/>
      <c r="HT10" s="1"/>
      <c r="HU10" s="1"/>
      <c r="HV10" s="15"/>
      <c r="HW10" s="10"/>
      <c r="HX10" s="1"/>
      <c r="HY10" s="1"/>
      <c r="HZ10" s="1"/>
      <c r="IA10" s="1"/>
      <c r="IB10" s="1"/>
      <c r="IC10" s="1"/>
      <c r="ID10" s="1"/>
      <c r="IE10" s="1"/>
      <c r="IF10" s="1"/>
      <c r="IG10" s="15"/>
      <c r="IH10" s="10"/>
      <c r="II10" s="1"/>
      <c r="IJ10" s="1"/>
      <c r="IK10" s="15"/>
      <c r="IL10" s="10"/>
      <c r="IM10" s="1"/>
      <c r="IN10" s="1"/>
      <c r="IO10" s="15"/>
      <c r="IP10" s="10"/>
      <c r="IQ10" s="6"/>
    </row>
    <row r="11" spans="1:251" x14ac:dyDescent="0.25">
      <c r="A11" s="2">
        <v>1781</v>
      </c>
      <c r="B11" s="29"/>
      <c r="C11" s="30"/>
      <c r="D11" s="30"/>
      <c r="E11" s="45"/>
      <c r="F11" s="46"/>
      <c r="G11" s="30"/>
      <c r="H11" s="30"/>
      <c r="I11" s="30"/>
      <c r="J11" s="30"/>
      <c r="K11" s="30"/>
      <c r="L11" s="30"/>
      <c r="M11" s="30"/>
      <c r="N11" s="30"/>
      <c r="O11" s="30"/>
      <c r="P11" s="45"/>
      <c r="Q11" s="46"/>
      <c r="R11" s="30"/>
      <c r="S11" s="30"/>
      <c r="T11" s="45"/>
      <c r="U11" s="46"/>
      <c r="V11" s="30"/>
      <c r="W11" s="30"/>
      <c r="X11" s="45"/>
      <c r="Y11" s="46"/>
      <c r="Z11" s="31"/>
      <c r="AA11" s="5"/>
      <c r="AB11" s="1"/>
      <c r="AC11" s="1"/>
      <c r="AD11" s="15"/>
      <c r="AE11" s="10"/>
      <c r="AF11" s="1"/>
      <c r="AG11" s="1"/>
      <c r="AH11" s="1"/>
      <c r="AI11" s="1"/>
      <c r="AJ11" s="1"/>
      <c r="AK11" s="1"/>
      <c r="AL11" s="1"/>
      <c r="AM11" s="1"/>
      <c r="AN11" s="1"/>
      <c r="AO11" s="15"/>
      <c r="AP11" s="10"/>
      <c r="AQ11" s="1"/>
      <c r="AR11" s="1"/>
      <c r="AS11" s="15"/>
      <c r="AT11" s="10"/>
      <c r="AU11" s="1"/>
      <c r="AV11" s="1"/>
      <c r="AW11" s="15"/>
      <c r="AX11" s="10"/>
      <c r="AY11" s="6"/>
      <c r="AZ11" s="29"/>
      <c r="BA11" s="30"/>
      <c r="BB11" s="30"/>
      <c r="BC11" s="45"/>
      <c r="BD11" s="46"/>
      <c r="BE11" s="30"/>
      <c r="BF11" s="30"/>
      <c r="BG11" s="30"/>
      <c r="BH11" s="30"/>
      <c r="BI11" s="30"/>
      <c r="BJ11" s="30"/>
      <c r="BK11" s="30"/>
      <c r="BL11" s="30"/>
      <c r="BM11" s="30"/>
      <c r="BN11" s="45"/>
      <c r="BO11" s="46"/>
      <c r="BP11" s="30"/>
      <c r="BQ11" s="30"/>
      <c r="BR11" s="45"/>
      <c r="BS11" s="46"/>
      <c r="BT11" s="30"/>
      <c r="BU11" s="30"/>
      <c r="BV11" s="45"/>
      <c r="BW11" s="46"/>
      <c r="BX11" s="31"/>
      <c r="BY11" s="5"/>
      <c r="BZ11" s="1"/>
      <c r="CA11" s="1"/>
      <c r="CB11" s="15"/>
      <c r="CC11" s="10"/>
      <c r="CD11" s="1"/>
      <c r="CE11" s="1"/>
      <c r="CF11" s="1"/>
      <c r="CG11" s="1"/>
      <c r="CH11" s="1"/>
      <c r="CI11" s="1"/>
      <c r="CJ11" s="1"/>
      <c r="CK11" s="1"/>
      <c r="CL11" s="1"/>
      <c r="CM11" s="15"/>
      <c r="CN11" s="10"/>
      <c r="CO11" s="1"/>
      <c r="CP11" s="1"/>
      <c r="CQ11" s="15"/>
      <c r="CR11" s="10"/>
      <c r="CS11" s="1"/>
      <c r="CT11" s="1"/>
      <c r="CU11" s="15"/>
      <c r="CV11" s="10"/>
      <c r="CW11" s="6"/>
      <c r="CX11" s="29"/>
      <c r="CY11" s="30"/>
      <c r="CZ11" s="30"/>
      <c r="DA11" s="45"/>
      <c r="DB11" s="46"/>
      <c r="DC11" s="30"/>
      <c r="DD11" s="30"/>
      <c r="DE11" s="30"/>
      <c r="DF11" s="30"/>
      <c r="DG11" s="30"/>
      <c r="DH11" s="30"/>
      <c r="DI11" s="30"/>
      <c r="DJ11" s="30"/>
      <c r="DK11" s="30"/>
      <c r="DL11" s="45"/>
      <c r="DM11" s="46"/>
      <c r="DN11" s="30"/>
      <c r="DO11" s="30"/>
      <c r="DP11" s="45"/>
      <c r="DQ11" s="46"/>
      <c r="DR11" s="30"/>
      <c r="DS11" s="30"/>
      <c r="DT11" s="45"/>
      <c r="DU11" s="46"/>
      <c r="DV11" s="31"/>
      <c r="DW11" s="60"/>
      <c r="DX11" s="61"/>
      <c r="DY11" s="61"/>
      <c r="DZ11" s="62"/>
      <c r="EA11" s="63"/>
      <c r="EB11" s="61"/>
      <c r="EC11" s="61"/>
      <c r="ED11" s="61"/>
      <c r="EE11" s="61"/>
      <c r="EF11" s="61"/>
      <c r="EG11" s="61"/>
      <c r="EH11" s="61"/>
      <c r="EI11" s="61"/>
      <c r="EJ11" s="61"/>
      <c r="EK11" s="62"/>
      <c r="EL11" s="63"/>
      <c r="EM11" s="61"/>
      <c r="EN11" s="61"/>
      <c r="EO11" s="62"/>
      <c r="EP11" s="63"/>
      <c r="EQ11" s="61"/>
      <c r="ER11" s="61"/>
      <c r="ES11" s="62"/>
      <c r="ET11" s="63"/>
      <c r="EU11" s="64"/>
      <c r="EV11" s="29"/>
      <c r="EW11" s="30"/>
      <c r="EX11" s="30"/>
      <c r="EY11" s="45"/>
      <c r="EZ11" s="46"/>
      <c r="FA11" s="30"/>
      <c r="FB11" s="30"/>
      <c r="FC11" s="30"/>
      <c r="FD11" s="30"/>
      <c r="FE11" s="30"/>
      <c r="FF11" s="30"/>
      <c r="FG11" s="30"/>
      <c r="FH11" s="30"/>
      <c r="FI11" s="30"/>
      <c r="FJ11" s="45"/>
      <c r="FK11" s="46"/>
      <c r="FL11" s="30"/>
      <c r="FM11" s="30"/>
      <c r="FN11" s="45"/>
      <c r="FO11" s="46"/>
      <c r="FP11" s="30"/>
      <c r="FQ11" s="30"/>
      <c r="FR11" s="45"/>
      <c r="FS11" s="46"/>
      <c r="FT11" s="31"/>
      <c r="FU11" s="5"/>
      <c r="FV11" s="1"/>
      <c r="FW11" s="1"/>
      <c r="FX11" s="15"/>
      <c r="FY11" s="10"/>
      <c r="FZ11" s="1"/>
      <c r="GA11" s="1"/>
      <c r="GB11" s="1"/>
      <c r="GC11" s="1"/>
      <c r="GD11" s="1"/>
      <c r="GE11" s="1"/>
      <c r="GF11" s="1"/>
      <c r="GG11" s="1"/>
      <c r="GH11" s="1"/>
      <c r="GI11" s="15"/>
      <c r="GJ11" s="10"/>
      <c r="GK11" s="1"/>
      <c r="GL11" s="1"/>
      <c r="GM11" s="15"/>
      <c r="GN11" s="10"/>
      <c r="GO11" s="1"/>
      <c r="GP11" s="1"/>
      <c r="GQ11" s="15"/>
      <c r="GR11" s="10"/>
      <c r="GS11" s="6"/>
      <c r="GT11" s="29"/>
      <c r="GU11" s="30"/>
      <c r="GV11" s="30"/>
      <c r="GW11" s="45"/>
      <c r="GX11" s="46"/>
      <c r="GY11" s="30"/>
      <c r="GZ11" s="30"/>
      <c r="HA11" s="30"/>
      <c r="HB11" s="30"/>
      <c r="HC11" s="30"/>
      <c r="HD11" s="30"/>
      <c r="HE11" s="30"/>
      <c r="HF11" s="30"/>
      <c r="HG11" s="30"/>
      <c r="HH11" s="45"/>
      <c r="HI11" s="46"/>
      <c r="HJ11" s="30"/>
      <c r="HK11" s="30"/>
      <c r="HL11" s="45"/>
      <c r="HM11" s="46"/>
      <c r="HN11" s="30"/>
      <c r="HO11" s="30"/>
      <c r="HP11" s="45"/>
      <c r="HQ11" s="46"/>
      <c r="HR11" s="31"/>
      <c r="HS11" s="5"/>
      <c r="HT11" s="1"/>
      <c r="HU11" s="1"/>
      <c r="HV11" s="15"/>
      <c r="HW11" s="10"/>
      <c r="HX11" s="1"/>
      <c r="HY11" s="1"/>
      <c r="HZ11" s="1"/>
      <c r="IA11" s="1"/>
      <c r="IB11" s="1"/>
      <c r="IC11" s="1"/>
      <c r="ID11" s="1"/>
      <c r="IE11" s="1"/>
      <c r="IF11" s="1"/>
      <c r="IG11" s="15"/>
      <c r="IH11" s="10"/>
      <c r="II11" s="1"/>
      <c r="IJ11" s="1"/>
      <c r="IK11" s="15"/>
      <c r="IL11" s="10"/>
      <c r="IM11" s="1"/>
      <c r="IN11" s="1"/>
      <c r="IO11" s="15"/>
      <c r="IP11" s="10"/>
      <c r="IQ11" s="6"/>
    </row>
    <row r="12" spans="1:251" x14ac:dyDescent="0.25">
      <c r="A12" s="2">
        <v>2175</v>
      </c>
      <c r="B12" s="29"/>
      <c r="C12" s="30"/>
      <c r="D12" s="30"/>
      <c r="E12" s="45"/>
      <c r="F12" s="46"/>
      <c r="G12" s="30"/>
      <c r="H12" s="30"/>
      <c r="I12" s="30"/>
      <c r="J12" s="30"/>
      <c r="K12" s="30"/>
      <c r="L12" s="30"/>
      <c r="M12" s="30"/>
      <c r="N12" s="30"/>
      <c r="O12" s="30"/>
      <c r="P12" s="45"/>
      <c r="Q12" s="46"/>
      <c r="R12" s="30"/>
      <c r="S12" s="30"/>
      <c r="T12" s="45"/>
      <c r="U12" s="46"/>
      <c r="V12" s="30"/>
      <c r="W12" s="30"/>
      <c r="X12" s="45"/>
      <c r="Y12" s="46"/>
      <c r="Z12" s="31"/>
      <c r="AA12" s="5"/>
      <c r="AB12" s="1"/>
      <c r="AC12" s="1"/>
      <c r="AD12" s="15"/>
      <c r="AE12" s="10"/>
      <c r="AF12" s="1"/>
      <c r="AG12" s="1"/>
      <c r="AH12" s="1"/>
      <c r="AI12" s="1"/>
      <c r="AJ12" s="1"/>
      <c r="AK12" s="1"/>
      <c r="AL12" s="1"/>
      <c r="AM12" s="1"/>
      <c r="AN12" s="1"/>
      <c r="AO12" s="15"/>
      <c r="AP12" s="10"/>
      <c r="AQ12" s="1"/>
      <c r="AR12" s="1"/>
      <c r="AS12" s="15"/>
      <c r="AT12" s="10"/>
      <c r="AU12" s="1"/>
      <c r="AV12" s="1"/>
      <c r="AW12" s="15"/>
      <c r="AX12" s="10"/>
      <c r="AY12" s="6"/>
      <c r="AZ12" s="29"/>
      <c r="BA12" s="30"/>
      <c r="BB12" s="30"/>
      <c r="BC12" s="45"/>
      <c r="BD12" s="46"/>
      <c r="BE12" s="30"/>
      <c r="BF12" s="30"/>
      <c r="BG12" s="30"/>
      <c r="BH12" s="30"/>
      <c r="BI12" s="30"/>
      <c r="BJ12" s="30"/>
      <c r="BK12" s="30"/>
      <c r="BL12" s="30"/>
      <c r="BM12" s="30"/>
      <c r="BN12" s="45"/>
      <c r="BO12" s="46"/>
      <c r="BP12" s="30"/>
      <c r="BQ12" s="30"/>
      <c r="BR12" s="45"/>
      <c r="BS12" s="46"/>
      <c r="BT12" s="30"/>
      <c r="BU12" s="30"/>
      <c r="BV12" s="45"/>
      <c r="BW12" s="46"/>
      <c r="BX12" s="31"/>
      <c r="BY12" s="5"/>
      <c r="BZ12" s="1"/>
      <c r="CA12" s="1"/>
      <c r="CB12" s="15"/>
      <c r="CC12" s="10"/>
      <c r="CD12" s="1"/>
      <c r="CE12" s="1"/>
      <c r="CF12" s="1"/>
      <c r="CG12" s="1"/>
      <c r="CH12" s="1"/>
      <c r="CI12" s="1"/>
      <c r="CJ12" s="1"/>
      <c r="CK12" s="1"/>
      <c r="CL12" s="1"/>
      <c r="CM12" s="15"/>
      <c r="CN12" s="10"/>
      <c r="CO12" s="1"/>
      <c r="CP12" s="1"/>
      <c r="CQ12" s="15"/>
      <c r="CR12" s="10"/>
      <c r="CS12" s="1"/>
      <c r="CT12" s="1"/>
      <c r="CU12" s="15"/>
      <c r="CV12" s="10"/>
      <c r="CW12" s="6"/>
      <c r="CX12" s="29"/>
      <c r="CY12" s="30"/>
      <c r="CZ12" s="30"/>
      <c r="DA12" s="45"/>
      <c r="DB12" s="46"/>
      <c r="DC12" s="30"/>
      <c r="DD12" s="30"/>
      <c r="DE12" s="30"/>
      <c r="DF12" s="30"/>
      <c r="DG12" s="30"/>
      <c r="DH12" s="30"/>
      <c r="DI12" s="30"/>
      <c r="DJ12" s="30"/>
      <c r="DK12" s="30"/>
      <c r="DL12" s="45"/>
      <c r="DM12" s="46"/>
      <c r="DN12" s="30"/>
      <c r="DO12" s="30"/>
      <c r="DP12" s="45"/>
      <c r="DQ12" s="46"/>
      <c r="DR12" s="30"/>
      <c r="DS12" s="30"/>
      <c r="DT12" s="45"/>
      <c r="DU12" s="46"/>
      <c r="DV12" s="31"/>
      <c r="DW12" s="60"/>
      <c r="DX12" s="61"/>
      <c r="DY12" s="61"/>
      <c r="DZ12" s="62"/>
      <c r="EA12" s="63"/>
      <c r="EB12" s="61"/>
      <c r="EC12" s="61"/>
      <c r="ED12" s="61"/>
      <c r="EE12" s="61"/>
      <c r="EF12" s="61"/>
      <c r="EG12" s="61"/>
      <c r="EH12" s="61"/>
      <c r="EI12" s="61"/>
      <c r="EJ12" s="61"/>
      <c r="EK12" s="62"/>
      <c r="EL12" s="63"/>
      <c r="EM12" s="61"/>
      <c r="EN12" s="61"/>
      <c r="EO12" s="62"/>
      <c r="EP12" s="63"/>
      <c r="EQ12" s="61"/>
      <c r="ER12" s="61"/>
      <c r="ES12" s="62"/>
      <c r="ET12" s="63"/>
      <c r="EU12" s="64"/>
      <c r="EV12" s="29"/>
      <c r="EW12" s="30"/>
      <c r="EX12" s="30"/>
      <c r="EY12" s="45"/>
      <c r="EZ12" s="46"/>
      <c r="FA12" s="30"/>
      <c r="FB12" s="30"/>
      <c r="FC12" s="30"/>
      <c r="FD12" s="30"/>
      <c r="FE12" s="30"/>
      <c r="FF12" s="30"/>
      <c r="FG12" s="30"/>
      <c r="FH12" s="30"/>
      <c r="FI12" s="30"/>
      <c r="FJ12" s="45"/>
      <c r="FK12" s="46"/>
      <c r="FL12" s="30"/>
      <c r="FM12" s="30"/>
      <c r="FN12" s="45"/>
      <c r="FO12" s="46"/>
      <c r="FP12" s="30"/>
      <c r="FQ12" s="30"/>
      <c r="FR12" s="45"/>
      <c r="FS12" s="46"/>
      <c r="FT12" s="31"/>
      <c r="FU12" s="5"/>
      <c r="FV12" s="1"/>
      <c r="FW12" s="1"/>
      <c r="FX12" s="15"/>
      <c r="FY12" s="10"/>
      <c r="FZ12" s="1"/>
      <c r="GA12" s="1"/>
      <c r="GB12" s="1"/>
      <c r="GC12" s="1"/>
      <c r="GD12" s="1"/>
      <c r="GE12" s="1"/>
      <c r="GF12" s="1"/>
      <c r="GG12" s="1"/>
      <c r="GH12" s="1"/>
      <c r="GI12" s="15"/>
      <c r="GJ12" s="10"/>
      <c r="GK12" s="1"/>
      <c r="GL12" s="1"/>
      <c r="GM12" s="15"/>
      <c r="GN12" s="10"/>
      <c r="GO12" s="1"/>
      <c r="GP12" s="1"/>
      <c r="GQ12" s="15"/>
      <c r="GR12" s="10"/>
      <c r="GS12" s="6"/>
      <c r="GT12" s="29"/>
      <c r="GU12" s="30"/>
      <c r="GV12" s="30"/>
      <c r="GW12" s="45"/>
      <c r="GX12" s="46"/>
      <c r="GY12" s="30"/>
      <c r="GZ12" s="30"/>
      <c r="HA12" s="30"/>
      <c r="HB12" s="30"/>
      <c r="HC12" s="30"/>
      <c r="HD12" s="30"/>
      <c r="HE12" s="30"/>
      <c r="HF12" s="30"/>
      <c r="HG12" s="30"/>
      <c r="HH12" s="45"/>
      <c r="HI12" s="46"/>
      <c r="HJ12" s="30"/>
      <c r="HK12" s="30"/>
      <c r="HL12" s="45"/>
      <c r="HM12" s="46"/>
      <c r="HN12" s="30"/>
      <c r="HO12" s="30"/>
      <c r="HP12" s="45"/>
      <c r="HQ12" s="46"/>
      <c r="HR12" s="31"/>
      <c r="HS12" s="5"/>
      <c r="HT12" s="1"/>
      <c r="HU12" s="1"/>
      <c r="HV12" s="15"/>
      <c r="HW12" s="10"/>
      <c r="HX12" s="1"/>
      <c r="HY12" s="1"/>
      <c r="HZ12" s="1"/>
      <c r="IA12" s="1"/>
      <c r="IB12" s="1"/>
      <c r="IC12" s="1"/>
      <c r="ID12" s="1"/>
      <c r="IE12" s="1"/>
      <c r="IF12" s="1"/>
      <c r="IG12" s="15"/>
      <c r="IH12" s="10"/>
      <c r="II12" s="1"/>
      <c r="IJ12" s="1"/>
      <c r="IK12" s="15"/>
      <c r="IL12" s="10"/>
      <c r="IM12" s="1"/>
      <c r="IN12" s="1"/>
      <c r="IO12" s="15"/>
      <c r="IP12" s="10"/>
      <c r="IQ12" s="6"/>
    </row>
    <row r="13" spans="1:251" x14ac:dyDescent="0.25">
      <c r="A13" s="2">
        <v>2220</v>
      </c>
      <c r="B13" s="29"/>
      <c r="C13" s="30"/>
      <c r="D13" s="30"/>
      <c r="E13" s="45"/>
      <c r="F13" s="46"/>
      <c r="G13" s="30"/>
      <c r="H13" s="30"/>
      <c r="I13" s="30"/>
      <c r="J13" s="30"/>
      <c r="K13" s="30"/>
      <c r="L13" s="30"/>
      <c r="M13" s="30"/>
      <c r="N13" s="30"/>
      <c r="O13" s="30"/>
      <c r="P13" s="45"/>
      <c r="Q13" s="46"/>
      <c r="R13" s="30"/>
      <c r="S13" s="30"/>
      <c r="T13" s="45"/>
      <c r="U13" s="46"/>
      <c r="V13" s="30"/>
      <c r="W13" s="30"/>
      <c r="X13" s="45"/>
      <c r="Y13" s="46"/>
      <c r="Z13" s="31"/>
      <c r="AA13" s="5"/>
      <c r="AB13" s="1"/>
      <c r="AC13" s="1"/>
      <c r="AD13" s="15"/>
      <c r="AE13" s="10"/>
      <c r="AF13" s="1"/>
      <c r="AG13" s="1"/>
      <c r="AH13" s="1"/>
      <c r="AI13" s="1"/>
      <c r="AJ13" s="1"/>
      <c r="AK13" s="1"/>
      <c r="AL13" s="1"/>
      <c r="AM13" s="1"/>
      <c r="AN13" s="1"/>
      <c r="AO13" s="15"/>
      <c r="AP13" s="10"/>
      <c r="AQ13" s="1"/>
      <c r="AR13" s="1"/>
      <c r="AS13" s="15"/>
      <c r="AT13" s="10"/>
      <c r="AU13" s="1"/>
      <c r="AV13" s="1"/>
      <c r="AW13" s="15"/>
      <c r="AX13" s="10"/>
      <c r="AY13" s="6"/>
      <c r="AZ13" s="29"/>
      <c r="BA13" s="30"/>
      <c r="BB13" s="30"/>
      <c r="BC13" s="45"/>
      <c r="BD13" s="46"/>
      <c r="BE13" s="30"/>
      <c r="BF13" s="30"/>
      <c r="BG13" s="30"/>
      <c r="BH13" s="30"/>
      <c r="BI13" s="30"/>
      <c r="BJ13" s="30"/>
      <c r="BK13" s="30"/>
      <c r="BL13" s="30"/>
      <c r="BM13" s="30"/>
      <c r="BN13" s="45"/>
      <c r="BO13" s="46"/>
      <c r="BP13" s="30"/>
      <c r="BQ13" s="30"/>
      <c r="BR13" s="45"/>
      <c r="BS13" s="46"/>
      <c r="BT13" s="30"/>
      <c r="BU13" s="30"/>
      <c r="BV13" s="45"/>
      <c r="BW13" s="46"/>
      <c r="BX13" s="31"/>
      <c r="BY13" s="5"/>
      <c r="BZ13" s="1"/>
      <c r="CA13" s="1"/>
      <c r="CB13" s="15"/>
      <c r="CC13" s="10"/>
      <c r="CD13" s="1"/>
      <c r="CE13" s="1"/>
      <c r="CF13" s="1"/>
      <c r="CG13" s="1"/>
      <c r="CH13" s="1"/>
      <c r="CI13" s="1"/>
      <c r="CJ13" s="1"/>
      <c r="CK13" s="1"/>
      <c r="CL13" s="1"/>
      <c r="CM13" s="15"/>
      <c r="CN13" s="10"/>
      <c r="CO13" s="1"/>
      <c r="CP13" s="1"/>
      <c r="CQ13" s="15"/>
      <c r="CR13" s="10"/>
      <c r="CS13" s="1"/>
      <c r="CT13" s="1"/>
      <c r="CU13" s="15"/>
      <c r="CV13" s="10"/>
      <c r="CW13" s="6"/>
      <c r="CX13" s="29"/>
      <c r="CY13" s="30"/>
      <c r="CZ13" s="30"/>
      <c r="DA13" s="45"/>
      <c r="DB13" s="46"/>
      <c r="DC13" s="30"/>
      <c r="DD13" s="30"/>
      <c r="DE13" s="30"/>
      <c r="DF13" s="30"/>
      <c r="DG13" s="30"/>
      <c r="DH13" s="30"/>
      <c r="DI13" s="30"/>
      <c r="DJ13" s="30"/>
      <c r="DK13" s="30"/>
      <c r="DL13" s="45"/>
      <c r="DM13" s="46"/>
      <c r="DN13" s="30"/>
      <c r="DO13" s="30"/>
      <c r="DP13" s="45"/>
      <c r="DQ13" s="46"/>
      <c r="DR13" s="30"/>
      <c r="DS13" s="30"/>
      <c r="DT13" s="45"/>
      <c r="DU13" s="46"/>
      <c r="DV13" s="31"/>
      <c r="DW13" s="60"/>
      <c r="DX13" s="61"/>
      <c r="DY13" s="61"/>
      <c r="DZ13" s="62"/>
      <c r="EA13" s="63"/>
      <c r="EB13" s="61"/>
      <c r="EC13" s="61"/>
      <c r="ED13" s="61"/>
      <c r="EE13" s="61"/>
      <c r="EF13" s="61"/>
      <c r="EG13" s="61"/>
      <c r="EH13" s="61"/>
      <c r="EI13" s="61"/>
      <c r="EJ13" s="61"/>
      <c r="EK13" s="62"/>
      <c r="EL13" s="63"/>
      <c r="EM13" s="61"/>
      <c r="EN13" s="61"/>
      <c r="EO13" s="62"/>
      <c r="EP13" s="63"/>
      <c r="EQ13" s="61"/>
      <c r="ER13" s="61"/>
      <c r="ES13" s="62"/>
      <c r="ET13" s="63"/>
      <c r="EU13" s="64"/>
      <c r="EV13" s="29"/>
      <c r="EW13" s="30"/>
      <c r="EX13" s="30"/>
      <c r="EY13" s="45"/>
      <c r="EZ13" s="46"/>
      <c r="FA13" s="30"/>
      <c r="FB13" s="30"/>
      <c r="FC13" s="30"/>
      <c r="FD13" s="30"/>
      <c r="FE13" s="30"/>
      <c r="FF13" s="30"/>
      <c r="FG13" s="30"/>
      <c r="FH13" s="30"/>
      <c r="FI13" s="30"/>
      <c r="FJ13" s="45"/>
      <c r="FK13" s="46"/>
      <c r="FL13" s="30"/>
      <c r="FM13" s="30"/>
      <c r="FN13" s="45"/>
      <c r="FO13" s="46"/>
      <c r="FP13" s="30"/>
      <c r="FQ13" s="30"/>
      <c r="FR13" s="45"/>
      <c r="FS13" s="46"/>
      <c r="FT13" s="31"/>
      <c r="FU13" s="5"/>
      <c r="FV13" s="1"/>
      <c r="FW13" s="1"/>
      <c r="FX13" s="15"/>
      <c r="FY13" s="10"/>
      <c r="FZ13" s="1"/>
      <c r="GA13" s="1"/>
      <c r="GB13" s="1"/>
      <c r="GC13" s="1"/>
      <c r="GD13" s="1"/>
      <c r="GE13" s="1"/>
      <c r="GF13" s="1"/>
      <c r="GG13" s="1"/>
      <c r="GH13" s="1"/>
      <c r="GI13" s="15"/>
      <c r="GJ13" s="10"/>
      <c r="GK13" s="1"/>
      <c r="GL13" s="1"/>
      <c r="GM13" s="15"/>
      <c r="GN13" s="10"/>
      <c r="GO13" s="1"/>
      <c r="GP13" s="1"/>
      <c r="GQ13" s="15"/>
      <c r="GR13" s="10"/>
      <c r="GS13" s="6"/>
      <c r="GT13" s="29"/>
      <c r="GU13" s="30"/>
      <c r="GV13" s="30"/>
      <c r="GW13" s="45"/>
      <c r="GX13" s="46"/>
      <c r="GY13" s="30"/>
      <c r="GZ13" s="30"/>
      <c r="HA13" s="30"/>
      <c r="HB13" s="30"/>
      <c r="HC13" s="30"/>
      <c r="HD13" s="30"/>
      <c r="HE13" s="30"/>
      <c r="HF13" s="30"/>
      <c r="HG13" s="30"/>
      <c r="HH13" s="45"/>
      <c r="HI13" s="46"/>
      <c r="HJ13" s="30"/>
      <c r="HK13" s="30"/>
      <c r="HL13" s="45"/>
      <c r="HM13" s="46"/>
      <c r="HN13" s="30"/>
      <c r="HO13" s="30"/>
      <c r="HP13" s="45"/>
      <c r="HQ13" s="46"/>
      <c r="HR13" s="31"/>
      <c r="HS13" s="5"/>
      <c r="HT13" s="1"/>
      <c r="HU13" s="1"/>
      <c r="HV13" s="15"/>
      <c r="HW13" s="10"/>
      <c r="HX13" s="1"/>
      <c r="HY13" s="1"/>
      <c r="HZ13" s="1"/>
      <c r="IA13" s="1"/>
      <c r="IB13" s="1"/>
      <c r="IC13" s="1"/>
      <c r="ID13" s="1"/>
      <c r="IE13" s="1"/>
      <c r="IF13" s="1"/>
      <c r="IG13" s="15"/>
      <c r="IH13" s="10"/>
      <c r="II13" s="1"/>
      <c r="IJ13" s="1"/>
      <c r="IK13" s="15"/>
      <c r="IL13" s="10"/>
      <c r="IM13" s="1"/>
      <c r="IN13" s="1"/>
      <c r="IO13" s="15"/>
      <c r="IP13" s="10"/>
      <c r="IQ13" s="6"/>
    </row>
    <row r="14" spans="1:251" x14ac:dyDescent="0.25">
      <c r="A14" s="2">
        <v>2491</v>
      </c>
      <c r="B14" s="29"/>
      <c r="C14" s="30"/>
      <c r="D14" s="30"/>
      <c r="E14" s="45"/>
      <c r="F14" s="46"/>
      <c r="G14" s="30"/>
      <c r="H14" s="30"/>
      <c r="I14" s="30"/>
      <c r="J14" s="30"/>
      <c r="K14" s="30"/>
      <c r="L14" s="30"/>
      <c r="M14" s="30"/>
      <c r="N14" s="30"/>
      <c r="O14" s="30"/>
      <c r="P14" s="45"/>
      <c r="Q14" s="46"/>
      <c r="R14" s="30"/>
      <c r="S14" s="30"/>
      <c r="T14" s="45"/>
      <c r="U14" s="46"/>
      <c r="V14" s="30"/>
      <c r="W14" s="30"/>
      <c r="X14" s="45"/>
      <c r="Y14" s="46"/>
      <c r="Z14" s="31"/>
      <c r="AA14" s="5"/>
      <c r="AB14" s="1"/>
      <c r="AC14" s="1"/>
      <c r="AD14" s="15"/>
      <c r="AE14" s="10"/>
      <c r="AF14" s="1"/>
      <c r="AG14" s="1"/>
      <c r="AH14" s="1"/>
      <c r="AI14" s="1"/>
      <c r="AJ14" s="1"/>
      <c r="AK14" s="1"/>
      <c r="AL14" s="1"/>
      <c r="AM14" s="1"/>
      <c r="AN14" s="1"/>
      <c r="AO14" s="15"/>
      <c r="AP14" s="10"/>
      <c r="AQ14" s="1"/>
      <c r="AR14" s="1"/>
      <c r="AS14" s="15"/>
      <c r="AT14" s="10"/>
      <c r="AU14" s="1"/>
      <c r="AV14" s="1"/>
      <c r="AW14" s="15"/>
      <c r="AX14" s="10"/>
      <c r="AY14" s="6"/>
      <c r="AZ14" s="29"/>
      <c r="BA14" s="30"/>
      <c r="BB14" s="30"/>
      <c r="BC14" s="45"/>
      <c r="BD14" s="46"/>
      <c r="BE14" s="30"/>
      <c r="BF14" s="30"/>
      <c r="BG14" s="30"/>
      <c r="BH14" s="30"/>
      <c r="BI14" s="30"/>
      <c r="BJ14" s="30"/>
      <c r="BK14" s="30"/>
      <c r="BL14" s="30"/>
      <c r="BM14" s="30"/>
      <c r="BN14" s="45"/>
      <c r="BO14" s="46"/>
      <c r="BP14" s="30"/>
      <c r="BQ14" s="30"/>
      <c r="BR14" s="45"/>
      <c r="BS14" s="46"/>
      <c r="BT14" s="30"/>
      <c r="BU14" s="30"/>
      <c r="BV14" s="45"/>
      <c r="BW14" s="46"/>
      <c r="BX14" s="31"/>
      <c r="BY14" s="5"/>
      <c r="BZ14" s="1"/>
      <c r="CA14" s="1"/>
      <c r="CB14" s="15"/>
      <c r="CC14" s="10"/>
      <c r="CD14" s="1"/>
      <c r="CE14" s="1"/>
      <c r="CF14" s="1"/>
      <c r="CG14" s="1"/>
      <c r="CH14" s="1"/>
      <c r="CI14" s="1"/>
      <c r="CJ14" s="1"/>
      <c r="CK14" s="1"/>
      <c r="CL14" s="1"/>
      <c r="CM14" s="15"/>
      <c r="CN14" s="10"/>
      <c r="CO14" s="1"/>
      <c r="CP14" s="1"/>
      <c r="CQ14" s="15"/>
      <c r="CR14" s="10"/>
      <c r="CS14" s="1"/>
      <c r="CT14" s="1"/>
      <c r="CU14" s="15"/>
      <c r="CV14" s="10"/>
      <c r="CW14" s="6"/>
      <c r="CX14" s="29"/>
      <c r="CY14" s="30"/>
      <c r="CZ14" s="30"/>
      <c r="DA14" s="45"/>
      <c r="DB14" s="46"/>
      <c r="DC14" s="30"/>
      <c r="DD14" s="30"/>
      <c r="DE14" s="30"/>
      <c r="DF14" s="30"/>
      <c r="DG14" s="30"/>
      <c r="DH14" s="30"/>
      <c r="DI14" s="30"/>
      <c r="DJ14" s="30"/>
      <c r="DK14" s="30"/>
      <c r="DL14" s="45"/>
      <c r="DM14" s="46"/>
      <c r="DN14" s="30"/>
      <c r="DO14" s="30"/>
      <c r="DP14" s="45"/>
      <c r="DQ14" s="46"/>
      <c r="DR14" s="30"/>
      <c r="DS14" s="30"/>
      <c r="DT14" s="45"/>
      <c r="DU14" s="46"/>
      <c r="DV14" s="31"/>
      <c r="DW14" s="60"/>
      <c r="DX14" s="61"/>
      <c r="DY14" s="61"/>
      <c r="DZ14" s="62"/>
      <c r="EA14" s="63"/>
      <c r="EB14" s="61"/>
      <c r="EC14" s="61"/>
      <c r="ED14" s="61"/>
      <c r="EE14" s="61"/>
      <c r="EF14" s="61"/>
      <c r="EG14" s="61"/>
      <c r="EH14" s="61"/>
      <c r="EI14" s="61"/>
      <c r="EJ14" s="61"/>
      <c r="EK14" s="62"/>
      <c r="EL14" s="63"/>
      <c r="EM14" s="61"/>
      <c r="EN14" s="61"/>
      <c r="EO14" s="62"/>
      <c r="EP14" s="63"/>
      <c r="EQ14" s="61"/>
      <c r="ER14" s="61"/>
      <c r="ES14" s="62"/>
      <c r="ET14" s="63"/>
      <c r="EU14" s="64"/>
      <c r="EV14" s="29"/>
      <c r="EW14" s="30"/>
      <c r="EX14" s="30"/>
      <c r="EY14" s="45"/>
      <c r="EZ14" s="46"/>
      <c r="FA14" s="30"/>
      <c r="FB14" s="30"/>
      <c r="FC14" s="30"/>
      <c r="FD14" s="30"/>
      <c r="FE14" s="30"/>
      <c r="FF14" s="30"/>
      <c r="FG14" s="30"/>
      <c r="FH14" s="30"/>
      <c r="FI14" s="30"/>
      <c r="FJ14" s="45"/>
      <c r="FK14" s="46"/>
      <c r="FL14" s="30"/>
      <c r="FM14" s="30"/>
      <c r="FN14" s="45"/>
      <c r="FO14" s="46"/>
      <c r="FP14" s="30"/>
      <c r="FQ14" s="30"/>
      <c r="FR14" s="45"/>
      <c r="FS14" s="46"/>
      <c r="FT14" s="31"/>
      <c r="FU14" s="5"/>
      <c r="FV14" s="1"/>
      <c r="FW14" s="1"/>
      <c r="FX14" s="15"/>
      <c r="FY14" s="10"/>
      <c r="FZ14" s="1"/>
      <c r="GA14" s="1"/>
      <c r="GB14" s="1"/>
      <c r="GC14" s="1"/>
      <c r="GD14" s="1"/>
      <c r="GE14" s="1"/>
      <c r="GF14" s="1"/>
      <c r="GG14" s="1"/>
      <c r="GH14" s="1"/>
      <c r="GI14" s="15"/>
      <c r="GJ14" s="10"/>
      <c r="GK14" s="1"/>
      <c r="GL14" s="1"/>
      <c r="GM14" s="15"/>
      <c r="GN14" s="10"/>
      <c r="GO14" s="1"/>
      <c r="GP14" s="1"/>
      <c r="GQ14" s="15"/>
      <c r="GR14" s="10"/>
      <c r="GS14" s="6"/>
      <c r="GT14" s="29"/>
      <c r="GU14" s="30"/>
      <c r="GV14" s="30"/>
      <c r="GW14" s="45"/>
      <c r="GX14" s="46"/>
      <c r="GY14" s="30"/>
      <c r="GZ14" s="30"/>
      <c r="HA14" s="30"/>
      <c r="HB14" s="30"/>
      <c r="HC14" s="30"/>
      <c r="HD14" s="30"/>
      <c r="HE14" s="30"/>
      <c r="HF14" s="30"/>
      <c r="HG14" s="30"/>
      <c r="HH14" s="45"/>
      <c r="HI14" s="46"/>
      <c r="HJ14" s="30"/>
      <c r="HK14" s="30"/>
      <c r="HL14" s="45"/>
      <c r="HM14" s="46"/>
      <c r="HN14" s="30"/>
      <c r="HO14" s="30"/>
      <c r="HP14" s="45"/>
      <c r="HQ14" s="46"/>
      <c r="HR14" s="31"/>
      <c r="HS14" s="5"/>
      <c r="HT14" s="1"/>
      <c r="HU14" s="1"/>
      <c r="HV14" s="15"/>
      <c r="HW14" s="10"/>
      <c r="HX14" s="1"/>
      <c r="HY14" s="1"/>
      <c r="HZ14" s="1"/>
      <c r="IA14" s="1"/>
      <c r="IB14" s="1"/>
      <c r="IC14" s="1"/>
      <c r="ID14" s="1"/>
      <c r="IE14" s="1"/>
      <c r="IF14" s="1"/>
      <c r="IG14" s="15"/>
      <c r="IH14" s="10"/>
      <c r="II14" s="1"/>
      <c r="IJ14" s="1"/>
      <c r="IK14" s="15"/>
      <c r="IL14" s="10"/>
      <c r="IM14" s="1"/>
      <c r="IN14" s="1"/>
      <c r="IO14" s="15"/>
      <c r="IP14" s="10"/>
      <c r="IQ14" s="6"/>
    </row>
    <row r="15" spans="1:251" x14ac:dyDescent="0.25">
      <c r="A15" s="2">
        <v>2500</v>
      </c>
      <c r="B15" s="29"/>
      <c r="C15" s="30"/>
      <c r="D15" s="30"/>
      <c r="E15" s="45"/>
      <c r="F15" s="46"/>
      <c r="G15" s="30"/>
      <c r="H15" s="30"/>
      <c r="I15" s="30"/>
      <c r="J15" s="30"/>
      <c r="K15" s="30"/>
      <c r="L15" s="30"/>
      <c r="M15" s="30"/>
      <c r="N15" s="30"/>
      <c r="O15" s="30"/>
      <c r="P15" s="45"/>
      <c r="Q15" s="46"/>
      <c r="R15" s="30"/>
      <c r="S15" s="30"/>
      <c r="T15" s="45"/>
      <c r="U15" s="46"/>
      <c r="V15" s="30"/>
      <c r="W15" s="30"/>
      <c r="X15" s="45"/>
      <c r="Y15" s="46"/>
      <c r="Z15" s="31"/>
      <c r="AA15" s="5"/>
      <c r="AB15" s="1"/>
      <c r="AC15" s="1"/>
      <c r="AD15" s="15"/>
      <c r="AE15" s="10"/>
      <c r="AF15" s="1"/>
      <c r="AG15" s="1"/>
      <c r="AH15" s="1"/>
      <c r="AI15" s="1"/>
      <c r="AJ15" s="1"/>
      <c r="AK15" s="1"/>
      <c r="AL15" s="1"/>
      <c r="AM15" s="1"/>
      <c r="AN15" s="1"/>
      <c r="AO15" s="15"/>
      <c r="AP15" s="10"/>
      <c r="AQ15" s="1"/>
      <c r="AR15" s="1"/>
      <c r="AS15" s="15"/>
      <c r="AT15" s="10"/>
      <c r="AU15" s="1"/>
      <c r="AV15" s="1"/>
      <c r="AW15" s="15"/>
      <c r="AX15" s="10"/>
      <c r="AY15" s="6"/>
      <c r="AZ15" s="29"/>
      <c r="BA15" s="30"/>
      <c r="BB15" s="30"/>
      <c r="BC15" s="45"/>
      <c r="BD15" s="46"/>
      <c r="BE15" s="30"/>
      <c r="BF15" s="30"/>
      <c r="BG15" s="30"/>
      <c r="BH15" s="30"/>
      <c r="BI15" s="30"/>
      <c r="BJ15" s="30"/>
      <c r="BK15" s="30"/>
      <c r="BL15" s="30"/>
      <c r="BM15" s="30"/>
      <c r="BN15" s="45"/>
      <c r="BO15" s="46"/>
      <c r="BP15" s="30"/>
      <c r="BQ15" s="30"/>
      <c r="BR15" s="45"/>
      <c r="BS15" s="46"/>
      <c r="BT15" s="30"/>
      <c r="BU15" s="30"/>
      <c r="BV15" s="45"/>
      <c r="BW15" s="46"/>
      <c r="BX15" s="31"/>
      <c r="BY15" s="5"/>
      <c r="BZ15" s="1"/>
      <c r="CA15" s="1"/>
      <c r="CB15" s="15"/>
      <c r="CC15" s="10"/>
      <c r="CD15" s="1"/>
      <c r="CE15" s="1"/>
      <c r="CF15" s="1"/>
      <c r="CG15" s="1"/>
      <c r="CH15" s="1"/>
      <c r="CI15" s="1"/>
      <c r="CJ15" s="1"/>
      <c r="CK15" s="1"/>
      <c r="CL15" s="1"/>
      <c r="CM15" s="15"/>
      <c r="CN15" s="10"/>
      <c r="CO15" s="1"/>
      <c r="CP15" s="1"/>
      <c r="CQ15" s="15"/>
      <c r="CR15" s="10"/>
      <c r="CS15" s="1"/>
      <c r="CT15" s="1"/>
      <c r="CU15" s="15"/>
      <c r="CV15" s="10"/>
      <c r="CW15" s="6"/>
      <c r="CX15" s="29"/>
      <c r="CY15" s="30"/>
      <c r="CZ15" s="30"/>
      <c r="DA15" s="45"/>
      <c r="DB15" s="46"/>
      <c r="DC15" s="30"/>
      <c r="DD15" s="30"/>
      <c r="DE15" s="30"/>
      <c r="DF15" s="30"/>
      <c r="DG15" s="30"/>
      <c r="DH15" s="30"/>
      <c r="DI15" s="30"/>
      <c r="DJ15" s="30"/>
      <c r="DK15" s="30"/>
      <c r="DL15" s="45"/>
      <c r="DM15" s="46"/>
      <c r="DN15" s="30"/>
      <c r="DO15" s="30"/>
      <c r="DP15" s="45"/>
      <c r="DQ15" s="46"/>
      <c r="DR15" s="30"/>
      <c r="DS15" s="30"/>
      <c r="DT15" s="45"/>
      <c r="DU15" s="46"/>
      <c r="DV15" s="31"/>
      <c r="DW15" s="60"/>
      <c r="DX15" s="61"/>
      <c r="DY15" s="61"/>
      <c r="DZ15" s="62"/>
      <c r="EA15" s="63"/>
      <c r="EB15" s="61"/>
      <c r="EC15" s="61"/>
      <c r="ED15" s="61"/>
      <c r="EE15" s="61"/>
      <c r="EF15" s="61"/>
      <c r="EG15" s="61"/>
      <c r="EH15" s="61"/>
      <c r="EI15" s="61"/>
      <c r="EJ15" s="61"/>
      <c r="EK15" s="62"/>
      <c r="EL15" s="63"/>
      <c r="EM15" s="61"/>
      <c r="EN15" s="61"/>
      <c r="EO15" s="62"/>
      <c r="EP15" s="63"/>
      <c r="EQ15" s="61"/>
      <c r="ER15" s="61"/>
      <c r="ES15" s="62"/>
      <c r="ET15" s="63"/>
      <c r="EU15" s="64"/>
      <c r="EV15" s="29"/>
      <c r="EW15" s="30"/>
      <c r="EX15" s="30"/>
      <c r="EY15" s="45"/>
      <c r="EZ15" s="46"/>
      <c r="FA15" s="30"/>
      <c r="FB15" s="30"/>
      <c r="FC15" s="30"/>
      <c r="FD15" s="30"/>
      <c r="FE15" s="30"/>
      <c r="FF15" s="30"/>
      <c r="FG15" s="30"/>
      <c r="FH15" s="30"/>
      <c r="FI15" s="30"/>
      <c r="FJ15" s="45"/>
      <c r="FK15" s="46"/>
      <c r="FL15" s="30"/>
      <c r="FM15" s="30"/>
      <c r="FN15" s="45"/>
      <c r="FO15" s="46"/>
      <c r="FP15" s="30"/>
      <c r="FQ15" s="30"/>
      <c r="FR15" s="45"/>
      <c r="FS15" s="46"/>
      <c r="FT15" s="31"/>
      <c r="FU15" s="5"/>
      <c r="FV15" s="1"/>
      <c r="FW15" s="1"/>
      <c r="FX15" s="15"/>
      <c r="FY15" s="10"/>
      <c r="FZ15" s="1"/>
      <c r="GA15" s="1"/>
      <c r="GB15" s="1"/>
      <c r="GC15" s="1"/>
      <c r="GD15" s="1"/>
      <c r="GE15" s="1"/>
      <c r="GF15" s="1"/>
      <c r="GG15" s="1"/>
      <c r="GH15" s="1"/>
      <c r="GI15" s="15"/>
      <c r="GJ15" s="10"/>
      <c r="GK15" s="1"/>
      <c r="GL15" s="1"/>
      <c r="GM15" s="15"/>
      <c r="GN15" s="10"/>
      <c r="GO15" s="1"/>
      <c r="GP15" s="1"/>
      <c r="GQ15" s="15"/>
      <c r="GR15" s="10"/>
      <c r="GS15" s="6"/>
      <c r="GT15" s="29"/>
      <c r="GU15" s="30"/>
      <c r="GV15" s="30"/>
      <c r="GW15" s="45"/>
      <c r="GX15" s="46"/>
      <c r="GY15" s="30"/>
      <c r="GZ15" s="30"/>
      <c r="HA15" s="30"/>
      <c r="HB15" s="30"/>
      <c r="HC15" s="30"/>
      <c r="HD15" s="30"/>
      <c r="HE15" s="30"/>
      <c r="HF15" s="30"/>
      <c r="HG15" s="30"/>
      <c r="HH15" s="45"/>
      <c r="HI15" s="46"/>
      <c r="HJ15" s="30"/>
      <c r="HK15" s="30"/>
      <c r="HL15" s="45"/>
      <c r="HM15" s="46"/>
      <c r="HN15" s="30"/>
      <c r="HO15" s="30"/>
      <c r="HP15" s="45"/>
      <c r="HQ15" s="46"/>
      <c r="HR15" s="31"/>
      <c r="HS15" s="5"/>
      <c r="HT15" s="1"/>
      <c r="HU15" s="1"/>
      <c r="HV15" s="15"/>
      <c r="HW15" s="10"/>
      <c r="HX15" s="1"/>
      <c r="HY15" s="1"/>
      <c r="HZ15" s="1"/>
      <c r="IA15" s="1"/>
      <c r="IB15" s="1"/>
      <c r="IC15" s="1"/>
      <c r="ID15" s="1"/>
      <c r="IE15" s="1"/>
      <c r="IF15" s="1"/>
      <c r="IG15" s="15"/>
      <c r="IH15" s="10"/>
      <c r="II15" s="1"/>
      <c r="IJ15" s="1"/>
      <c r="IK15" s="15"/>
      <c r="IL15" s="10"/>
      <c r="IM15" s="1"/>
      <c r="IN15" s="1"/>
      <c r="IO15" s="15"/>
      <c r="IP15" s="10"/>
      <c r="IQ15" s="6"/>
    </row>
    <row r="16" spans="1:251" x14ac:dyDescent="0.25">
      <c r="A16" s="2">
        <v>2502</v>
      </c>
      <c r="B16" s="29"/>
      <c r="C16" s="30"/>
      <c r="D16" s="30"/>
      <c r="E16" s="45"/>
      <c r="F16" s="46"/>
      <c r="G16" s="30"/>
      <c r="H16" s="30"/>
      <c r="I16" s="30"/>
      <c r="J16" s="30"/>
      <c r="K16" s="30"/>
      <c r="L16" s="30"/>
      <c r="M16" s="30"/>
      <c r="N16" s="30"/>
      <c r="O16" s="30"/>
      <c r="P16" s="45"/>
      <c r="Q16" s="46"/>
      <c r="R16" s="30"/>
      <c r="S16" s="30"/>
      <c r="T16" s="45"/>
      <c r="U16" s="46"/>
      <c r="V16" s="30"/>
      <c r="W16" s="30"/>
      <c r="X16" s="45"/>
      <c r="Y16" s="46"/>
      <c r="Z16" s="31"/>
      <c r="AA16" s="5"/>
      <c r="AB16" s="1"/>
      <c r="AC16" s="1"/>
      <c r="AD16" s="15"/>
      <c r="AE16" s="10"/>
      <c r="AF16" s="1"/>
      <c r="AG16" s="1"/>
      <c r="AH16" s="1"/>
      <c r="AI16" s="1"/>
      <c r="AJ16" s="1"/>
      <c r="AK16" s="1"/>
      <c r="AL16" s="1"/>
      <c r="AM16" s="1"/>
      <c r="AN16" s="1"/>
      <c r="AO16" s="15"/>
      <c r="AP16" s="10"/>
      <c r="AQ16" s="1"/>
      <c r="AR16" s="1"/>
      <c r="AS16" s="15"/>
      <c r="AT16" s="10"/>
      <c r="AU16" s="1"/>
      <c r="AV16" s="1"/>
      <c r="AW16" s="15"/>
      <c r="AX16" s="10"/>
      <c r="AY16" s="6"/>
      <c r="AZ16" s="29"/>
      <c r="BA16" s="30"/>
      <c r="BB16" s="30"/>
      <c r="BC16" s="45"/>
      <c r="BD16" s="46"/>
      <c r="BE16" s="30"/>
      <c r="BF16" s="30"/>
      <c r="BG16" s="30"/>
      <c r="BH16" s="30"/>
      <c r="BI16" s="30"/>
      <c r="BJ16" s="30"/>
      <c r="BK16" s="30"/>
      <c r="BL16" s="30"/>
      <c r="BM16" s="30"/>
      <c r="BN16" s="45"/>
      <c r="BO16" s="46"/>
      <c r="BP16" s="30"/>
      <c r="BQ16" s="30"/>
      <c r="BR16" s="45"/>
      <c r="BS16" s="46"/>
      <c r="BT16" s="30"/>
      <c r="BU16" s="30"/>
      <c r="BV16" s="45"/>
      <c r="BW16" s="46"/>
      <c r="BX16" s="31"/>
      <c r="BY16" s="5"/>
      <c r="BZ16" s="1"/>
      <c r="CA16" s="1"/>
      <c r="CB16" s="15"/>
      <c r="CC16" s="10"/>
      <c r="CD16" s="1"/>
      <c r="CE16" s="1"/>
      <c r="CF16" s="1"/>
      <c r="CG16" s="1"/>
      <c r="CH16" s="1"/>
      <c r="CI16" s="1"/>
      <c r="CJ16" s="1"/>
      <c r="CK16" s="1"/>
      <c r="CL16" s="1"/>
      <c r="CM16" s="15"/>
      <c r="CN16" s="10"/>
      <c r="CO16" s="1"/>
      <c r="CP16" s="1"/>
      <c r="CQ16" s="15"/>
      <c r="CR16" s="10"/>
      <c r="CS16" s="1"/>
      <c r="CT16" s="1"/>
      <c r="CU16" s="15"/>
      <c r="CV16" s="10"/>
      <c r="CW16" s="6"/>
      <c r="CX16" s="29"/>
      <c r="CY16" s="30"/>
      <c r="CZ16" s="30"/>
      <c r="DA16" s="45"/>
      <c r="DB16" s="46"/>
      <c r="DC16" s="30"/>
      <c r="DD16" s="30"/>
      <c r="DE16" s="30"/>
      <c r="DF16" s="30"/>
      <c r="DG16" s="30"/>
      <c r="DH16" s="30"/>
      <c r="DI16" s="30"/>
      <c r="DJ16" s="30"/>
      <c r="DK16" s="30"/>
      <c r="DL16" s="45"/>
      <c r="DM16" s="46"/>
      <c r="DN16" s="30"/>
      <c r="DO16" s="30"/>
      <c r="DP16" s="45"/>
      <c r="DQ16" s="46"/>
      <c r="DR16" s="30"/>
      <c r="DS16" s="30"/>
      <c r="DT16" s="45"/>
      <c r="DU16" s="46"/>
      <c r="DV16" s="31"/>
      <c r="DW16" s="60"/>
      <c r="DX16" s="61"/>
      <c r="DY16" s="61"/>
      <c r="DZ16" s="62"/>
      <c r="EA16" s="63"/>
      <c r="EB16" s="61"/>
      <c r="EC16" s="61"/>
      <c r="ED16" s="61"/>
      <c r="EE16" s="61"/>
      <c r="EF16" s="61"/>
      <c r="EG16" s="61"/>
      <c r="EH16" s="61"/>
      <c r="EI16" s="61"/>
      <c r="EJ16" s="61"/>
      <c r="EK16" s="62"/>
      <c r="EL16" s="63"/>
      <c r="EM16" s="61"/>
      <c r="EN16" s="61"/>
      <c r="EO16" s="62"/>
      <c r="EP16" s="63"/>
      <c r="EQ16" s="61"/>
      <c r="ER16" s="61"/>
      <c r="ES16" s="62"/>
      <c r="ET16" s="63"/>
      <c r="EU16" s="64"/>
      <c r="EV16" s="29"/>
      <c r="EW16" s="30"/>
      <c r="EX16" s="30"/>
      <c r="EY16" s="45"/>
      <c r="EZ16" s="46"/>
      <c r="FA16" s="30"/>
      <c r="FB16" s="30"/>
      <c r="FC16" s="30"/>
      <c r="FD16" s="30"/>
      <c r="FE16" s="30"/>
      <c r="FF16" s="30"/>
      <c r="FG16" s="30"/>
      <c r="FH16" s="30"/>
      <c r="FI16" s="30"/>
      <c r="FJ16" s="45"/>
      <c r="FK16" s="46"/>
      <c r="FL16" s="30"/>
      <c r="FM16" s="30"/>
      <c r="FN16" s="45"/>
      <c r="FO16" s="46"/>
      <c r="FP16" s="30"/>
      <c r="FQ16" s="30"/>
      <c r="FR16" s="45"/>
      <c r="FS16" s="46"/>
      <c r="FT16" s="31"/>
      <c r="FU16" s="5"/>
      <c r="FV16" s="1"/>
      <c r="FW16" s="1"/>
      <c r="FX16" s="15"/>
      <c r="FY16" s="10"/>
      <c r="FZ16" s="1"/>
      <c r="GA16" s="1"/>
      <c r="GB16" s="1"/>
      <c r="GC16" s="1"/>
      <c r="GD16" s="1"/>
      <c r="GE16" s="1"/>
      <c r="GF16" s="1"/>
      <c r="GG16" s="1"/>
      <c r="GH16" s="1"/>
      <c r="GI16" s="15"/>
      <c r="GJ16" s="10"/>
      <c r="GK16" s="1"/>
      <c r="GL16" s="1"/>
      <c r="GM16" s="15"/>
      <c r="GN16" s="10"/>
      <c r="GO16" s="1"/>
      <c r="GP16" s="1"/>
      <c r="GQ16" s="15"/>
      <c r="GR16" s="10"/>
      <c r="GS16" s="6"/>
      <c r="GT16" s="29"/>
      <c r="GU16" s="30"/>
      <c r="GV16" s="30"/>
      <c r="GW16" s="45"/>
      <c r="GX16" s="46"/>
      <c r="GY16" s="30"/>
      <c r="GZ16" s="30"/>
      <c r="HA16" s="30"/>
      <c r="HB16" s="30"/>
      <c r="HC16" s="30"/>
      <c r="HD16" s="30"/>
      <c r="HE16" s="30"/>
      <c r="HF16" s="30"/>
      <c r="HG16" s="30"/>
      <c r="HH16" s="45"/>
      <c r="HI16" s="46"/>
      <c r="HJ16" s="30"/>
      <c r="HK16" s="30"/>
      <c r="HL16" s="45"/>
      <c r="HM16" s="46"/>
      <c r="HN16" s="30"/>
      <c r="HO16" s="30"/>
      <c r="HP16" s="45"/>
      <c r="HQ16" s="46"/>
      <c r="HR16" s="31"/>
      <c r="HS16" s="5"/>
      <c r="HT16" s="1"/>
      <c r="HU16" s="1"/>
      <c r="HV16" s="15"/>
      <c r="HW16" s="10"/>
      <c r="HX16" s="1"/>
      <c r="HY16" s="1"/>
      <c r="HZ16" s="1"/>
      <c r="IA16" s="1"/>
      <c r="IB16" s="1"/>
      <c r="IC16" s="1"/>
      <c r="ID16" s="1"/>
      <c r="IE16" s="1"/>
      <c r="IF16" s="1"/>
      <c r="IG16" s="15"/>
      <c r="IH16" s="10"/>
      <c r="II16" s="1"/>
      <c r="IJ16" s="1"/>
      <c r="IK16" s="15"/>
      <c r="IL16" s="10"/>
      <c r="IM16" s="1"/>
      <c r="IN16" s="1"/>
      <c r="IO16" s="15"/>
      <c r="IP16" s="10"/>
      <c r="IQ16" s="6"/>
    </row>
    <row r="17" spans="1:251" x14ac:dyDescent="0.25">
      <c r="A17" s="2">
        <v>2506</v>
      </c>
      <c r="B17" s="29"/>
      <c r="C17" s="30"/>
      <c r="D17" s="30"/>
      <c r="E17" s="45"/>
      <c r="F17" s="46"/>
      <c r="G17" s="30"/>
      <c r="H17" s="30"/>
      <c r="I17" s="30"/>
      <c r="J17" s="30"/>
      <c r="K17" s="30"/>
      <c r="L17" s="30"/>
      <c r="M17" s="30"/>
      <c r="N17" s="30"/>
      <c r="O17" s="30"/>
      <c r="P17" s="45"/>
      <c r="Q17" s="46"/>
      <c r="R17" s="30"/>
      <c r="S17" s="30"/>
      <c r="T17" s="45"/>
      <c r="U17" s="46"/>
      <c r="V17" s="30"/>
      <c r="W17" s="30"/>
      <c r="X17" s="45"/>
      <c r="Y17" s="46"/>
      <c r="Z17" s="31"/>
      <c r="AA17" s="5"/>
      <c r="AB17" s="1"/>
      <c r="AC17" s="1"/>
      <c r="AD17" s="15"/>
      <c r="AE17" s="10"/>
      <c r="AF17" s="1"/>
      <c r="AG17" s="1"/>
      <c r="AH17" s="1"/>
      <c r="AI17" s="1"/>
      <c r="AJ17" s="1"/>
      <c r="AK17" s="1"/>
      <c r="AL17" s="1"/>
      <c r="AM17" s="1"/>
      <c r="AN17" s="1"/>
      <c r="AO17" s="15"/>
      <c r="AP17" s="10"/>
      <c r="AQ17" s="1"/>
      <c r="AR17" s="1"/>
      <c r="AS17" s="15"/>
      <c r="AT17" s="10"/>
      <c r="AU17" s="1"/>
      <c r="AV17" s="1"/>
      <c r="AW17" s="15"/>
      <c r="AX17" s="10"/>
      <c r="AY17" s="6"/>
      <c r="AZ17" s="29"/>
      <c r="BA17" s="30"/>
      <c r="BB17" s="30"/>
      <c r="BC17" s="45"/>
      <c r="BD17" s="46"/>
      <c r="BE17" s="30"/>
      <c r="BF17" s="30"/>
      <c r="BG17" s="30"/>
      <c r="BH17" s="30"/>
      <c r="BI17" s="30"/>
      <c r="BJ17" s="30"/>
      <c r="BK17" s="30"/>
      <c r="BL17" s="30"/>
      <c r="BM17" s="30"/>
      <c r="BN17" s="45"/>
      <c r="BO17" s="46"/>
      <c r="BP17" s="30"/>
      <c r="BQ17" s="30"/>
      <c r="BR17" s="45"/>
      <c r="BS17" s="46"/>
      <c r="BT17" s="30"/>
      <c r="BU17" s="30"/>
      <c r="BV17" s="45"/>
      <c r="BW17" s="46"/>
      <c r="BX17" s="31"/>
      <c r="BY17" s="5"/>
      <c r="BZ17" s="1"/>
      <c r="CA17" s="1"/>
      <c r="CB17" s="15"/>
      <c r="CC17" s="10"/>
      <c r="CD17" s="1"/>
      <c r="CE17" s="1"/>
      <c r="CF17" s="1"/>
      <c r="CG17" s="1"/>
      <c r="CH17" s="1"/>
      <c r="CI17" s="1"/>
      <c r="CJ17" s="1"/>
      <c r="CK17" s="1"/>
      <c r="CL17" s="1"/>
      <c r="CM17" s="15"/>
      <c r="CN17" s="10"/>
      <c r="CO17" s="1"/>
      <c r="CP17" s="1"/>
      <c r="CQ17" s="15"/>
      <c r="CR17" s="10"/>
      <c r="CS17" s="1"/>
      <c r="CT17" s="1"/>
      <c r="CU17" s="15"/>
      <c r="CV17" s="10"/>
      <c r="CW17" s="6"/>
      <c r="CX17" s="29"/>
      <c r="CY17" s="30"/>
      <c r="CZ17" s="30"/>
      <c r="DA17" s="45"/>
      <c r="DB17" s="46"/>
      <c r="DC17" s="30"/>
      <c r="DD17" s="30"/>
      <c r="DE17" s="30"/>
      <c r="DF17" s="30"/>
      <c r="DG17" s="30"/>
      <c r="DH17" s="30"/>
      <c r="DI17" s="30"/>
      <c r="DJ17" s="30"/>
      <c r="DK17" s="30"/>
      <c r="DL17" s="45"/>
      <c r="DM17" s="46"/>
      <c r="DN17" s="30"/>
      <c r="DO17" s="30"/>
      <c r="DP17" s="45"/>
      <c r="DQ17" s="46"/>
      <c r="DR17" s="30"/>
      <c r="DS17" s="30"/>
      <c r="DT17" s="45"/>
      <c r="DU17" s="46"/>
      <c r="DV17" s="31"/>
      <c r="DW17" s="60"/>
      <c r="DX17" s="61"/>
      <c r="DY17" s="61"/>
      <c r="DZ17" s="62"/>
      <c r="EA17" s="63"/>
      <c r="EB17" s="61"/>
      <c r="EC17" s="61"/>
      <c r="ED17" s="61"/>
      <c r="EE17" s="61"/>
      <c r="EF17" s="61"/>
      <c r="EG17" s="61"/>
      <c r="EH17" s="61"/>
      <c r="EI17" s="61"/>
      <c r="EJ17" s="61"/>
      <c r="EK17" s="62"/>
      <c r="EL17" s="63"/>
      <c r="EM17" s="61"/>
      <c r="EN17" s="61"/>
      <c r="EO17" s="62"/>
      <c r="EP17" s="63"/>
      <c r="EQ17" s="61"/>
      <c r="ER17" s="61"/>
      <c r="ES17" s="62"/>
      <c r="ET17" s="63"/>
      <c r="EU17" s="64"/>
      <c r="EV17" s="29"/>
      <c r="EW17" s="30"/>
      <c r="EX17" s="30"/>
      <c r="EY17" s="45"/>
      <c r="EZ17" s="46"/>
      <c r="FA17" s="30"/>
      <c r="FB17" s="30"/>
      <c r="FC17" s="30"/>
      <c r="FD17" s="30"/>
      <c r="FE17" s="30"/>
      <c r="FF17" s="30"/>
      <c r="FG17" s="30"/>
      <c r="FH17" s="30"/>
      <c r="FI17" s="30"/>
      <c r="FJ17" s="45"/>
      <c r="FK17" s="46"/>
      <c r="FL17" s="30"/>
      <c r="FM17" s="30"/>
      <c r="FN17" s="45"/>
      <c r="FO17" s="46"/>
      <c r="FP17" s="30"/>
      <c r="FQ17" s="30"/>
      <c r="FR17" s="45"/>
      <c r="FS17" s="46"/>
      <c r="FT17" s="31"/>
      <c r="FU17" s="5"/>
      <c r="FV17" s="1"/>
      <c r="FW17" s="1"/>
      <c r="FX17" s="15"/>
      <c r="FY17" s="10"/>
      <c r="FZ17" s="1"/>
      <c r="GA17" s="1"/>
      <c r="GB17" s="1"/>
      <c r="GC17" s="1"/>
      <c r="GD17" s="1"/>
      <c r="GE17" s="1"/>
      <c r="GF17" s="1"/>
      <c r="GG17" s="1"/>
      <c r="GH17" s="1"/>
      <c r="GI17" s="15"/>
      <c r="GJ17" s="10"/>
      <c r="GK17" s="1"/>
      <c r="GL17" s="1"/>
      <c r="GM17" s="15"/>
      <c r="GN17" s="10"/>
      <c r="GO17" s="1"/>
      <c r="GP17" s="1"/>
      <c r="GQ17" s="15"/>
      <c r="GR17" s="10"/>
      <c r="GS17" s="6"/>
      <c r="GT17" s="29"/>
      <c r="GU17" s="30"/>
      <c r="GV17" s="30"/>
      <c r="GW17" s="45"/>
      <c r="GX17" s="46"/>
      <c r="GY17" s="30"/>
      <c r="GZ17" s="30"/>
      <c r="HA17" s="30"/>
      <c r="HB17" s="30"/>
      <c r="HC17" s="30"/>
      <c r="HD17" s="30"/>
      <c r="HE17" s="30"/>
      <c r="HF17" s="30"/>
      <c r="HG17" s="30"/>
      <c r="HH17" s="45"/>
      <c r="HI17" s="46"/>
      <c r="HJ17" s="30"/>
      <c r="HK17" s="30"/>
      <c r="HL17" s="45"/>
      <c r="HM17" s="46"/>
      <c r="HN17" s="30"/>
      <c r="HO17" s="30"/>
      <c r="HP17" s="45"/>
      <c r="HQ17" s="46"/>
      <c r="HR17" s="31"/>
      <c r="HS17" s="5"/>
      <c r="HT17" s="1"/>
      <c r="HU17" s="1"/>
      <c r="HV17" s="15"/>
      <c r="HW17" s="10"/>
      <c r="HX17" s="1"/>
      <c r="HY17" s="1"/>
      <c r="HZ17" s="1"/>
      <c r="IA17" s="1"/>
      <c r="IB17" s="1"/>
      <c r="IC17" s="1"/>
      <c r="ID17" s="1"/>
      <c r="IE17" s="1"/>
      <c r="IF17" s="1"/>
      <c r="IG17" s="15"/>
      <c r="IH17" s="10"/>
      <c r="II17" s="1"/>
      <c r="IJ17" s="1"/>
      <c r="IK17" s="15"/>
      <c r="IL17" s="10"/>
      <c r="IM17" s="1"/>
      <c r="IN17" s="1"/>
      <c r="IO17" s="15"/>
      <c r="IP17" s="10"/>
      <c r="IQ17" s="6"/>
    </row>
    <row r="18" spans="1:251" x14ac:dyDescent="0.25">
      <c r="A18" s="2">
        <v>2512</v>
      </c>
      <c r="B18" s="29"/>
      <c r="C18" s="30"/>
      <c r="D18" s="30"/>
      <c r="E18" s="45"/>
      <c r="F18" s="46"/>
      <c r="G18" s="30"/>
      <c r="H18" s="30"/>
      <c r="I18" s="30"/>
      <c r="J18" s="30"/>
      <c r="K18" s="30"/>
      <c r="L18" s="30"/>
      <c r="M18" s="30"/>
      <c r="N18" s="30"/>
      <c r="O18" s="30"/>
      <c r="P18" s="45"/>
      <c r="Q18" s="46"/>
      <c r="R18" s="30"/>
      <c r="S18" s="30"/>
      <c r="T18" s="45"/>
      <c r="U18" s="46"/>
      <c r="V18" s="30"/>
      <c r="W18" s="30"/>
      <c r="X18" s="45"/>
      <c r="Y18" s="46"/>
      <c r="Z18" s="31"/>
      <c r="AA18" s="5"/>
      <c r="AB18" s="1"/>
      <c r="AC18" s="1"/>
      <c r="AD18" s="15"/>
      <c r="AE18" s="10"/>
      <c r="AF18" s="1"/>
      <c r="AG18" s="1"/>
      <c r="AH18" s="1"/>
      <c r="AI18" s="1"/>
      <c r="AJ18" s="1"/>
      <c r="AK18" s="1"/>
      <c r="AL18" s="1"/>
      <c r="AM18" s="1"/>
      <c r="AN18" s="1"/>
      <c r="AO18" s="15"/>
      <c r="AP18" s="10"/>
      <c r="AQ18" s="1"/>
      <c r="AR18" s="1"/>
      <c r="AS18" s="15"/>
      <c r="AT18" s="10"/>
      <c r="AU18" s="1"/>
      <c r="AV18" s="1"/>
      <c r="AW18" s="15"/>
      <c r="AX18" s="10"/>
      <c r="AY18" s="6"/>
      <c r="AZ18" s="29"/>
      <c r="BA18" s="30"/>
      <c r="BB18" s="30"/>
      <c r="BC18" s="45"/>
      <c r="BD18" s="46"/>
      <c r="BE18" s="30"/>
      <c r="BF18" s="30"/>
      <c r="BG18" s="30"/>
      <c r="BH18" s="30"/>
      <c r="BI18" s="30"/>
      <c r="BJ18" s="30"/>
      <c r="BK18" s="30"/>
      <c r="BL18" s="30"/>
      <c r="BM18" s="30"/>
      <c r="BN18" s="45"/>
      <c r="BO18" s="46"/>
      <c r="BP18" s="30"/>
      <c r="BQ18" s="30"/>
      <c r="BR18" s="45"/>
      <c r="BS18" s="46"/>
      <c r="BT18" s="30"/>
      <c r="BU18" s="30"/>
      <c r="BV18" s="45"/>
      <c r="BW18" s="46"/>
      <c r="BX18" s="31"/>
      <c r="BY18" s="5"/>
      <c r="BZ18" s="1"/>
      <c r="CA18" s="1"/>
      <c r="CB18" s="15"/>
      <c r="CC18" s="10"/>
      <c r="CD18" s="1"/>
      <c r="CE18" s="1"/>
      <c r="CF18" s="1"/>
      <c r="CG18" s="1"/>
      <c r="CH18" s="1"/>
      <c r="CI18" s="1"/>
      <c r="CJ18" s="1"/>
      <c r="CK18" s="1"/>
      <c r="CL18" s="1"/>
      <c r="CM18" s="15"/>
      <c r="CN18" s="10"/>
      <c r="CO18" s="1"/>
      <c r="CP18" s="1"/>
      <c r="CQ18" s="15"/>
      <c r="CR18" s="10"/>
      <c r="CS18" s="1"/>
      <c r="CT18" s="1"/>
      <c r="CU18" s="15"/>
      <c r="CV18" s="10"/>
      <c r="CW18" s="6"/>
      <c r="CX18" s="29"/>
      <c r="CY18" s="30"/>
      <c r="CZ18" s="30"/>
      <c r="DA18" s="45"/>
      <c r="DB18" s="46"/>
      <c r="DC18" s="30"/>
      <c r="DD18" s="30"/>
      <c r="DE18" s="30"/>
      <c r="DF18" s="30"/>
      <c r="DG18" s="30"/>
      <c r="DH18" s="30"/>
      <c r="DI18" s="30"/>
      <c r="DJ18" s="30"/>
      <c r="DK18" s="30"/>
      <c r="DL18" s="45"/>
      <c r="DM18" s="46"/>
      <c r="DN18" s="30"/>
      <c r="DO18" s="30"/>
      <c r="DP18" s="45"/>
      <c r="DQ18" s="46"/>
      <c r="DR18" s="30"/>
      <c r="DS18" s="30"/>
      <c r="DT18" s="45"/>
      <c r="DU18" s="46"/>
      <c r="DV18" s="31"/>
      <c r="DW18" s="60"/>
      <c r="DX18" s="61"/>
      <c r="DY18" s="61"/>
      <c r="DZ18" s="62"/>
      <c r="EA18" s="63"/>
      <c r="EB18" s="61"/>
      <c r="EC18" s="61"/>
      <c r="ED18" s="61"/>
      <c r="EE18" s="61"/>
      <c r="EF18" s="61"/>
      <c r="EG18" s="61"/>
      <c r="EH18" s="61"/>
      <c r="EI18" s="61"/>
      <c r="EJ18" s="61"/>
      <c r="EK18" s="62"/>
      <c r="EL18" s="63"/>
      <c r="EM18" s="61"/>
      <c r="EN18" s="61"/>
      <c r="EO18" s="62"/>
      <c r="EP18" s="63"/>
      <c r="EQ18" s="61"/>
      <c r="ER18" s="61"/>
      <c r="ES18" s="62"/>
      <c r="ET18" s="63"/>
      <c r="EU18" s="64"/>
      <c r="EV18" s="29"/>
      <c r="EW18" s="30"/>
      <c r="EX18" s="30"/>
      <c r="EY18" s="45"/>
      <c r="EZ18" s="46"/>
      <c r="FA18" s="30"/>
      <c r="FB18" s="30"/>
      <c r="FC18" s="30"/>
      <c r="FD18" s="30"/>
      <c r="FE18" s="30"/>
      <c r="FF18" s="30"/>
      <c r="FG18" s="30"/>
      <c r="FH18" s="30"/>
      <c r="FI18" s="30"/>
      <c r="FJ18" s="45"/>
      <c r="FK18" s="46"/>
      <c r="FL18" s="30"/>
      <c r="FM18" s="30"/>
      <c r="FN18" s="45"/>
      <c r="FO18" s="46"/>
      <c r="FP18" s="30"/>
      <c r="FQ18" s="30"/>
      <c r="FR18" s="45"/>
      <c r="FS18" s="46"/>
      <c r="FT18" s="31"/>
      <c r="FU18" s="5"/>
      <c r="FV18" s="1"/>
      <c r="FW18" s="1"/>
      <c r="FX18" s="15"/>
      <c r="FY18" s="10"/>
      <c r="FZ18" s="1"/>
      <c r="GA18" s="1"/>
      <c r="GB18" s="1"/>
      <c r="GC18" s="1"/>
      <c r="GD18" s="1"/>
      <c r="GE18" s="1"/>
      <c r="GF18" s="1"/>
      <c r="GG18" s="1"/>
      <c r="GH18" s="1"/>
      <c r="GI18" s="15"/>
      <c r="GJ18" s="10"/>
      <c r="GK18" s="1"/>
      <c r="GL18" s="1"/>
      <c r="GM18" s="15"/>
      <c r="GN18" s="10"/>
      <c r="GO18" s="1"/>
      <c r="GP18" s="1"/>
      <c r="GQ18" s="15"/>
      <c r="GR18" s="10"/>
      <c r="GS18" s="6"/>
      <c r="GT18" s="29"/>
      <c r="GU18" s="30"/>
      <c r="GV18" s="30"/>
      <c r="GW18" s="45"/>
      <c r="GX18" s="46"/>
      <c r="GY18" s="30"/>
      <c r="GZ18" s="30"/>
      <c r="HA18" s="30"/>
      <c r="HB18" s="30"/>
      <c r="HC18" s="30"/>
      <c r="HD18" s="30"/>
      <c r="HE18" s="30"/>
      <c r="HF18" s="30"/>
      <c r="HG18" s="30"/>
      <c r="HH18" s="45"/>
      <c r="HI18" s="46"/>
      <c r="HJ18" s="30"/>
      <c r="HK18" s="30"/>
      <c r="HL18" s="45"/>
      <c r="HM18" s="46"/>
      <c r="HN18" s="30"/>
      <c r="HO18" s="30"/>
      <c r="HP18" s="45"/>
      <c r="HQ18" s="46"/>
      <c r="HR18" s="31"/>
      <c r="HS18" s="5"/>
      <c r="HT18" s="1"/>
      <c r="HU18" s="1"/>
      <c r="HV18" s="15"/>
      <c r="HW18" s="10"/>
      <c r="HX18" s="1"/>
      <c r="HY18" s="1"/>
      <c r="HZ18" s="1"/>
      <c r="IA18" s="1"/>
      <c r="IB18" s="1"/>
      <c r="IC18" s="1"/>
      <c r="ID18" s="1"/>
      <c r="IE18" s="1"/>
      <c r="IF18" s="1"/>
      <c r="IG18" s="15"/>
      <c r="IH18" s="10"/>
      <c r="II18" s="1"/>
      <c r="IJ18" s="1"/>
      <c r="IK18" s="15"/>
      <c r="IL18" s="10"/>
      <c r="IM18" s="1"/>
      <c r="IN18" s="1"/>
      <c r="IO18" s="15"/>
      <c r="IP18" s="10"/>
      <c r="IQ18" s="6"/>
    </row>
    <row r="19" spans="1:251" x14ac:dyDescent="0.25">
      <c r="A19" s="2">
        <v>2518</v>
      </c>
      <c r="B19" s="29"/>
      <c r="C19" s="30"/>
      <c r="D19" s="30"/>
      <c r="E19" s="45"/>
      <c r="F19" s="46"/>
      <c r="G19" s="30"/>
      <c r="H19" s="30"/>
      <c r="I19" s="30"/>
      <c r="J19" s="30"/>
      <c r="K19" s="30"/>
      <c r="L19" s="30"/>
      <c r="M19" s="30"/>
      <c r="N19" s="30"/>
      <c r="O19" s="30"/>
      <c r="P19" s="45"/>
      <c r="Q19" s="46"/>
      <c r="R19" s="30"/>
      <c r="S19" s="30"/>
      <c r="T19" s="45"/>
      <c r="U19" s="46"/>
      <c r="V19" s="30"/>
      <c r="W19" s="30"/>
      <c r="X19" s="45"/>
      <c r="Y19" s="46"/>
      <c r="Z19" s="31"/>
      <c r="AA19" s="5"/>
      <c r="AB19" s="1"/>
      <c r="AC19" s="1"/>
      <c r="AD19" s="15"/>
      <c r="AE19" s="10"/>
      <c r="AF19" s="1"/>
      <c r="AG19" s="1"/>
      <c r="AH19" s="1"/>
      <c r="AI19" s="1"/>
      <c r="AJ19" s="1"/>
      <c r="AK19" s="1"/>
      <c r="AL19" s="1"/>
      <c r="AM19" s="1"/>
      <c r="AN19" s="1"/>
      <c r="AO19" s="15"/>
      <c r="AP19" s="10"/>
      <c r="AQ19" s="1"/>
      <c r="AR19" s="1"/>
      <c r="AS19" s="15"/>
      <c r="AT19" s="10"/>
      <c r="AU19" s="1"/>
      <c r="AV19" s="1"/>
      <c r="AW19" s="15"/>
      <c r="AX19" s="10"/>
      <c r="AY19" s="6"/>
      <c r="AZ19" s="29"/>
      <c r="BA19" s="30"/>
      <c r="BB19" s="30"/>
      <c r="BC19" s="45"/>
      <c r="BD19" s="46"/>
      <c r="BE19" s="30"/>
      <c r="BF19" s="30"/>
      <c r="BG19" s="30"/>
      <c r="BH19" s="30"/>
      <c r="BI19" s="30"/>
      <c r="BJ19" s="30"/>
      <c r="BK19" s="30"/>
      <c r="BL19" s="30"/>
      <c r="BM19" s="30"/>
      <c r="BN19" s="45"/>
      <c r="BO19" s="46"/>
      <c r="BP19" s="30"/>
      <c r="BQ19" s="30"/>
      <c r="BR19" s="45"/>
      <c r="BS19" s="46"/>
      <c r="BT19" s="30"/>
      <c r="BU19" s="30"/>
      <c r="BV19" s="45"/>
      <c r="BW19" s="46"/>
      <c r="BX19" s="31"/>
      <c r="BY19" s="5"/>
      <c r="BZ19" s="1"/>
      <c r="CA19" s="1"/>
      <c r="CB19" s="15"/>
      <c r="CC19" s="10"/>
      <c r="CD19" s="1"/>
      <c r="CE19" s="1"/>
      <c r="CF19" s="1"/>
      <c r="CG19" s="1"/>
      <c r="CH19" s="1"/>
      <c r="CI19" s="1"/>
      <c r="CJ19" s="1"/>
      <c r="CK19" s="1"/>
      <c r="CL19" s="1"/>
      <c r="CM19" s="15"/>
      <c r="CN19" s="10"/>
      <c r="CO19" s="1"/>
      <c r="CP19" s="1"/>
      <c r="CQ19" s="15"/>
      <c r="CR19" s="10"/>
      <c r="CS19" s="1"/>
      <c r="CT19" s="1"/>
      <c r="CU19" s="15"/>
      <c r="CV19" s="10"/>
      <c r="CW19" s="6"/>
      <c r="CX19" s="29"/>
      <c r="CY19" s="30"/>
      <c r="CZ19" s="30"/>
      <c r="DA19" s="45"/>
      <c r="DB19" s="46"/>
      <c r="DC19" s="30"/>
      <c r="DD19" s="30"/>
      <c r="DE19" s="30"/>
      <c r="DF19" s="30"/>
      <c r="DG19" s="30"/>
      <c r="DH19" s="30"/>
      <c r="DI19" s="30"/>
      <c r="DJ19" s="30"/>
      <c r="DK19" s="30"/>
      <c r="DL19" s="45"/>
      <c r="DM19" s="46"/>
      <c r="DN19" s="30"/>
      <c r="DO19" s="30"/>
      <c r="DP19" s="45"/>
      <c r="DQ19" s="46"/>
      <c r="DR19" s="30"/>
      <c r="DS19" s="30"/>
      <c r="DT19" s="45"/>
      <c r="DU19" s="46"/>
      <c r="DV19" s="31"/>
      <c r="DW19" s="60"/>
      <c r="DX19" s="61"/>
      <c r="DY19" s="61"/>
      <c r="DZ19" s="62"/>
      <c r="EA19" s="63"/>
      <c r="EB19" s="61"/>
      <c r="EC19" s="61"/>
      <c r="ED19" s="61"/>
      <c r="EE19" s="61"/>
      <c r="EF19" s="61"/>
      <c r="EG19" s="61"/>
      <c r="EH19" s="61"/>
      <c r="EI19" s="61"/>
      <c r="EJ19" s="61"/>
      <c r="EK19" s="62"/>
      <c r="EL19" s="63"/>
      <c r="EM19" s="61"/>
      <c r="EN19" s="61"/>
      <c r="EO19" s="62"/>
      <c r="EP19" s="63"/>
      <c r="EQ19" s="61"/>
      <c r="ER19" s="61"/>
      <c r="ES19" s="62"/>
      <c r="ET19" s="63"/>
      <c r="EU19" s="64"/>
      <c r="EV19" s="29"/>
      <c r="EW19" s="30"/>
      <c r="EX19" s="30"/>
      <c r="EY19" s="45"/>
      <c r="EZ19" s="46"/>
      <c r="FA19" s="30"/>
      <c r="FB19" s="30"/>
      <c r="FC19" s="30"/>
      <c r="FD19" s="30"/>
      <c r="FE19" s="30"/>
      <c r="FF19" s="30"/>
      <c r="FG19" s="30"/>
      <c r="FH19" s="30"/>
      <c r="FI19" s="30"/>
      <c r="FJ19" s="45"/>
      <c r="FK19" s="46"/>
      <c r="FL19" s="30"/>
      <c r="FM19" s="30"/>
      <c r="FN19" s="45"/>
      <c r="FO19" s="46"/>
      <c r="FP19" s="30"/>
      <c r="FQ19" s="30"/>
      <c r="FR19" s="45"/>
      <c r="FS19" s="46"/>
      <c r="FT19" s="31"/>
      <c r="FU19" s="5"/>
      <c r="FV19" s="1"/>
      <c r="FW19" s="1"/>
      <c r="FX19" s="15"/>
      <c r="FY19" s="10"/>
      <c r="FZ19" s="1"/>
      <c r="GA19" s="1"/>
      <c r="GB19" s="1"/>
      <c r="GC19" s="1"/>
      <c r="GD19" s="1"/>
      <c r="GE19" s="1"/>
      <c r="GF19" s="1"/>
      <c r="GG19" s="1"/>
      <c r="GH19" s="1"/>
      <c r="GI19" s="15"/>
      <c r="GJ19" s="10"/>
      <c r="GK19" s="1"/>
      <c r="GL19" s="1"/>
      <c r="GM19" s="15"/>
      <c r="GN19" s="10"/>
      <c r="GO19" s="1"/>
      <c r="GP19" s="1"/>
      <c r="GQ19" s="15"/>
      <c r="GR19" s="10"/>
      <c r="GS19" s="6"/>
      <c r="GT19" s="29"/>
      <c r="GU19" s="30"/>
      <c r="GV19" s="30"/>
      <c r="GW19" s="45"/>
      <c r="GX19" s="46"/>
      <c r="GY19" s="30"/>
      <c r="GZ19" s="30"/>
      <c r="HA19" s="30"/>
      <c r="HB19" s="30"/>
      <c r="HC19" s="30"/>
      <c r="HD19" s="30"/>
      <c r="HE19" s="30"/>
      <c r="HF19" s="30"/>
      <c r="HG19" s="30"/>
      <c r="HH19" s="45"/>
      <c r="HI19" s="46"/>
      <c r="HJ19" s="30"/>
      <c r="HK19" s="30"/>
      <c r="HL19" s="45"/>
      <c r="HM19" s="46"/>
      <c r="HN19" s="30"/>
      <c r="HO19" s="30"/>
      <c r="HP19" s="45"/>
      <c r="HQ19" s="46"/>
      <c r="HR19" s="31"/>
      <c r="HS19" s="5"/>
      <c r="HT19" s="1"/>
      <c r="HU19" s="1"/>
      <c r="HV19" s="15"/>
      <c r="HW19" s="10"/>
      <c r="HX19" s="1"/>
      <c r="HY19" s="1"/>
      <c r="HZ19" s="1"/>
      <c r="IA19" s="1"/>
      <c r="IB19" s="1"/>
      <c r="IC19" s="1"/>
      <c r="ID19" s="1"/>
      <c r="IE19" s="1"/>
      <c r="IF19" s="1"/>
      <c r="IG19" s="15"/>
      <c r="IH19" s="10"/>
      <c r="II19" s="1"/>
      <c r="IJ19" s="1"/>
      <c r="IK19" s="15"/>
      <c r="IL19" s="10"/>
      <c r="IM19" s="1"/>
      <c r="IN19" s="1"/>
      <c r="IO19" s="15"/>
      <c r="IP19" s="10"/>
      <c r="IQ19" s="6"/>
    </row>
    <row r="20" spans="1:251" x14ac:dyDescent="0.25">
      <c r="A20" s="2">
        <v>2538</v>
      </c>
      <c r="B20" s="29"/>
      <c r="C20" s="30"/>
      <c r="D20" s="30"/>
      <c r="E20" s="45"/>
      <c r="F20" s="46"/>
      <c r="G20" s="30"/>
      <c r="H20" s="30"/>
      <c r="I20" s="30"/>
      <c r="J20" s="30"/>
      <c r="K20" s="30"/>
      <c r="L20" s="30"/>
      <c r="M20" s="30"/>
      <c r="N20" s="30"/>
      <c r="O20" s="30"/>
      <c r="P20" s="45"/>
      <c r="Q20" s="46"/>
      <c r="R20" s="30"/>
      <c r="S20" s="30"/>
      <c r="T20" s="45"/>
      <c r="U20" s="46"/>
      <c r="V20" s="30"/>
      <c r="W20" s="30"/>
      <c r="X20" s="45"/>
      <c r="Y20" s="46"/>
      <c r="Z20" s="31"/>
      <c r="AA20" s="5"/>
      <c r="AB20" s="1"/>
      <c r="AC20" s="1"/>
      <c r="AD20" s="15"/>
      <c r="AE20" s="10"/>
      <c r="AF20" s="1"/>
      <c r="AG20" s="1"/>
      <c r="AH20" s="1"/>
      <c r="AI20" s="1"/>
      <c r="AJ20" s="1"/>
      <c r="AK20" s="1"/>
      <c r="AL20" s="1"/>
      <c r="AM20" s="1"/>
      <c r="AN20" s="1"/>
      <c r="AO20" s="15"/>
      <c r="AP20" s="10"/>
      <c r="AQ20" s="1"/>
      <c r="AR20" s="1"/>
      <c r="AS20" s="15"/>
      <c r="AT20" s="10"/>
      <c r="AU20" s="1"/>
      <c r="AV20" s="1"/>
      <c r="AW20" s="15"/>
      <c r="AX20" s="10"/>
      <c r="AY20" s="6"/>
      <c r="AZ20" s="29"/>
      <c r="BA20" s="30"/>
      <c r="BB20" s="30"/>
      <c r="BC20" s="45"/>
      <c r="BD20" s="46"/>
      <c r="BE20" s="30"/>
      <c r="BF20" s="30"/>
      <c r="BG20" s="30"/>
      <c r="BH20" s="30"/>
      <c r="BI20" s="30"/>
      <c r="BJ20" s="30"/>
      <c r="BK20" s="30"/>
      <c r="BL20" s="30"/>
      <c r="BM20" s="30"/>
      <c r="BN20" s="45"/>
      <c r="BO20" s="46"/>
      <c r="BP20" s="30"/>
      <c r="BQ20" s="30"/>
      <c r="BR20" s="45"/>
      <c r="BS20" s="46"/>
      <c r="BT20" s="30"/>
      <c r="BU20" s="30"/>
      <c r="BV20" s="45"/>
      <c r="BW20" s="46"/>
      <c r="BX20" s="31"/>
      <c r="BY20" s="5"/>
      <c r="BZ20" s="1"/>
      <c r="CA20" s="1"/>
      <c r="CB20" s="15"/>
      <c r="CC20" s="10"/>
      <c r="CD20" s="1"/>
      <c r="CE20" s="1"/>
      <c r="CF20" s="1"/>
      <c r="CG20" s="1"/>
      <c r="CH20" s="1"/>
      <c r="CI20" s="1"/>
      <c r="CJ20" s="1"/>
      <c r="CK20" s="1"/>
      <c r="CL20" s="1"/>
      <c r="CM20" s="15"/>
      <c r="CN20" s="10"/>
      <c r="CO20" s="1"/>
      <c r="CP20" s="1"/>
      <c r="CQ20" s="15"/>
      <c r="CR20" s="10"/>
      <c r="CS20" s="1"/>
      <c r="CT20" s="1"/>
      <c r="CU20" s="15"/>
      <c r="CV20" s="10"/>
      <c r="CW20" s="6"/>
      <c r="CX20" s="29"/>
      <c r="CY20" s="30"/>
      <c r="CZ20" s="30"/>
      <c r="DA20" s="45"/>
      <c r="DB20" s="46"/>
      <c r="DC20" s="30"/>
      <c r="DD20" s="30"/>
      <c r="DE20" s="30"/>
      <c r="DF20" s="30"/>
      <c r="DG20" s="30"/>
      <c r="DH20" s="30"/>
      <c r="DI20" s="30"/>
      <c r="DJ20" s="30"/>
      <c r="DK20" s="30"/>
      <c r="DL20" s="45"/>
      <c r="DM20" s="46"/>
      <c r="DN20" s="30"/>
      <c r="DO20" s="30"/>
      <c r="DP20" s="45"/>
      <c r="DQ20" s="46"/>
      <c r="DR20" s="30"/>
      <c r="DS20" s="30"/>
      <c r="DT20" s="45"/>
      <c r="DU20" s="46"/>
      <c r="DV20" s="31"/>
      <c r="DW20" s="60"/>
      <c r="DX20" s="61"/>
      <c r="DY20" s="61"/>
      <c r="DZ20" s="62"/>
      <c r="EA20" s="63"/>
      <c r="EB20" s="61"/>
      <c r="EC20" s="61"/>
      <c r="ED20" s="61"/>
      <c r="EE20" s="61"/>
      <c r="EF20" s="61"/>
      <c r="EG20" s="61"/>
      <c r="EH20" s="61"/>
      <c r="EI20" s="61"/>
      <c r="EJ20" s="61"/>
      <c r="EK20" s="62"/>
      <c r="EL20" s="63"/>
      <c r="EM20" s="61"/>
      <c r="EN20" s="61"/>
      <c r="EO20" s="62"/>
      <c r="EP20" s="63"/>
      <c r="EQ20" s="61"/>
      <c r="ER20" s="61"/>
      <c r="ES20" s="62"/>
      <c r="ET20" s="63"/>
      <c r="EU20" s="64"/>
      <c r="EV20" s="29"/>
      <c r="EW20" s="30"/>
      <c r="EX20" s="30"/>
      <c r="EY20" s="45"/>
      <c r="EZ20" s="46"/>
      <c r="FA20" s="30"/>
      <c r="FB20" s="30"/>
      <c r="FC20" s="30"/>
      <c r="FD20" s="30"/>
      <c r="FE20" s="30"/>
      <c r="FF20" s="30"/>
      <c r="FG20" s="30"/>
      <c r="FH20" s="30"/>
      <c r="FI20" s="30"/>
      <c r="FJ20" s="45"/>
      <c r="FK20" s="46"/>
      <c r="FL20" s="30"/>
      <c r="FM20" s="30"/>
      <c r="FN20" s="45"/>
      <c r="FO20" s="46"/>
      <c r="FP20" s="30"/>
      <c r="FQ20" s="30"/>
      <c r="FR20" s="45"/>
      <c r="FS20" s="46"/>
      <c r="FT20" s="31"/>
      <c r="FU20" s="5"/>
      <c r="FV20" s="1"/>
      <c r="FW20" s="1"/>
      <c r="FX20" s="15"/>
      <c r="FY20" s="10"/>
      <c r="FZ20" s="1"/>
      <c r="GA20" s="1"/>
      <c r="GB20" s="1"/>
      <c r="GC20" s="1"/>
      <c r="GD20" s="1"/>
      <c r="GE20" s="1"/>
      <c r="GF20" s="1"/>
      <c r="GG20" s="1"/>
      <c r="GH20" s="1"/>
      <c r="GI20" s="15"/>
      <c r="GJ20" s="10"/>
      <c r="GK20" s="1"/>
      <c r="GL20" s="1"/>
      <c r="GM20" s="15"/>
      <c r="GN20" s="10"/>
      <c r="GO20" s="1"/>
      <c r="GP20" s="1"/>
      <c r="GQ20" s="15"/>
      <c r="GR20" s="10"/>
      <c r="GS20" s="6"/>
      <c r="GT20" s="29"/>
      <c r="GU20" s="30"/>
      <c r="GV20" s="30"/>
      <c r="GW20" s="45"/>
      <c r="GX20" s="46"/>
      <c r="GY20" s="30"/>
      <c r="GZ20" s="30"/>
      <c r="HA20" s="30"/>
      <c r="HB20" s="30"/>
      <c r="HC20" s="30"/>
      <c r="HD20" s="30"/>
      <c r="HE20" s="30"/>
      <c r="HF20" s="30"/>
      <c r="HG20" s="30"/>
      <c r="HH20" s="45"/>
      <c r="HI20" s="46"/>
      <c r="HJ20" s="30"/>
      <c r="HK20" s="30"/>
      <c r="HL20" s="45"/>
      <c r="HM20" s="46"/>
      <c r="HN20" s="30"/>
      <c r="HO20" s="30"/>
      <c r="HP20" s="45"/>
      <c r="HQ20" s="46"/>
      <c r="HR20" s="31"/>
      <c r="HS20" s="5"/>
      <c r="HT20" s="1"/>
      <c r="HU20" s="1"/>
      <c r="HV20" s="15"/>
      <c r="HW20" s="10"/>
      <c r="HX20" s="1"/>
      <c r="HY20" s="1"/>
      <c r="HZ20" s="1"/>
      <c r="IA20" s="1"/>
      <c r="IB20" s="1"/>
      <c r="IC20" s="1"/>
      <c r="ID20" s="1"/>
      <c r="IE20" s="1"/>
      <c r="IF20" s="1"/>
      <c r="IG20" s="15"/>
      <c r="IH20" s="10"/>
      <c r="II20" s="1"/>
      <c r="IJ20" s="1"/>
      <c r="IK20" s="15"/>
      <c r="IL20" s="10"/>
      <c r="IM20" s="1"/>
      <c r="IN20" s="1"/>
      <c r="IO20" s="15"/>
      <c r="IP20" s="10"/>
      <c r="IQ20" s="6"/>
    </row>
    <row r="21" spans="1:251" x14ac:dyDescent="0.25">
      <c r="A21" s="2">
        <v>2574</v>
      </c>
      <c r="B21" s="29"/>
      <c r="C21" s="30"/>
      <c r="D21" s="30"/>
      <c r="E21" s="45"/>
      <c r="F21" s="46"/>
      <c r="G21" s="30"/>
      <c r="H21" s="30"/>
      <c r="I21" s="30"/>
      <c r="J21" s="30"/>
      <c r="K21" s="30"/>
      <c r="L21" s="30"/>
      <c r="M21" s="30"/>
      <c r="N21" s="30"/>
      <c r="O21" s="30"/>
      <c r="P21" s="45"/>
      <c r="Q21" s="46"/>
      <c r="R21" s="30"/>
      <c r="S21" s="30"/>
      <c r="T21" s="45"/>
      <c r="U21" s="46"/>
      <c r="V21" s="30"/>
      <c r="W21" s="30"/>
      <c r="X21" s="45"/>
      <c r="Y21" s="46"/>
      <c r="Z21" s="31"/>
      <c r="AA21" s="5"/>
      <c r="AB21" s="1"/>
      <c r="AC21" s="1"/>
      <c r="AD21" s="15"/>
      <c r="AE21" s="10"/>
      <c r="AF21" s="1"/>
      <c r="AG21" s="1"/>
      <c r="AH21" s="1"/>
      <c r="AI21" s="1"/>
      <c r="AJ21" s="1"/>
      <c r="AK21" s="1"/>
      <c r="AL21" s="1"/>
      <c r="AM21" s="1"/>
      <c r="AN21" s="1"/>
      <c r="AO21" s="15"/>
      <c r="AP21" s="10"/>
      <c r="AQ21" s="1"/>
      <c r="AR21" s="1"/>
      <c r="AS21" s="15"/>
      <c r="AT21" s="10"/>
      <c r="AU21" s="1"/>
      <c r="AV21" s="1"/>
      <c r="AW21" s="15"/>
      <c r="AX21" s="10"/>
      <c r="AY21" s="6"/>
      <c r="AZ21" s="29"/>
      <c r="BA21" s="30"/>
      <c r="BB21" s="30"/>
      <c r="BC21" s="45"/>
      <c r="BD21" s="46"/>
      <c r="BE21" s="30"/>
      <c r="BF21" s="30"/>
      <c r="BG21" s="30"/>
      <c r="BH21" s="30"/>
      <c r="BI21" s="30"/>
      <c r="BJ21" s="30"/>
      <c r="BK21" s="30"/>
      <c r="BL21" s="30"/>
      <c r="BM21" s="30"/>
      <c r="BN21" s="45"/>
      <c r="BO21" s="46"/>
      <c r="BP21" s="30"/>
      <c r="BQ21" s="30"/>
      <c r="BR21" s="45"/>
      <c r="BS21" s="46"/>
      <c r="BT21" s="30"/>
      <c r="BU21" s="30"/>
      <c r="BV21" s="45"/>
      <c r="BW21" s="46"/>
      <c r="BX21" s="31"/>
      <c r="BY21" s="5"/>
      <c r="BZ21" s="1"/>
      <c r="CA21" s="1"/>
      <c r="CB21" s="15"/>
      <c r="CC21" s="10"/>
      <c r="CD21" s="1"/>
      <c r="CE21" s="1"/>
      <c r="CF21" s="1"/>
      <c r="CG21" s="1"/>
      <c r="CH21" s="1"/>
      <c r="CI21" s="1"/>
      <c r="CJ21" s="1"/>
      <c r="CK21" s="1"/>
      <c r="CL21" s="1"/>
      <c r="CM21" s="15"/>
      <c r="CN21" s="10"/>
      <c r="CO21" s="1"/>
      <c r="CP21" s="1"/>
      <c r="CQ21" s="15"/>
      <c r="CR21" s="10"/>
      <c r="CS21" s="1"/>
      <c r="CT21" s="1"/>
      <c r="CU21" s="15"/>
      <c r="CV21" s="10"/>
      <c r="CW21" s="6"/>
      <c r="CX21" s="29"/>
      <c r="CY21" s="30"/>
      <c r="CZ21" s="30"/>
      <c r="DA21" s="45"/>
      <c r="DB21" s="46"/>
      <c r="DC21" s="30"/>
      <c r="DD21" s="30"/>
      <c r="DE21" s="30"/>
      <c r="DF21" s="30"/>
      <c r="DG21" s="30"/>
      <c r="DH21" s="30"/>
      <c r="DI21" s="30"/>
      <c r="DJ21" s="30"/>
      <c r="DK21" s="30"/>
      <c r="DL21" s="45"/>
      <c r="DM21" s="46"/>
      <c r="DN21" s="30"/>
      <c r="DO21" s="30"/>
      <c r="DP21" s="45"/>
      <c r="DQ21" s="46"/>
      <c r="DR21" s="30"/>
      <c r="DS21" s="30"/>
      <c r="DT21" s="45"/>
      <c r="DU21" s="46"/>
      <c r="DV21" s="31"/>
      <c r="DW21" s="60"/>
      <c r="DX21" s="61"/>
      <c r="DY21" s="61"/>
      <c r="DZ21" s="62"/>
      <c r="EA21" s="63"/>
      <c r="EB21" s="61"/>
      <c r="EC21" s="61"/>
      <c r="ED21" s="61"/>
      <c r="EE21" s="61"/>
      <c r="EF21" s="61"/>
      <c r="EG21" s="61"/>
      <c r="EH21" s="61"/>
      <c r="EI21" s="61"/>
      <c r="EJ21" s="61"/>
      <c r="EK21" s="62"/>
      <c r="EL21" s="63"/>
      <c r="EM21" s="61"/>
      <c r="EN21" s="61"/>
      <c r="EO21" s="62"/>
      <c r="EP21" s="63"/>
      <c r="EQ21" s="61"/>
      <c r="ER21" s="61"/>
      <c r="ES21" s="62"/>
      <c r="ET21" s="63"/>
      <c r="EU21" s="64"/>
      <c r="EV21" s="29"/>
      <c r="EW21" s="30"/>
      <c r="EX21" s="30"/>
      <c r="EY21" s="45"/>
      <c r="EZ21" s="46"/>
      <c r="FA21" s="30"/>
      <c r="FB21" s="30"/>
      <c r="FC21" s="30"/>
      <c r="FD21" s="30"/>
      <c r="FE21" s="30"/>
      <c r="FF21" s="30"/>
      <c r="FG21" s="30"/>
      <c r="FH21" s="30"/>
      <c r="FI21" s="30"/>
      <c r="FJ21" s="45"/>
      <c r="FK21" s="46"/>
      <c r="FL21" s="30"/>
      <c r="FM21" s="30"/>
      <c r="FN21" s="45"/>
      <c r="FO21" s="46"/>
      <c r="FP21" s="30"/>
      <c r="FQ21" s="30"/>
      <c r="FR21" s="45"/>
      <c r="FS21" s="46"/>
      <c r="FT21" s="31"/>
      <c r="FU21" s="5"/>
      <c r="FV21" s="1"/>
      <c r="FW21" s="1"/>
      <c r="FX21" s="15"/>
      <c r="FY21" s="10"/>
      <c r="FZ21" s="1"/>
      <c r="GA21" s="1"/>
      <c r="GB21" s="1"/>
      <c r="GC21" s="1"/>
      <c r="GD21" s="1"/>
      <c r="GE21" s="1"/>
      <c r="GF21" s="1"/>
      <c r="GG21" s="1"/>
      <c r="GH21" s="1"/>
      <c r="GI21" s="15"/>
      <c r="GJ21" s="10"/>
      <c r="GK21" s="1"/>
      <c r="GL21" s="1"/>
      <c r="GM21" s="15"/>
      <c r="GN21" s="10"/>
      <c r="GO21" s="1"/>
      <c r="GP21" s="1"/>
      <c r="GQ21" s="15"/>
      <c r="GR21" s="10"/>
      <c r="GS21" s="6"/>
      <c r="GT21" s="29"/>
      <c r="GU21" s="30"/>
      <c r="GV21" s="30"/>
      <c r="GW21" s="45"/>
      <c r="GX21" s="46"/>
      <c r="GY21" s="30"/>
      <c r="GZ21" s="30"/>
      <c r="HA21" s="30"/>
      <c r="HB21" s="30"/>
      <c r="HC21" s="30"/>
      <c r="HD21" s="30"/>
      <c r="HE21" s="30"/>
      <c r="HF21" s="30"/>
      <c r="HG21" s="30"/>
      <c r="HH21" s="45"/>
      <c r="HI21" s="46"/>
      <c r="HJ21" s="30"/>
      <c r="HK21" s="30"/>
      <c r="HL21" s="45"/>
      <c r="HM21" s="46"/>
      <c r="HN21" s="30"/>
      <c r="HO21" s="30"/>
      <c r="HP21" s="45"/>
      <c r="HQ21" s="46"/>
      <c r="HR21" s="31"/>
      <c r="HS21" s="5"/>
      <c r="HT21" s="1"/>
      <c r="HU21" s="1"/>
      <c r="HV21" s="15"/>
      <c r="HW21" s="10"/>
      <c r="HX21" s="1"/>
      <c r="HY21" s="1"/>
      <c r="HZ21" s="1"/>
      <c r="IA21" s="1"/>
      <c r="IB21" s="1"/>
      <c r="IC21" s="1"/>
      <c r="ID21" s="1"/>
      <c r="IE21" s="1"/>
      <c r="IF21" s="1"/>
      <c r="IG21" s="15"/>
      <c r="IH21" s="10"/>
      <c r="II21" s="1"/>
      <c r="IJ21" s="1"/>
      <c r="IK21" s="15"/>
      <c r="IL21" s="10"/>
      <c r="IM21" s="1"/>
      <c r="IN21" s="1"/>
      <c r="IO21" s="15"/>
      <c r="IP21" s="10"/>
      <c r="IQ21" s="6"/>
    </row>
    <row r="22" spans="1:251" x14ac:dyDescent="0.25">
      <c r="A22" s="2">
        <v>2826</v>
      </c>
      <c r="B22" s="29"/>
      <c r="C22" s="30"/>
      <c r="D22" s="30"/>
      <c r="E22" s="45"/>
      <c r="F22" s="46"/>
      <c r="G22" s="30"/>
      <c r="H22" s="30"/>
      <c r="I22" s="30"/>
      <c r="J22" s="30"/>
      <c r="K22" s="30"/>
      <c r="L22" s="30"/>
      <c r="M22" s="30"/>
      <c r="N22" s="30"/>
      <c r="O22" s="30"/>
      <c r="P22" s="45"/>
      <c r="Q22" s="46"/>
      <c r="R22" s="30"/>
      <c r="S22" s="30"/>
      <c r="T22" s="45"/>
      <c r="U22" s="46"/>
      <c r="V22" s="30"/>
      <c r="W22" s="30"/>
      <c r="X22" s="45"/>
      <c r="Y22" s="46"/>
      <c r="Z22" s="31"/>
      <c r="AA22" s="5"/>
      <c r="AB22" s="1"/>
      <c r="AC22" s="1"/>
      <c r="AD22" s="15"/>
      <c r="AE22" s="10"/>
      <c r="AF22" s="1"/>
      <c r="AG22" s="1"/>
      <c r="AH22" s="1"/>
      <c r="AI22" s="1"/>
      <c r="AJ22" s="1"/>
      <c r="AK22" s="1"/>
      <c r="AL22" s="1"/>
      <c r="AM22" s="1"/>
      <c r="AN22" s="1"/>
      <c r="AO22" s="15"/>
      <c r="AP22" s="10"/>
      <c r="AQ22" s="1"/>
      <c r="AR22" s="1"/>
      <c r="AS22" s="15"/>
      <c r="AT22" s="10"/>
      <c r="AU22" s="1"/>
      <c r="AV22" s="1"/>
      <c r="AW22" s="15"/>
      <c r="AX22" s="10"/>
      <c r="AY22" s="6"/>
      <c r="AZ22" s="29"/>
      <c r="BA22" s="30"/>
      <c r="BB22" s="30"/>
      <c r="BC22" s="45"/>
      <c r="BD22" s="46"/>
      <c r="BE22" s="30"/>
      <c r="BF22" s="30"/>
      <c r="BG22" s="30"/>
      <c r="BH22" s="30"/>
      <c r="BI22" s="30"/>
      <c r="BJ22" s="30"/>
      <c r="BK22" s="30"/>
      <c r="BL22" s="30"/>
      <c r="BM22" s="30"/>
      <c r="BN22" s="45"/>
      <c r="BO22" s="46"/>
      <c r="BP22" s="30"/>
      <c r="BQ22" s="30"/>
      <c r="BR22" s="45"/>
      <c r="BS22" s="46"/>
      <c r="BT22" s="30"/>
      <c r="BU22" s="30"/>
      <c r="BV22" s="45"/>
      <c r="BW22" s="46"/>
      <c r="BX22" s="31"/>
      <c r="BY22" s="5"/>
      <c r="BZ22" s="1"/>
      <c r="CA22" s="1"/>
      <c r="CB22" s="15"/>
      <c r="CC22" s="10"/>
      <c r="CD22" s="1"/>
      <c r="CE22" s="1"/>
      <c r="CF22" s="1"/>
      <c r="CG22" s="1"/>
      <c r="CH22" s="1"/>
      <c r="CI22" s="1"/>
      <c r="CJ22" s="1"/>
      <c r="CK22" s="1"/>
      <c r="CL22" s="1"/>
      <c r="CM22" s="15"/>
      <c r="CN22" s="10"/>
      <c r="CO22" s="1"/>
      <c r="CP22" s="1"/>
      <c r="CQ22" s="15"/>
      <c r="CR22" s="10"/>
      <c r="CS22" s="1"/>
      <c r="CT22" s="1"/>
      <c r="CU22" s="15"/>
      <c r="CV22" s="10"/>
      <c r="CW22" s="6"/>
      <c r="CX22" s="29"/>
      <c r="CY22" s="30"/>
      <c r="CZ22" s="30"/>
      <c r="DA22" s="45"/>
      <c r="DB22" s="46"/>
      <c r="DC22" s="30"/>
      <c r="DD22" s="30"/>
      <c r="DE22" s="30"/>
      <c r="DF22" s="30"/>
      <c r="DG22" s="30"/>
      <c r="DH22" s="30"/>
      <c r="DI22" s="30"/>
      <c r="DJ22" s="30"/>
      <c r="DK22" s="30"/>
      <c r="DL22" s="45"/>
      <c r="DM22" s="46"/>
      <c r="DN22" s="30"/>
      <c r="DO22" s="30"/>
      <c r="DP22" s="45"/>
      <c r="DQ22" s="46"/>
      <c r="DR22" s="30"/>
      <c r="DS22" s="30"/>
      <c r="DT22" s="45"/>
      <c r="DU22" s="46"/>
      <c r="DV22" s="31"/>
      <c r="DW22" s="60"/>
      <c r="DX22" s="61"/>
      <c r="DY22" s="61"/>
      <c r="DZ22" s="62"/>
      <c r="EA22" s="63"/>
      <c r="EB22" s="61"/>
      <c r="EC22" s="61"/>
      <c r="ED22" s="61"/>
      <c r="EE22" s="61"/>
      <c r="EF22" s="61"/>
      <c r="EG22" s="61"/>
      <c r="EH22" s="61"/>
      <c r="EI22" s="61"/>
      <c r="EJ22" s="61"/>
      <c r="EK22" s="62"/>
      <c r="EL22" s="63"/>
      <c r="EM22" s="61"/>
      <c r="EN22" s="61"/>
      <c r="EO22" s="62"/>
      <c r="EP22" s="63"/>
      <c r="EQ22" s="61"/>
      <c r="ER22" s="61"/>
      <c r="ES22" s="62"/>
      <c r="ET22" s="63"/>
      <c r="EU22" s="64"/>
      <c r="EV22" s="29"/>
      <c r="EW22" s="30"/>
      <c r="EX22" s="30"/>
      <c r="EY22" s="45"/>
      <c r="EZ22" s="46"/>
      <c r="FA22" s="30"/>
      <c r="FB22" s="30"/>
      <c r="FC22" s="30"/>
      <c r="FD22" s="30"/>
      <c r="FE22" s="30"/>
      <c r="FF22" s="30"/>
      <c r="FG22" s="30"/>
      <c r="FH22" s="30"/>
      <c r="FI22" s="30"/>
      <c r="FJ22" s="45"/>
      <c r="FK22" s="46"/>
      <c r="FL22" s="30"/>
      <c r="FM22" s="30"/>
      <c r="FN22" s="45"/>
      <c r="FO22" s="46"/>
      <c r="FP22" s="30"/>
      <c r="FQ22" s="30"/>
      <c r="FR22" s="45"/>
      <c r="FS22" s="46"/>
      <c r="FT22" s="31"/>
      <c r="FU22" s="5"/>
      <c r="FV22" s="1"/>
      <c r="FW22" s="1"/>
      <c r="FX22" s="15"/>
      <c r="FY22" s="10"/>
      <c r="FZ22" s="1"/>
      <c r="GA22" s="1"/>
      <c r="GB22" s="1"/>
      <c r="GC22" s="1"/>
      <c r="GD22" s="1"/>
      <c r="GE22" s="1"/>
      <c r="GF22" s="1"/>
      <c r="GG22" s="1"/>
      <c r="GH22" s="1"/>
      <c r="GI22" s="15"/>
      <c r="GJ22" s="10"/>
      <c r="GK22" s="1"/>
      <c r="GL22" s="1"/>
      <c r="GM22" s="15"/>
      <c r="GN22" s="10"/>
      <c r="GO22" s="1"/>
      <c r="GP22" s="1"/>
      <c r="GQ22" s="15"/>
      <c r="GR22" s="10"/>
      <c r="GS22" s="6"/>
      <c r="GT22" s="29"/>
      <c r="GU22" s="30"/>
      <c r="GV22" s="30"/>
      <c r="GW22" s="45"/>
      <c r="GX22" s="46"/>
      <c r="GY22" s="30"/>
      <c r="GZ22" s="30"/>
      <c r="HA22" s="30"/>
      <c r="HB22" s="30"/>
      <c r="HC22" s="30"/>
      <c r="HD22" s="30"/>
      <c r="HE22" s="30"/>
      <c r="HF22" s="30"/>
      <c r="HG22" s="30"/>
      <c r="HH22" s="45"/>
      <c r="HI22" s="46"/>
      <c r="HJ22" s="30"/>
      <c r="HK22" s="30"/>
      <c r="HL22" s="45"/>
      <c r="HM22" s="46"/>
      <c r="HN22" s="30"/>
      <c r="HO22" s="30"/>
      <c r="HP22" s="45"/>
      <c r="HQ22" s="46"/>
      <c r="HR22" s="31"/>
      <c r="HS22" s="5"/>
      <c r="HT22" s="1"/>
      <c r="HU22" s="1"/>
      <c r="HV22" s="15"/>
      <c r="HW22" s="10"/>
      <c r="HX22" s="1"/>
      <c r="HY22" s="1"/>
      <c r="HZ22" s="1"/>
      <c r="IA22" s="1"/>
      <c r="IB22" s="1"/>
      <c r="IC22" s="1"/>
      <c r="ID22" s="1"/>
      <c r="IE22" s="1"/>
      <c r="IF22" s="1"/>
      <c r="IG22" s="15"/>
      <c r="IH22" s="10"/>
      <c r="II22" s="1"/>
      <c r="IJ22" s="1"/>
      <c r="IK22" s="15"/>
      <c r="IL22" s="10"/>
      <c r="IM22" s="1"/>
      <c r="IN22" s="1"/>
      <c r="IO22" s="15"/>
      <c r="IP22" s="10"/>
      <c r="IQ22" s="6"/>
    </row>
    <row r="23" spans="1:251" x14ac:dyDescent="0.25">
      <c r="A23" s="2">
        <v>2846</v>
      </c>
      <c r="B23" s="29"/>
      <c r="C23" s="30"/>
      <c r="D23" s="30"/>
      <c r="E23" s="45"/>
      <c r="F23" s="46"/>
      <c r="G23" s="30"/>
      <c r="H23" s="30"/>
      <c r="I23" s="30"/>
      <c r="J23" s="30"/>
      <c r="K23" s="30"/>
      <c r="L23" s="30"/>
      <c r="M23" s="30"/>
      <c r="N23" s="30"/>
      <c r="O23" s="30"/>
      <c r="P23" s="45"/>
      <c r="Q23" s="46"/>
      <c r="R23" s="30"/>
      <c r="S23" s="30"/>
      <c r="T23" s="45"/>
      <c r="U23" s="46"/>
      <c r="V23" s="30"/>
      <c r="W23" s="30"/>
      <c r="X23" s="45"/>
      <c r="Y23" s="46"/>
      <c r="Z23" s="31"/>
      <c r="AA23" s="5"/>
      <c r="AB23" s="1"/>
      <c r="AC23" s="1"/>
      <c r="AD23" s="15"/>
      <c r="AE23" s="10"/>
      <c r="AF23" s="1"/>
      <c r="AG23" s="1"/>
      <c r="AH23" s="1"/>
      <c r="AI23" s="1"/>
      <c r="AJ23" s="1"/>
      <c r="AK23" s="1"/>
      <c r="AL23" s="1"/>
      <c r="AM23" s="1"/>
      <c r="AN23" s="1"/>
      <c r="AO23" s="15"/>
      <c r="AP23" s="10"/>
      <c r="AQ23" s="1"/>
      <c r="AR23" s="1"/>
      <c r="AS23" s="15"/>
      <c r="AT23" s="10"/>
      <c r="AU23" s="1"/>
      <c r="AV23" s="1"/>
      <c r="AW23" s="15"/>
      <c r="AX23" s="10"/>
      <c r="AY23" s="6"/>
      <c r="AZ23" s="29"/>
      <c r="BA23" s="30"/>
      <c r="BB23" s="30"/>
      <c r="BC23" s="45"/>
      <c r="BD23" s="46"/>
      <c r="BE23" s="30"/>
      <c r="BF23" s="30"/>
      <c r="BG23" s="30"/>
      <c r="BH23" s="30"/>
      <c r="BI23" s="30"/>
      <c r="BJ23" s="30"/>
      <c r="BK23" s="30"/>
      <c r="BL23" s="30"/>
      <c r="BM23" s="30"/>
      <c r="BN23" s="45"/>
      <c r="BO23" s="46"/>
      <c r="BP23" s="30"/>
      <c r="BQ23" s="30"/>
      <c r="BR23" s="45"/>
      <c r="BS23" s="46"/>
      <c r="BT23" s="30"/>
      <c r="BU23" s="30"/>
      <c r="BV23" s="45"/>
      <c r="BW23" s="46"/>
      <c r="BX23" s="31"/>
      <c r="BY23" s="5"/>
      <c r="BZ23" s="1"/>
      <c r="CA23" s="1"/>
      <c r="CB23" s="15"/>
      <c r="CC23" s="10"/>
      <c r="CD23" s="1"/>
      <c r="CE23" s="1"/>
      <c r="CF23" s="1"/>
      <c r="CG23" s="1"/>
      <c r="CH23" s="1"/>
      <c r="CI23" s="1"/>
      <c r="CJ23" s="1"/>
      <c r="CK23" s="1"/>
      <c r="CL23" s="1"/>
      <c r="CM23" s="15"/>
      <c r="CN23" s="10"/>
      <c r="CO23" s="1"/>
      <c r="CP23" s="1"/>
      <c r="CQ23" s="15"/>
      <c r="CR23" s="10"/>
      <c r="CS23" s="1"/>
      <c r="CT23" s="1"/>
      <c r="CU23" s="15"/>
      <c r="CV23" s="10"/>
      <c r="CW23" s="6"/>
      <c r="CX23" s="29"/>
      <c r="CY23" s="30"/>
      <c r="CZ23" s="30"/>
      <c r="DA23" s="45"/>
      <c r="DB23" s="46"/>
      <c r="DC23" s="30"/>
      <c r="DD23" s="30"/>
      <c r="DE23" s="30"/>
      <c r="DF23" s="30"/>
      <c r="DG23" s="30"/>
      <c r="DH23" s="30"/>
      <c r="DI23" s="30"/>
      <c r="DJ23" s="30"/>
      <c r="DK23" s="30"/>
      <c r="DL23" s="45"/>
      <c r="DM23" s="46"/>
      <c r="DN23" s="30"/>
      <c r="DO23" s="30"/>
      <c r="DP23" s="45"/>
      <c r="DQ23" s="46"/>
      <c r="DR23" s="30"/>
      <c r="DS23" s="30"/>
      <c r="DT23" s="45"/>
      <c r="DU23" s="46"/>
      <c r="DV23" s="31"/>
      <c r="DW23" s="60"/>
      <c r="DX23" s="61"/>
      <c r="DY23" s="61"/>
      <c r="DZ23" s="62"/>
      <c r="EA23" s="63"/>
      <c r="EB23" s="61"/>
      <c r="EC23" s="61"/>
      <c r="ED23" s="61"/>
      <c r="EE23" s="61"/>
      <c r="EF23" s="61"/>
      <c r="EG23" s="61"/>
      <c r="EH23" s="61"/>
      <c r="EI23" s="61"/>
      <c r="EJ23" s="61"/>
      <c r="EK23" s="62"/>
      <c r="EL23" s="63"/>
      <c r="EM23" s="61"/>
      <c r="EN23" s="61"/>
      <c r="EO23" s="62"/>
      <c r="EP23" s="63"/>
      <c r="EQ23" s="61"/>
      <c r="ER23" s="61"/>
      <c r="ES23" s="62"/>
      <c r="ET23" s="63"/>
      <c r="EU23" s="64"/>
      <c r="EV23" s="29"/>
      <c r="EW23" s="30"/>
      <c r="EX23" s="30"/>
      <c r="EY23" s="45"/>
      <c r="EZ23" s="46"/>
      <c r="FA23" s="30"/>
      <c r="FB23" s="30"/>
      <c r="FC23" s="30"/>
      <c r="FD23" s="30"/>
      <c r="FE23" s="30"/>
      <c r="FF23" s="30"/>
      <c r="FG23" s="30"/>
      <c r="FH23" s="30"/>
      <c r="FI23" s="30"/>
      <c r="FJ23" s="45"/>
      <c r="FK23" s="46"/>
      <c r="FL23" s="30"/>
      <c r="FM23" s="30"/>
      <c r="FN23" s="45"/>
      <c r="FO23" s="46"/>
      <c r="FP23" s="30"/>
      <c r="FQ23" s="30"/>
      <c r="FR23" s="45"/>
      <c r="FS23" s="46"/>
      <c r="FT23" s="31"/>
      <c r="FU23" s="5"/>
      <c r="FV23" s="1"/>
      <c r="FW23" s="1"/>
      <c r="FX23" s="15"/>
      <c r="FY23" s="10"/>
      <c r="FZ23" s="1"/>
      <c r="GA23" s="1"/>
      <c r="GB23" s="1"/>
      <c r="GC23" s="1"/>
      <c r="GD23" s="1"/>
      <c r="GE23" s="1"/>
      <c r="GF23" s="1"/>
      <c r="GG23" s="1"/>
      <c r="GH23" s="1"/>
      <c r="GI23" s="15"/>
      <c r="GJ23" s="10"/>
      <c r="GK23" s="1"/>
      <c r="GL23" s="1"/>
      <c r="GM23" s="15"/>
      <c r="GN23" s="10"/>
      <c r="GO23" s="1"/>
      <c r="GP23" s="1"/>
      <c r="GQ23" s="15"/>
      <c r="GR23" s="10"/>
      <c r="GS23" s="6"/>
      <c r="GT23" s="29"/>
      <c r="GU23" s="30"/>
      <c r="GV23" s="30"/>
      <c r="GW23" s="45"/>
      <c r="GX23" s="46"/>
      <c r="GY23" s="30"/>
      <c r="GZ23" s="30"/>
      <c r="HA23" s="30"/>
      <c r="HB23" s="30"/>
      <c r="HC23" s="30"/>
      <c r="HD23" s="30"/>
      <c r="HE23" s="30"/>
      <c r="HF23" s="30"/>
      <c r="HG23" s="30"/>
      <c r="HH23" s="45"/>
      <c r="HI23" s="46"/>
      <c r="HJ23" s="30"/>
      <c r="HK23" s="30"/>
      <c r="HL23" s="45"/>
      <c r="HM23" s="46"/>
      <c r="HN23" s="30"/>
      <c r="HO23" s="30"/>
      <c r="HP23" s="45"/>
      <c r="HQ23" s="46"/>
      <c r="HR23" s="31"/>
      <c r="HS23" s="5"/>
      <c r="HT23" s="1"/>
      <c r="HU23" s="1"/>
      <c r="HV23" s="15"/>
      <c r="HW23" s="10"/>
      <c r="HX23" s="1"/>
      <c r="HY23" s="1"/>
      <c r="HZ23" s="1"/>
      <c r="IA23" s="1"/>
      <c r="IB23" s="1"/>
      <c r="IC23" s="1"/>
      <c r="ID23" s="1"/>
      <c r="IE23" s="1"/>
      <c r="IF23" s="1"/>
      <c r="IG23" s="15"/>
      <c r="IH23" s="10"/>
      <c r="II23" s="1"/>
      <c r="IJ23" s="1"/>
      <c r="IK23" s="15"/>
      <c r="IL23" s="10"/>
      <c r="IM23" s="1"/>
      <c r="IN23" s="1"/>
      <c r="IO23" s="15"/>
      <c r="IP23" s="10"/>
      <c r="IQ23" s="6"/>
    </row>
    <row r="24" spans="1:251" x14ac:dyDescent="0.25">
      <c r="A24" s="2">
        <v>2883</v>
      </c>
      <c r="B24" s="29"/>
      <c r="C24" s="30"/>
      <c r="D24" s="30"/>
      <c r="E24" s="45"/>
      <c r="F24" s="46"/>
      <c r="G24" s="30"/>
      <c r="H24" s="30"/>
      <c r="I24" s="30"/>
      <c r="J24" s="30"/>
      <c r="K24" s="30"/>
      <c r="L24" s="30"/>
      <c r="M24" s="30"/>
      <c r="N24" s="30"/>
      <c r="O24" s="30"/>
      <c r="P24" s="45"/>
      <c r="Q24" s="46"/>
      <c r="R24" s="30"/>
      <c r="S24" s="30"/>
      <c r="T24" s="45"/>
      <c r="U24" s="46"/>
      <c r="V24" s="30"/>
      <c r="W24" s="30"/>
      <c r="X24" s="45"/>
      <c r="Y24" s="46"/>
      <c r="Z24" s="31"/>
      <c r="AA24" s="5"/>
      <c r="AB24" s="1"/>
      <c r="AC24" s="1"/>
      <c r="AD24" s="15"/>
      <c r="AE24" s="10"/>
      <c r="AF24" s="1"/>
      <c r="AG24" s="1"/>
      <c r="AH24" s="1"/>
      <c r="AI24" s="1"/>
      <c r="AJ24" s="1"/>
      <c r="AK24" s="1"/>
      <c r="AL24" s="1"/>
      <c r="AM24" s="1"/>
      <c r="AN24" s="1"/>
      <c r="AO24" s="15"/>
      <c r="AP24" s="10"/>
      <c r="AQ24" s="1"/>
      <c r="AR24" s="1"/>
      <c r="AS24" s="15"/>
      <c r="AT24" s="10"/>
      <c r="AU24" s="1"/>
      <c r="AV24" s="1"/>
      <c r="AW24" s="15"/>
      <c r="AX24" s="10"/>
      <c r="AY24" s="6"/>
      <c r="AZ24" s="29"/>
      <c r="BA24" s="30"/>
      <c r="BB24" s="30"/>
      <c r="BC24" s="45"/>
      <c r="BD24" s="46"/>
      <c r="BE24" s="30"/>
      <c r="BF24" s="30"/>
      <c r="BG24" s="30"/>
      <c r="BH24" s="30"/>
      <c r="BI24" s="30"/>
      <c r="BJ24" s="30"/>
      <c r="BK24" s="30"/>
      <c r="BL24" s="30"/>
      <c r="BM24" s="30"/>
      <c r="BN24" s="45"/>
      <c r="BO24" s="46"/>
      <c r="BP24" s="30"/>
      <c r="BQ24" s="30"/>
      <c r="BR24" s="45"/>
      <c r="BS24" s="46"/>
      <c r="BT24" s="30"/>
      <c r="BU24" s="30"/>
      <c r="BV24" s="45"/>
      <c r="BW24" s="46"/>
      <c r="BX24" s="31"/>
      <c r="BY24" s="5"/>
      <c r="BZ24" s="1"/>
      <c r="CA24" s="1"/>
      <c r="CB24" s="15"/>
      <c r="CC24" s="10"/>
      <c r="CD24" s="1"/>
      <c r="CE24" s="1"/>
      <c r="CF24" s="1"/>
      <c r="CG24" s="1"/>
      <c r="CH24" s="1"/>
      <c r="CI24" s="1"/>
      <c r="CJ24" s="1"/>
      <c r="CK24" s="1"/>
      <c r="CL24" s="1"/>
      <c r="CM24" s="15"/>
      <c r="CN24" s="10"/>
      <c r="CO24" s="1"/>
      <c r="CP24" s="1"/>
      <c r="CQ24" s="15"/>
      <c r="CR24" s="10"/>
      <c r="CS24" s="1"/>
      <c r="CT24" s="1"/>
      <c r="CU24" s="15"/>
      <c r="CV24" s="10"/>
      <c r="CW24" s="6"/>
      <c r="CX24" s="29"/>
      <c r="CY24" s="30"/>
      <c r="CZ24" s="30"/>
      <c r="DA24" s="45"/>
      <c r="DB24" s="46"/>
      <c r="DC24" s="30"/>
      <c r="DD24" s="30"/>
      <c r="DE24" s="30"/>
      <c r="DF24" s="30"/>
      <c r="DG24" s="30"/>
      <c r="DH24" s="30"/>
      <c r="DI24" s="30"/>
      <c r="DJ24" s="30"/>
      <c r="DK24" s="30"/>
      <c r="DL24" s="45"/>
      <c r="DM24" s="46"/>
      <c r="DN24" s="30"/>
      <c r="DO24" s="30"/>
      <c r="DP24" s="45"/>
      <c r="DQ24" s="46"/>
      <c r="DR24" s="30"/>
      <c r="DS24" s="30"/>
      <c r="DT24" s="45"/>
      <c r="DU24" s="46"/>
      <c r="DV24" s="31"/>
      <c r="DW24" s="60"/>
      <c r="DX24" s="61"/>
      <c r="DY24" s="61"/>
      <c r="DZ24" s="62"/>
      <c r="EA24" s="63"/>
      <c r="EB24" s="61"/>
      <c r="EC24" s="61"/>
      <c r="ED24" s="61"/>
      <c r="EE24" s="61"/>
      <c r="EF24" s="61"/>
      <c r="EG24" s="61"/>
      <c r="EH24" s="61"/>
      <c r="EI24" s="61"/>
      <c r="EJ24" s="61"/>
      <c r="EK24" s="62"/>
      <c r="EL24" s="63"/>
      <c r="EM24" s="61"/>
      <c r="EN24" s="61"/>
      <c r="EO24" s="62"/>
      <c r="EP24" s="63"/>
      <c r="EQ24" s="61"/>
      <c r="ER24" s="61"/>
      <c r="ES24" s="62"/>
      <c r="ET24" s="63"/>
      <c r="EU24" s="64"/>
      <c r="EV24" s="29"/>
      <c r="EW24" s="30"/>
      <c r="EX24" s="30"/>
      <c r="EY24" s="45"/>
      <c r="EZ24" s="46"/>
      <c r="FA24" s="30"/>
      <c r="FB24" s="30"/>
      <c r="FC24" s="30"/>
      <c r="FD24" s="30"/>
      <c r="FE24" s="30"/>
      <c r="FF24" s="30"/>
      <c r="FG24" s="30"/>
      <c r="FH24" s="30"/>
      <c r="FI24" s="30"/>
      <c r="FJ24" s="45"/>
      <c r="FK24" s="46"/>
      <c r="FL24" s="30"/>
      <c r="FM24" s="30"/>
      <c r="FN24" s="45"/>
      <c r="FO24" s="46"/>
      <c r="FP24" s="30"/>
      <c r="FQ24" s="30"/>
      <c r="FR24" s="45"/>
      <c r="FS24" s="46"/>
      <c r="FT24" s="31"/>
      <c r="FU24" s="5"/>
      <c r="FV24" s="1"/>
      <c r="FW24" s="1"/>
      <c r="FX24" s="15"/>
      <c r="FY24" s="10"/>
      <c r="FZ24" s="1"/>
      <c r="GA24" s="1"/>
      <c r="GB24" s="1"/>
      <c r="GC24" s="1"/>
      <c r="GD24" s="1"/>
      <c r="GE24" s="1"/>
      <c r="GF24" s="1"/>
      <c r="GG24" s="1"/>
      <c r="GH24" s="1"/>
      <c r="GI24" s="15"/>
      <c r="GJ24" s="10"/>
      <c r="GK24" s="1"/>
      <c r="GL24" s="1"/>
      <c r="GM24" s="15"/>
      <c r="GN24" s="10"/>
      <c r="GO24" s="1"/>
      <c r="GP24" s="1"/>
      <c r="GQ24" s="15"/>
      <c r="GR24" s="10"/>
      <c r="GS24" s="6"/>
      <c r="GT24" s="29"/>
      <c r="GU24" s="30"/>
      <c r="GV24" s="30"/>
      <c r="GW24" s="45"/>
      <c r="GX24" s="46"/>
      <c r="GY24" s="30"/>
      <c r="GZ24" s="30"/>
      <c r="HA24" s="30"/>
      <c r="HB24" s="30"/>
      <c r="HC24" s="30"/>
      <c r="HD24" s="30"/>
      <c r="HE24" s="30"/>
      <c r="HF24" s="30"/>
      <c r="HG24" s="30"/>
      <c r="HH24" s="45"/>
      <c r="HI24" s="46"/>
      <c r="HJ24" s="30"/>
      <c r="HK24" s="30"/>
      <c r="HL24" s="45"/>
      <c r="HM24" s="46"/>
      <c r="HN24" s="30"/>
      <c r="HO24" s="30"/>
      <c r="HP24" s="45"/>
      <c r="HQ24" s="46"/>
      <c r="HR24" s="31"/>
      <c r="HS24" s="5"/>
      <c r="HT24" s="1"/>
      <c r="HU24" s="1"/>
      <c r="HV24" s="15"/>
      <c r="HW24" s="10"/>
      <c r="HX24" s="1"/>
      <c r="HY24" s="1"/>
      <c r="HZ24" s="1"/>
      <c r="IA24" s="1"/>
      <c r="IB24" s="1"/>
      <c r="IC24" s="1"/>
      <c r="ID24" s="1"/>
      <c r="IE24" s="1"/>
      <c r="IF24" s="1"/>
      <c r="IG24" s="15"/>
      <c r="IH24" s="10"/>
      <c r="II24" s="1"/>
      <c r="IJ24" s="1"/>
      <c r="IK24" s="15"/>
      <c r="IL24" s="10"/>
      <c r="IM24" s="1"/>
      <c r="IN24" s="1"/>
      <c r="IO24" s="15"/>
      <c r="IP24" s="10"/>
      <c r="IQ24" s="6"/>
    </row>
    <row r="25" spans="1:251" x14ac:dyDescent="0.25">
      <c r="A25" s="2">
        <v>2957</v>
      </c>
      <c r="B25" s="29"/>
      <c r="C25" s="30"/>
      <c r="D25" s="30"/>
      <c r="E25" s="45"/>
      <c r="F25" s="46"/>
      <c r="G25" s="30"/>
      <c r="H25" s="30"/>
      <c r="I25" s="30"/>
      <c r="J25" s="30"/>
      <c r="K25" s="30"/>
      <c r="L25" s="30"/>
      <c r="M25" s="30"/>
      <c r="N25" s="30"/>
      <c r="O25" s="30"/>
      <c r="P25" s="45"/>
      <c r="Q25" s="46"/>
      <c r="R25" s="30"/>
      <c r="S25" s="30"/>
      <c r="T25" s="45"/>
      <c r="U25" s="46"/>
      <c r="V25" s="30"/>
      <c r="W25" s="30"/>
      <c r="Y25" s="45"/>
      <c r="Z25" s="31"/>
      <c r="AA25" s="5"/>
      <c r="AB25" s="1"/>
      <c r="AC25" s="1"/>
      <c r="AD25" s="15"/>
      <c r="AE25" s="10"/>
      <c r="AF25" s="1"/>
      <c r="AG25" s="1"/>
      <c r="AH25" s="1"/>
      <c r="AI25" s="1"/>
      <c r="AJ25" s="1"/>
      <c r="AK25" s="1"/>
      <c r="AL25" s="1"/>
      <c r="AM25" s="1"/>
      <c r="AN25" s="1"/>
      <c r="AO25" s="15"/>
      <c r="AP25" s="10"/>
      <c r="AQ25" s="1"/>
      <c r="AR25" s="1"/>
      <c r="AS25" s="15"/>
      <c r="AT25" s="10"/>
      <c r="AU25" s="1"/>
      <c r="AV25" s="1"/>
      <c r="AW25" s="15"/>
      <c r="AX25" s="10"/>
      <c r="AY25" s="6"/>
      <c r="AZ25" s="29"/>
      <c r="BA25" s="30"/>
      <c r="BB25" s="30"/>
      <c r="BC25" s="45"/>
      <c r="BD25" s="46"/>
      <c r="BE25" s="30"/>
      <c r="BF25" s="30"/>
      <c r="BG25" s="30"/>
      <c r="BH25" s="30"/>
      <c r="BI25" s="30"/>
      <c r="BJ25" s="30"/>
      <c r="BK25" s="30"/>
      <c r="BL25" s="30"/>
      <c r="BM25" s="30"/>
      <c r="BN25" s="45"/>
      <c r="BO25" s="46"/>
      <c r="BP25" s="30"/>
      <c r="BQ25" s="30"/>
      <c r="BR25" s="45"/>
      <c r="BS25" s="46"/>
      <c r="BT25" s="30"/>
      <c r="BU25" s="30"/>
      <c r="BV25" s="45"/>
      <c r="BW25" s="46"/>
      <c r="BX25" s="31"/>
      <c r="BY25" s="5"/>
      <c r="BZ25" s="1"/>
      <c r="CA25" s="1"/>
      <c r="CB25" s="15"/>
      <c r="CC25" s="10"/>
      <c r="CD25" s="1"/>
      <c r="CE25" s="1"/>
      <c r="CF25" s="1"/>
      <c r="CG25" s="1"/>
      <c r="CH25" s="1"/>
      <c r="CI25" s="1"/>
      <c r="CJ25" s="1"/>
      <c r="CK25" s="1"/>
      <c r="CL25" s="1"/>
      <c r="CM25" s="15"/>
      <c r="CN25" s="10"/>
      <c r="CO25" s="1"/>
      <c r="CP25" s="1"/>
      <c r="CQ25" s="15"/>
      <c r="CR25" s="10"/>
      <c r="CS25" s="1"/>
      <c r="CT25" s="1"/>
      <c r="CU25" s="15"/>
      <c r="CV25" s="10"/>
      <c r="CW25" s="6"/>
      <c r="CX25" s="29"/>
      <c r="CY25" s="30"/>
      <c r="CZ25" s="30"/>
      <c r="DA25" s="45"/>
      <c r="DB25" s="46"/>
      <c r="DC25" s="30"/>
      <c r="DD25" s="30"/>
      <c r="DE25" s="30"/>
      <c r="DF25" s="30"/>
      <c r="DG25" s="30"/>
      <c r="DH25" s="30"/>
      <c r="DI25" s="30"/>
      <c r="DJ25" s="30"/>
      <c r="DK25" s="30"/>
      <c r="DL25" s="45"/>
      <c r="DM25" s="46"/>
      <c r="DN25" s="30"/>
      <c r="DO25" s="30"/>
      <c r="DP25" s="45"/>
      <c r="DQ25" s="46"/>
      <c r="DR25" s="30"/>
      <c r="DS25" s="30"/>
      <c r="DT25" s="45"/>
      <c r="DU25" s="46"/>
      <c r="DV25" s="31"/>
      <c r="DW25" s="60"/>
      <c r="DX25" s="61"/>
      <c r="DY25" s="61"/>
      <c r="DZ25" s="62"/>
      <c r="EA25" s="63"/>
      <c r="EB25" s="61"/>
      <c r="EC25" s="61"/>
      <c r="ED25" s="61"/>
      <c r="EE25" s="61"/>
      <c r="EF25" s="61"/>
      <c r="EG25" s="61"/>
      <c r="EH25" s="61"/>
      <c r="EI25" s="61"/>
      <c r="EJ25" s="61"/>
      <c r="EK25" s="62"/>
      <c r="EL25" s="63"/>
      <c r="EM25" s="61"/>
      <c r="EN25" s="61"/>
      <c r="EO25" s="62"/>
      <c r="EP25" s="63"/>
      <c r="EQ25" s="61"/>
      <c r="ER25" s="61"/>
      <c r="ES25" s="62"/>
      <c r="ET25" s="63"/>
      <c r="EU25" s="64"/>
      <c r="EV25" s="29"/>
      <c r="EW25" s="30"/>
      <c r="EX25" s="30"/>
      <c r="EY25" s="45"/>
      <c r="EZ25" s="46"/>
      <c r="FA25" s="30"/>
      <c r="FB25" s="30"/>
      <c r="FC25" s="30"/>
      <c r="FD25" s="30"/>
      <c r="FE25" s="30"/>
      <c r="FF25" s="30"/>
      <c r="FG25" s="30"/>
      <c r="FH25" s="30"/>
      <c r="FI25" s="30"/>
      <c r="FJ25" s="45"/>
      <c r="FK25" s="46"/>
      <c r="FL25" s="30"/>
      <c r="FM25" s="30"/>
      <c r="FN25" s="45"/>
      <c r="FO25" s="46"/>
      <c r="FP25" s="30"/>
      <c r="FQ25" s="30"/>
      <c r="FR25" s="45"/>
      <c r="FS25" s="46"/>
      <c r="FT25" s="31"/>
      <c r="FU25" s="5"/>
      <c r="FV25" s="1"/>
      <c r="FW25" s="1"/>
      <c r="FX25" s="15"/>
      <c r="FY25" s="10"/>
      <c r="FZ25" s="1"/>
      <c r="GA25" s="1"/>
      <c r="GB25" s="1"/>
      <c r="GC25" s="1"/>
      <c r="GD25" s="1"/>
      <c r="GE25" s="1"/>
      <c r="GF25" s="1"/>
      <c r="GG25" s="1"/>
      <c r="GH25" s="1"/>
      <c r="GI25" s="15"/>
      <c r="GJ25" s="10"/>
      <c r="GK25" s="1"/>
      <c r="GL25" s="1"/>
      <c r="GM25" s="15"/>
      <c r="GN25" s="10"/>
      <c r="GO25" s="1"/>
      <c r="GP25" s="1"/>
      <c r="GQ25" s="15"/>
      <c r="GR25" s="10"/>
      <c r="GS25" s="6"/>
      <c r="GT25" s="29"/>
      <c r="GU25" s="30"/>
      <c r="GV25" s="30"/>
      <c r="GW25" s="45"/>
      <c r="GX25" s="46"/>
      <c r="GY25" s="30"/>
      <c r="GZ25" s="30"/>
      <c r="HA25" s="30"/>
      <c r="HB25" s="30"/>
      <c r="HC25" s="30"/>
      <c r="HD25" s="30"/>
      <c r="HE25" s="30"/>
      <c r="HF25" s="30"/>
      <c r="HG25" s="30"/>
      <c r="HH25" s="45"/>
      <c r="HI25" s="46"/>
      <c r="HJ25" s="30"/>
      <c r="HK25" s="30"/>
      <c r="HL25" s="45"/>
      <c r="HM25" s="46"/>
      <c r="HN25" s="30"/>
      <c r="HO25" s="30"/>
      <c r="HP25" s="45"/>
      <c r="HQ25" s="46"/>
      <c r="HR25" s="31"/>
      <c r="HS25" s="5"/>
      <c r="HT25" s="1"/>
      <c r="HU25" s="1"/>
      <c r="HV25" s="15"/>
      <c r="HW25" s="10"/>
      <c r="HX25" s="1"/>
      <c r="HY25" s="1"/>
      <c r="HZ25" s="1"/>
      <c r="IA25" s="1"/>
      <c r="IB25" s="1"/>
      <c r="IC25" s="1"/>
      <c r="ID25" s="1"/>
      <c r="IE25" s="1"/>
      <c r="IF25" s="1"/>
      <c r="IG25" s="15"/>
      <c r="IH25" s="10"/>
      <c r="II25" s="1"/>
      <c r="IJ25" s="1"/>
      <c r="IK25" s="15"/>
      <c r="IL25" s="10"/>
      <c r="IM25" s="1"/>
      <c r="IN25" s="1"/>
      <c r="IO25" s="15"/>
      <c r="IP25" s="10"/>
      <c r="IQ25" s="6"/>
    </row>
    <row r="26" spans="1:251" x14ac:dyDescent="0.25">
      <c r="A26" s="2">
        <v>3036</v>
      </c>
      <c r="B26" s="29"/>
      <c r="C26" s="30"/>
      <c r="D26" s="30"/>
      <c r="E26" s="45"/>
      <c r="F26" s="46"/>
      <c r="G26" s="30"/>
      <c r="H26" s="30"/>
      <c r="I26" s="30"/>
      <c r="J26" s="30"/>
      <c r="K26" s="30"/>
      <c r="L26" s="30"/>
      <c r="M26" s="30"/>
      <c r="N26" s="30"/>
      <c r="O26" s="30"/>
      <c r="P26" s="45"/>
      <c r="Q26" s="46"/>
      <c r="R26" s="30"/>
      <c r="S26" s="30"/>
      <c r="T26" s="45"/>
      <c r="U26" s="46"/>
      <c r="V26" s="30"/>
      <c r="W26" s="30"/>
      <c r="X26" s="45"/>
      <c r="Y26" s="46"/>
      <c r="Z26" s="31"/>
      <c r="AA26" s="5"/>
      <c r="AB26" s="1"/>
      <c r="AC26" s="1"/>
      <c r="AD26" s="15"/>
      <c r="AE26" s="10"/>
      <c r="AF26" s="1"/>
      <c r="AG26" s="1"/>
      <c r="AH26" s="1"/>
      <c r="AI26" s="1"/>
      <c r="AJ26" s="1"/>
      <c r="AK26" s="1"/>
      <c r="AL26" s="1"/>
      <c r="AM26" s="1"/>
      <c r="AN26" s="1"/>
      <c r="AO26" s="15"/>
      <c r="AP26" s="10"/>
      <c r="AQ26" s="1"/>
      <c r="AR26" s="1"/>
      <c r="AS26" s="15"/>
      <c r="AT26" s="10"/>
      <c r="AU26" s="1"/>
      <c r="AV26" s="1"/>
      <c r="AW26" s="15"/>
      <c r="AX26" s="10"/>
      <c r="AY26" s="6"/>
      <c r="AZ26" s="29"/>
      <c r="BA26" s="30"/>
      <c r="BB26" s="30"/>
      <c r="BC26" s="45"/>
      <c r="BD26" s="46"/>
      <c r="BE26" s="30"/>
      <c r="BF26" s="30"/>
      <c r="BG26" s="30"/>
      <c r="BH26" s="30"/>
      <c r="BI26" s="30"/>
      <c r="BJ26" s="30"/>
      <c r="BK26" s="30"/>
      <c r="BL26" s="30"/>
      <c r="BM26" s="30"/>
      <c r="BN26" s="45"/>
      <c r="BO26" s="46"/>
      <c r="BP26" s="30"/>
      <c r="BQ26" s="30"/>
      <c r="BR26" s="45"/>
      <c r="BS26" s="46"/>
      <c r="BT26" s="30"/>
      <c r="BU26" s="30"/>
      <c r="BV26" s="45"/>
      <c r="BW26" s="46"/>
      <c r="BX26" s="31"/>
      <c r="BY26" s="5"/>
      <c r="BZ26" s="1"/>
      <c r="CA26" s="1"/>
      <c r="CB26" s="15"/>
      <c r="CC26" s="10"/>
      <c r="CD26" s="1"/>
      <c r="CE26" s="1"/>
      <c r="CF26" s="1"/>
      <c r="CG26" s="1"/>
      <c r="CH26" s="1"/>
      <c r="CI26" s="1"/>
      <c r="CJ26" s="1"/>
      <c r="CK26" s="1"/>
      <c r="CL26" s="1"/>
      <c r="CM26" s="15"/>
      <c r="CN26" s="10"/>
      <c r="CO26" s="1"/>
      <c r="CP26" s="1"/>
      <c r="CQ26" s="15"/>
      <c r="CR26" s="10"/>
      <c r="CS26" s="1"/>
      <c r="CT26" s="1"/>
      <c r="CU26" s="15"/>
      <c r="CV26" s="10"/>
      <c r="CW26" s="6"/>
      <c r="CX26" s="29"/>
      <c r="CY26" s="30"/>
      <c r="CZ26" s="30"/>
      <c r="DA26" s="45"/>
      <c r="DB26" s="46"/>
      <c r="DC26" s="30"/>
      <c r="DD26" s="30"/>
      <c r="DE26" s="30"/>
      <c r="DF26" s="30"/>
      <c r="DG26" s="30"/>
      <c r="DH26" s="30"/>
      <c r="DI26" s="30"/>
      <c r="DJ26" s="30"/>
      <c r="DK26" s="30"/>
      <c r="DL26" s="45"/>
      <c r="DM26" s="46"/>
      <c r="DN26" s="30"/>
      <c r="DO26" s="30"/>
      <c r="DP26" s="45"/>
      <c r="DQ26" s="46"/>
      <c r="DR26" s="30"/>
      <c r="DS26" s="30"/>
      <c r="DT26" s="45"/>
      <c r="DU26" s="46"/>
      <c r="DV26" s="31"/>
      <c r="DW26" s="60"/>
      <c r="DX26" s="61"/>
      <c r="DY26" s="61"/>
      <c r="DZ26" s="62"/>
      <c r="EA26" s="63"/>
      <c r="EB26" s="61"/>
      <c r="EC26" s="61"/>
      <c r="ED26" s="61"/>
      <c r="EE26" s="61"/>
      <c r="EF26" s="61"/>
      <c r="EG26" s="61"/>
      <c r="EH26" s="61"/>
      <c r="EI26" s="61"/>
      <c r="EJ26" s="61"/>
      <c r="EK26" s="62"/>
      <c r="EL26" s="63"/>
      <c r="EM26" s="61"/>
      <c r="EN26" s="61"/>
      <c r="EO26" s="62"/>
      <c r="EP26" s="63"/>
      <c r="EQ26" s="61"/>
      <c r="ER26" s="61"/>
      <c r="ES26" s="62"/>
      <c r="ET26" s="63"/>
      <c r="EU26" s="64"/>
      <c r="EV26" s="29"/>
      <c r="EW26" s="30"/>
      <c r="EX26" s="30"/>
      <c r="EY26" s="45"/>
      <c r="EZ26" s="46"/>
      <c r="FA26" s="30"/>
      <c r="FB26" s="30"/>
      <c r="FC26" s="30"/>
      <c r="FD26" s="30"/>
      <c r="FE26" s="30"/>
      <c r="FF26" s="30"/>
      <c r="FG26" s="30"/>
      <c r="FH26" s="30"/>
      <c r="FI26" s="30"/>
      <c r="FJ26" s="45"/>
      <c r="FK26" s="46"/>
      <c r="FL26" s="30"/>
      <c r="FM26" s="30"/>
      <c r="FN26" s="45"/>
      <c r="FO26" s="46"/>
      <c r="FP26" s="30"/>
      <c r="FQ26" s="30"/>
      <c r="FR26" s="45"/>
      <c r="FS26" s="46"/>
      <c r="FT26" s="31"/>
      <c r="FU26" s="5"/>
      <c r="FV26" s="1"/>
      <c r="FW26" s="1"/>
      <c r="FX26" s="15"/>
      <c r="FY26" s="10"/>
      <c r="FZ26" s="1"/>
      <c r="GA26" s="1"/>
      <c r="GB26" s="1"/>
      <c r="GC26" s="1"/>
      <c r="GD26" s="1"/>
      <c r="GE26" s="1"/>
      <c r="GF26" s="1"/>
      <c r="GG26" s="1"/>
      <c r="GH26" s="1"/>
      <c r="GI26" s="15"/>
      <c r="GJ26" s="10"/>
      <c r="GK26" s="1"/>
      <c r="GL26" s="1"/>
      <c r="GM26" s="15"/>
      <c r="GN26" s="10"/>
      <c r="GO26" s="1"/>
      <c r="GP26" s="1"/>
      <c r="GQ26" s="15"/>
      <c r="GR26" s="10"/>
      <c r="GS26" s="6"/>
      <c r="GT26" s="29"/>
      <c r="GU26" s="30"/>
      <c r="GV26" s="30"/>
      <c r="GW26" s="45"/>
      <c r="GX26" s="46"/>
      <c r="GY26" s="30"/>
      <c r="GZ26" s="30"/>
      <c r="HA26" s="30"/>
      <c r="HB26" s="30"/>
      <c r="HC26" s="30"/>
      <c r="HD26" s="30"/>
      <c r="HE26" s="30"/>
      <c r="HF26" s="30"/>
      <c r="HG26" s="30"/>
      <c r="HH26" s="45"/>
      <c r="HI26" s="46"/>
      <c r="HJ26" s="30"/>
      <c r="HK26" s="30"/>
      <c r="HL26" s="45"/>
      <c r="HM26" s="46"/>
      <c r="HN26" s="30"/>
      <c r="HO26" s="30"/>
      <c r="HP26" s="45"/>
      <c r="HQ26" s="46"/>
      <c r="HR26" s="31"/>
      <c r="HS26" s="5"/>
      <c r="HT26" s="1"/>
      <c r="HU26" s="1"/>
      <c r="HV26" s="15"/>
      <c r="HW26" s="10"/>
      <c r="HX26" s="1"/>
      <c r="HY26" s="1"/>
      <c r="HZ26" s="1"/>
      <c r="IA26" s="1"/>
      <c r="IB26" s="1"/>
      <c r="IC26" s="1"/>
      <c r="ID26" s="1"/>
      <c r="IE26" s="1"/>
      <c r="IF26" s="1"/>
      <c r="IG26" s="15"/>
      <c r="IH26" s="10"/>
      <c r="II26" s="1"/>
      <c r="IJ26" s="1"/>
      <c r="IK26" s="15"/>
      <c r="IL26" s="10"/>
      <c r="IM26" s="1"/>
      <c r="IN26" s="1"/>
      <c r="IO26" s="15"/>
      <c r="IP26" s="10"/>
      <c r="IQ26" s="6"/>
    </row>
    <row r="27" spans="1:251" x14ac:dyDescent="0.25">
      <c r="A27" s="2">
        <v>3055</v>
      </c>
      <c r="B27" s="29"/>
      <c r="C27" s="30"/>
      <c r="D27" s="30"/>
      <c r="E27" s="45"/>
      <c r="F27" s="46"/>
      <c r="G27" s="30"/>
      <c r="H27" s="30"/>
      <c r="I27" s="30"/>
      <c r="J27" s="30"/>
      <c r="K27" s="30"/>
      <c r="L27" s="30"/>
      <c r="M27" s="30"/>
      <c r="N27" s="30"/>
      <c r="O27" s="30"/>
      <c r="P27" s="45"/>
      <c r="Q27" s="46"/>
      <c r="R27" s="30"/>
      <c r="S27" s="30"/>
      <c r="T27" s="45"/>
      <c r="U27" s="46"/>
      <c r="V27" s="30"/>
      <c r="W27" s="30"/>
      <c r="X27" s="45"/>
      <c r="Y27" s="46"/>
      <c r="Z27" s="31"/>
      <c r="AA27" s="5"/>
      <c r="AB27" s="1"/>
      <c r="AC27" s="1"/>
      <c r="AD27" s="15"/>
      <c r="AE27" s="10"/>
      <c r="AF27" s="1"/>
      <c r="AG27" s="1"/>
      <c r="AH27" s="1"/>
      <c r="AI27" s="1"/>
      <c r="AJ27" s="1"/>
      <c r="AK27" s="1"/>
      <c r="AL27" s="1"/>
      <c r="AM27" s="1"/>
      <c r="AN27" s="1"/>
      <c r="AO27" s="15"/>
      <c r="AP27" s="10"/>
      <c r="AQ27" s="1"/>
      <c r="AR27" s="1"/>
      <c r="AS27" s="15"/>
      <c r="AT27" s="10"/>
      <c r="AU27" s="1"/>
      <c r="AV27" s="1"/>
      <c r="AW27" s="15"/>
      <c r="AX27" s="10"/>
      <c r="AY27" s="6"/>
      <c r="AZ27" s="29"/>
      <c r="BA27" s="30"/>
      <c r="BB27" s="30"/>
      <c r="BC27" s="45"/>
      <c r="BD27" s="46"/>
      <c r="BE27" s="30"/>
      <c r="BF27" s="30"/>
      <c r="BG27" s="30"/>
      <c r="BH27" s="30"/>
      <c r="BI27" s="30"/>
      <c r="BJ27" s="30"/>
      <c r="BK27" s="30"/>
      <c r="BL27" s="30"/>
      <c r="BM27" s="30"/>
      <c r="BN27" s="45"/>
      <c r="BO27" s="46"/>
      <c r="BP27" s="30"/>
      <c r="BQ27" s="30"/>
      <c r="BR27" s="45"/>
      <c r="BS27" s="46"/>
      <c r="BT27" s="30"/>
      <c r="BU27" s="30"/>
      <c r="BV27" s="45"/>
      <c r="BW27" s="46"/>
      <c r="BX27" s="31"/>
      <c r="BY27" s="5"/>
      <c r="BZ27" s="1"/>
      <c r="CA27" s="1"/>
      <c r="CB27" s="15"/>
      <c r="CC27" s="10"/>
      <c r="CD27" s="1"/>
      <c r="CE27" s="1"/>
      <c r="CF27" s="1"/>
      <c r="CG27" s="1"/>
      <c r="CH27" s="1"/>
      <c r="CI27" s="1"/>
      <c r="CJ27" s="1"/>
      <c r="CK27" s="1"/>
      <c r="CL27" s="1"/>
      <c r="CM27" s="15"/>
      <c r="CN27" s="10"/>
      <c r="CO27" s="1"/>
      <c r="CP27" s="1"/>
      <c r="CQ27" s="15"/>
      <c r="CR27" s="10"/>
      <c r="CS27" s="1"/>
      <c r="CT27" s="1"/>
      <c r="CU27" s="15"/>
      <c r="CV27" s="10"/>
      <c r="CW27" s="6"/>
      <c r="CX27" s="29"/>
      <c r="CY27" s="30"/>
      <c r="CZ27" s="30"/>
      <c r="DA27" s="45"/>
      <c r="DB27" s="46"/>
      <c r="DC27" s="30"/>
      <c r="DD27" s="30"/>
      <c r="DE27" s="30"/>
      <c r="DF27" s="30"/>
      <c r="DG27" s="30"/>
      <c r="DH27" s="30"/>
      <c r="DI27" s="30"/>
      <c r="DJ27" s="30"/>
      <c r="DK27" s="30"/>
      <c r="DL27" s="45"/>
      <c r="DM27" s="46"/>
      <c r="DN27" s="30"/>
      <c r="DO27" s="30"/>
      <c r="DP27" s="45"/>
      <c r="DQ27" s="46"/>
      <c r="DR27" s="30"/>
      <c r="DS27" s="30"/>
      <c r="DT27" s="45"/>
      <c r="DU27" s="46"/>
      <c r="DV27" s="31"/>
      <c r="DW27" s="60"/>
      <c r="DX27" s="61"/>
      <c r="DY27" s="61"/>
      <c r="DZ27" s="62"/>
      <c r="EA27" s="63"/>
      <c r="EB27" s="61"/>
      <c r="EC27" s="61"/>
      <c r="ED27" s="61"/>
      <c r="EE27" s="61"/>
      <c r="EF27" s="61"/>
      <c r="EG27" s="61"/>
      <c r="EH27" s="61"/>
      <c r="EI27" s="61"/>
      <c r="EJ27" s="61"/>
      <c r="EK27" s="62"/>
      <c r="EL27" s="63"/>
      <c r="EM27" s="61"/>
      <c r="EN27" s="61"/>
      <c r="EO27" s="62"/>
      <c r="EP27" s="63"/>
      <c r="EQ27" s="61"/>
      <c r="ER27" s="61"/>
      <c r="ES27" s="62"/>
      <c r="ET27" s="63"/>
      <c r="EU27" s="64"/>
      <c r="EV27" s="29"/>
      <c r="EW27" s="30"/>
      <c r="EX27" s="30"/>
      <c r="EY27" s="45"/>
      <c r="EZ27" s="46"/>
      <c r="FA27" s="30"/>
      <c r="FB27" s="30"/>
      <c r="FC27" s="30"/>
      <c r="FD27" s="30"/>
      <c r="FE27" s="30"/>
      <c r="FF27" s="30"/>
      <c r="FG27" s="30"/>
      <c r="FH27" s="30"/>
      <c r="FI27" s="30"/>
      <c r="FJ27" s="45"/>
      <c r="FK27" s="46"/>
      <c r="FL27" s="30"/>
      <c r="FM27" s="30"/>
      <c r="FN27" s="45"/>
      <c r="FO27" s="46"/>
      <c r="FP27" s="30"/>
      <c r="FQ27" s="30"/>
      <c r="FR27" s="45"/>
      <c r="FS27" s="46"/>
      <c r="FT27" s="31"/>
      <c r="FU27" s="5"/>
      <c r="FV27" s="1"/>
      <c r="FW27" s="1"/>
      <c r="FX27" s="15"/>
      <c r="FY27" s="10"/>
      <c r="FZ27" s="1"/>
      <c r="GA27" s="1"/>
      <c r="GB27" s="1"/>
      <c r="GC27" s="1"/>
      <c r="GD27" s="1"/>
      <c r="GE27" s="1"/>
      <c r="GF27" s="1"/>
      <c r="GG27" s="1"/>
      <c r="GH27" s="1"/>
      <c r="GI27" s="15"/>
      <c r="GJ27" s="10"/>
      <c r="GK27" s="1"/>
      <c r="GL27" s="1"/>
      <c r="GM27" s="15"/>
      <c r="GN27" s="10"/>
      <c r="GO27" s="1"/>
      <c r="GP27" s="1"/>
      <c r="GQ27" s="15"/>
      <c r="GR27" s="10"/>
      <c r="GS27" s="6"/>
      <c r="GT27" s="29"/>
      <c r="GU27" s="30"/>
      <c r="GV27" s="30"/>
      <c r="GW27" s="45"/>
      <c r="GX27" s="46"/>
      <c r="GY27" s="30"/>
      <c r="GZ27" s="30"/>
      <c r="HA27" s="30"/>
      <c r="HB27" s="30"/>
      <c r="HC27" s="30"/>
      <c r="HD27" s="30"/>
      <c r="HE27" s="30"/>
      <c r="HF27" s="30"/>
      <c r="HG27" s="30"/>
      <c r="HH27" s="45"/>
      <c r="HI27" s="46"/>
      <c r="HJ27" s="30"/>
      <c r="HK27" s="30"/>
      <c r="HL27" s="45"/>
      <c r="HM27" s="46"/>
      <c r="HN27" s="30"/>
      <c r="HO27" s="30"/>
      <c r="HP27" s="45"/>
      <c r="HQ27" s="46"/>
      <c r="HR27" s="31"/>
      <c r="HS27" s="5"/>
      <c r="HT27" s="1"/>
      <c r="HU27" s="1"/>
      <c r="HV27" s="15"/>
      <c r="HW27" s="10"/>
      <c r="HX27" s="1"/>
      <c r="HY27" s="1"/>
      <c r="HZ27" s="1"/>
      <c r="IA27" s="1"/>
      <c r="IB27" s="1"/>
      <c r="IC27" s="1"/>
      <c r="ID27" s="1"/>
      <c r="IE27" s="1"/>
      <c r="IF27" s="1"/>
      <c r="IG27" s="15"/>
      <c r="IH27" s="10"/>
      <c r="II27" s="1"/>
      <c r="IJ27" s="1"/>
      <c r="IK27" s="15"/>
      <c r="IL27" s="10"/>
      <c r="IM27" s="1"/>
      <c r="IN27" s="1"/>
      <c r="IO27" s="15"/>
      <c r="IP27" s="10"/>
      <c r="IQ27" s="6"/>
    </row>
    <row r="28" spans="1:251" x14ac:dyDescent="0.25">
      <c r="A28" s="2">
        <v>3056</v>
      </c>
      <c r="B28" s="29"/>
      <c r="C28" s="30"/>
      <c r="D28" s="30"/>
      <c r="E28" s="45"/>
      <c r="F28" s="46"/>
      <c r="G28" s="30"/>
      <c r="H28" s="30"/>
      <c r="I28" s="30"/>
      <c r="J28" s="30"/>
      <c r="K28" s="30"/>
      <c r="L28" s="30"/>
      <c r="M28" s="30"/>
      <c r="N28" s="30"/>
      <c r="O28" s="30"/>
      <c r="P28" s="45"/>
      <c r="Q28" s="46"/>
      <c r="R28" s="30"/>
      <c r="S28" s="30"/>
      <c r="T28" s="45"/>
      <c r="U28" s="46"/>
      <c r="V28" s="30"/>
      <c r="W28" s="30"/>
      <c r="X28" s="45"/>
      <c r="Y28" s="46"/>
      <c r="Z28" s="31"/>
      <c r="AA28" s="5"/>
      <c r="AB28" s="1"/>
      <c r="AC28" s="1"/>
      <c r="AD28" s="15"/>
      <c r="AE28" s="10"/>
      <c r="AF28" s="1"/>
      <c r="AG28" s="1"/>
      <c r="AH28" s="1"/>
      <c r="AI28" s="1"/>
      <c r="AJ28" s="1"/>
      <c r="AK28" s="1"/>
      <c r="AL28" s="1"/>
      <c r="AM28" s="1"/>
      <c r="AN28" s="1"/>
      <c r="AO28" s="15"/>
      <c r="AP28" s="10"/>
      <c r="AQ28" s="1"/>
      <c r="AR28" s="1"/>
      <c r="AS28" s="15"/>
      <c r="AT28" s="10"/>
      <c r="AU28" s="1"/>
      <c r="AV28" s="1"/>
      <c r="AW28" s="15"/>
      <c r="AX28" s="10"/>
      <c r="AY28" s="6"/>
      <c r="AZ28" s="29"/>
      <c r="BA28" s="30"/>
      <c r="BB28" s="30"/>
      <c r="BC28" s="45"/>
      <c r="BD28" s="46"/>
      <c r="BE28" s="30"/>
      <c r="BF28" s="30"/>
      <c r="BG28" s="30"/>
      <c r="BH28" s="30"/>
      <c r="BI28" s="30"/>
      <c r="BJ28" s="30"/>
      <c r="BK28" s="30"/>
      <c r="BL28" s="30"/>
      <c r="BM28" s="30"/>
      <c r="BN28" s="45"/>
      <c r="BO28" s="46"/>
      <c r="BP28" s="30"/>
      <c r="BQ28" s="30"/>
      <c r="BR28" s="45"/>
      <c r="BS28" s="46"/>
      <c r="BT28" s="30"/>
      <c r="BU28" s="30"/>
      <c r="BV28" s="45"/>
      <c r="BW28" s="46"/>
      <c r="BX28" s="31"/>
      <c r="BY28" s="5"/>
      <c r="BZ28" s="1"/>
      <c r="CA28" s="1"/>
      <c r="CB28" s="15"/>
      <c r="CC28" s="10"/>
      <c r="CD28" s="1"/>
      <c r="CE28" s="1"/>
      <c r="CF28" s="1"/>
      <c r="CG28" s="1"/>
      <c r="CH28" s="1"/>
      <c r="CI28" s="1"/>
      <c r="CJ28" s="1"/>
      <c r="CK28" s="1"/>
      <c r="CL28" s="1"/>
      <c r="CM28" s="15"/>
      <c r="CN28" s="10"/>
      <c r="CO28" s="1"/>
      <c r="CP28" s="1"/>
      <c r="CQ28" s="15"/>
      <c r="CR28" s="10"/>
      <c r="CS28" s="1"/>
      <c r="CT28" s="1"/>
      <c r="CU28" s="15"/>
      <c r="CV28" s="10"/>
      <c r="CW28" s="6"/>
      <c r="CX28" s="29"/>
      <c r="CY28" s="30"/>
      <c r="CZ28" s="30"/>
      <c r="DA28" s="45"/>
      <c r="DB28" s="46"/>
      <c r="DC28" s="30"/>
      <c r="DD28" s="30"/>
      <c r="DE28" s="30"/>
      <c r="DF28" s="30"/>
      <c r="DG28" s="30"/>
      <c r="DH28" s="30"/>
      <c r="DI28" s="30"/>
      <c r="DJ28" s="30"/>
      <c r="DK28" s="30"/>
      <c r="DL28" s="45"/>
      <c r="DM28" s="46"/>
      <c r="DN28" s="30"/>
      <c r="DO28" s="30"/>
      <c r="DP28" s="45"/>
      <c r="DQ28" s="46"/>
      <c r="DR28" s="30"/>
      <c r="DS28" s="30"/>
      <c r="DT28" s="45"/>
      <c r="DU28" s="46"/>
      <c r="DV28" s="31"/>
      <c r="DW28" s="60"/>
      <c r="DX28" s="61"/>
      <c r="DY28" s="61"/>
      <c r="DZ28" s="62"/>
      <c r="EA28" s="63"/>
      <c r="EB28" s="61"/>
      <c r="EC28" s="61"/>
      <c r="ED28" s="61"/>
      <c r="EE28" s="61"/>
      <c r="EF28" s="61"/>
      <c r="EG28" s="61"/>
      <c r="EH28" s="61"/>
      <c r="EI28" s="61"/>
      <c r="EJ28" s="61"/>
      <c r="EK28" s="62"/>
      <c r="EL28" s="63"/>
      <c r="EM28" s="61"/>
      <c r="EN28" s="61"/>
      <c r="EO28" s="62"/>
      <c r="EP28" s="63"/>
      <c r="EQ28" s="61"/>
      <c r="ER28" s="61"/>
      <c r="ES28" s="62"/>
      <c r="ET28" s="63"/>
      <c r="EU28" s="64"/>
      <c r="EV28" s="29"/>
      <c r="EW28" s="30"/>
      <c r="EX28" s="30"/>
      <c r="EY28" s="45"/>
      <c r="EZ28" s="46"/>
      <c r="FA28" s="30"/>
      <c r="FB28" s="30"/>
      <c r="FC28" s="30"/>
      <c r="FD28" s="30"/>
      <c r="FE28" s="30"/>
      <c r="FF28" s="30"/>
      <c r="FG28" s="30"/>
      <c r="FH28" s="30"/>
      <c r="FI28" s="30"/>
      <c r="FJ28" s="45"/>
      <c r="FK28" s="46"/>
      <c r="FL28" s="30"/>
      <c r="FM28" s="30"/>
      <c r="FN28" s="45"/>
      <c r="FO28" s="46"/>
      <c r="FP28" s="30"/>
      <c r="FQ28" s="30"/>
      <c r="FR28" s="45"/>
      <c r="FS28" s="46"/>
      <c r="FT28" s="31"/>
      <c r="FU28" s="5"/>
      <c r="FV28" s="1"/>
      <c r="FW28" s="1"/>
      <c r="FX28" s="15"/>
      <c r="FY28" s="10"/>
      <c r="FZ28" s="1"/>
      <c r="GA28" s="1"/>
      <c r="GB28" s="1"/>
      <c r="GC28" s="1"/>
      <c r="GD28" s="1"/>
      <c r="GE28" s="1"/>
      <c r="GF28" s="1"/>
      <c r="GG28" s="1"/>
      <c r="GH28" s="1"/>
      <c r="GI28" s="15"/>
      <c r="GJ28" s="10"/>
      <c r="GK28" s="1"/>
      <c r="GL28" s="1"/>
      <c r="GM28" s="15"/>
      <c r="GN28" s="10"/>
      <c r="GO28" s="1"/>
      <c r="GP28" s="1"/>
      <c r="GQ28" s="15"/>
      <c r="GR28" s="10"/>
      <c r="GS28" s="6"/>
      <c r="GT28" s="29"/>
      <c r="GU28" s="30"/>
      <c r="GV28" s="30"/>
      <c r="GW28" s="45"/>
      <c r="GX28" s="46"/>
      <c r="GY28" s="30"/>
      <c r="GZ28" s="30"/>
      <c r="HA28" s="30"/>
      <c r="HB28" s="30"/>
      <c r="HC28" s="30"/>
      <c r="HD28" s="30"/>
      <c r="HE28" s="30"/>
      <c r="HF28" s="30"/>
      <c r="HG28" s="30"/>
      <c r="HH28" s="45"/>
      <c r="HI28" s="46"/>
      <c r="HJ28" s="30"/>
      <c r="HK28" s="30"/>
      <c r="HL28" s="45"/>
      <c r="HM28" s="46"/>
      <c r="HN28" s="30"/>
      <c r="HO28" s="30"/>
      <c r="HP28" s="45"/>
      <c r="HQ28" s="46"/>
      <c r="HR28" s="31"/>
      <c r="HS28" s="5"/>
      <c r="HT28" s="1"/>
      <c r="HU28" s="1"/>
      <c r="HV28" s="15"/>
      <c r="HW28" s="10"/>
      <c r="HX28" s="1"/>
      <c r="HY28" s="1"/>
      <c r="HZ28" s="1"/>
      <c r="IA28" s="1"/>
      <c r="IB28" s="1"/>
      <c r="IC28" s="1"/>
      <c r="ID28" s="1"/>
      <c r="IE28" s="1"/>
      <c r="IF28" s="1"/>
      <c r="IG28" s="15"/>
      <c r="IH28" s="10"/>
      <c r="II28" s="1"/>
      <c r="IJ28" s="1"/>
      <c r="IK28" s="15"/>
      <c r="IL28" s="10"/>
      <c r="IM28" s="1"/>
      <c r="IN28" s="1"/>
      <c r="IO28" s="15"/>
      <c r="IP28" s="10"/>
      <c r="IQ28" s="6"/>
    </row>
    <row r="29" spans="1:251" x14ac:dyDescent="0.25">
      <c r="A29" s="2">
        <v>3130</v>
      </c>
      <c r="B29" s="29"/>
      <c r="C29" s="30"/>
      <c r="D29" s="30"/>
      <c r="E29" s="45"/>
      <c r="F29" s="46"/>
      <c r="G29" s="30"/>
      <c r="H29" s="30"/>
      <c r="I29" s="30"/>
      <c r="J29" s="30"/>
      <c r="K29" s="30"/>
      <c r="L29" s="30"/>
      <c r="M29" s="30"/>
      <c r="N29" s="30"/>
      <c r="O29" s="30"/>
      <c r="P29" s="45"/>
      <c r="Q29" s="46"/>
      <c r="R29" s="30"/>
      <c r="S29" s="30"/>
      <c r="T29" s="45"/>
      <c r="U29" s="46"/>
      <c r="V29" s="30"/>
      <c r="W29" s="30"/>
      <c r="X29" s="45"/>
      <c r="Y29" s="46"/>
      <c r="Z29" s="31"/>
      <c r="AA29" s="5"/>
      <c r="AB29" s="1"/>
      <c r="AC29" s="1"/>
      <c r="AD29" s="15"/>
      <c r="AE29" s="10"/>
      <c r="AF29" s="1"/>
      <c r="AG29" s="1"/>
      <c r="AH29" s="1"/>
      <c r="AI29" s="1"/>
      <c r="AJ29" s="1"/>
      <c r="AK29" s="1"/>
      <c r="AL29" s="1"/>
      <c r="AM29" s="1"/>
      <c r="AN29" s="1"/>
      <c r="AO29" s="15"/>
      <c r="AP29" s="10"/>
      <c r="AQ29" s="1"/>
      <c r="AR29" s="1"/>
      <c r="AS29" s="15"/>
      <c r="AT29" s="10"/>
      <c r="AU29" s="1"/>
      <c r="AV29" s="1"/>
      <c r="AW29" s="15"/>
      <c r="AX29" s="10"/>
      <c r="AY29" s="6"/>
      <c r="AZ29" s="29"/>
      <c r="BA29" s="30"/>
      <c r="BB29" s="30"/>
      <c r="BC29" s="45"/>
      <c r="BD29" s="46"/>
      <c r="BE29" s="30"/>
      <c r="BF29" s="30"/>
      <c r="BG29" s="30"/>
      <c r="BH29" s="30"/>
      <c r="BI29" s="30"/>
      <c r="BJ29" s="30"/>
      <c r="BK29" s="30"/>
      <c r="BL29" s="30"/>
      <c r="BM29" s="30"/>
      <c r="BN29" s="45"/>
      <c r="BO29" s="46"/>
      <c r="BP29" s="30"/>
      <c r="BQ29" s="30"/>
      <c r="BR29" s="45"/>
      <c r="BS29" s="46"/>
      <c r="BT29" s="30"/>
      <c r="BU29" s="30"/>
      <c r="BV29" s="45"/>
      <c r="BW29" s="46"/>
      <c r="BX29" s="31"/>
      <c r="BY29" s="5"/>
      <c r="BZ29" s="1"/>
      <c r="CA29" s="1"/>
      <c r="CB29" s="15"/>
      <c r="CC29" s="10"/>
      <c r="CD29" s="1"/>
      <c r="CE29" s="1"/>
      <c r="CF29" s="1"/>
      <c r="CG29" s="1"/>
      <c r="CH29" s="1"/>
      <c r="CI29" s="1"/>
      <c r="CJ29" s="1"/>
      <c r="CK29" s="1"/>
      <c r="CL29" s="1"/>
      <c r="CM29" s="15"/>
      <c r="CN29" s="10"/>
      <c r="CO29" s="1"/>
      <c r="CP29" s="1"/>
      <c r="CQ29" s="15"/>
      <c r="CR29" s="10"/>
      <c r="CS29" s="1"/>
      <c r="CT29" s="1"/>
      <c r="CU29" s="15"/>
      <c r="CV29" s="10"/>
      <c r="CW29" s="6"/>
      <c r="CX29" s="29"/>
      <c r="CY29" s="30"/>
      <c r="CZ29" s="30"/>
      <c r="DA29" s="45"/>
      <c r="DB29" s="46"/>
      <c r="DC29" s="30"/>
      <c r="DD29" s="30"/>
      <c r="DE29" s="30"/>
      <c r="DF29" s="30"/>
      <c r="DG29" s="30"/>
      <c r="DH29" s="30"/>
      <c r="DI29" s="30"/>
      <c r="DJ29" s="30"/>
      <c r="DK29" s="30"/>
      <c r="DL29" s="45"/>
      <c r="DM29" s="46"/>
      <c r="DN29" s="30"/>
      <c r="DO29" s="30"/>
      <c r="DP29" s="45"/>
      <c r="DQ29" s="46"/>
      <c r="DR29" s="30"/>
      <c r="DS29" s="30"/>
      <c r="DT29" s="45"/>
      <c r="DU29" s="46"/>
      <c r="DV29" s="31"/>
      <c r="DW29" s="60"/>
      <c r="DX29" s="61"/>
      <c r="DY29" s="61"/>
      <c r="DZ29" s="62"/>
      <c r="EA29" s="63"/>
      <c r="EB29" s="61"/>
      <c r="EC29" s="61"/>
      <c r="ED29" s="61"/>
      <c r="EE29" s="61"/>
      <c r="EF29" s="61"/>
      <c r="EG29" s="61"/>
      <c r="EH29" s="61"/>
      <c r="EI29" s="61"/>
      <c r="EJ29" s="61"/>
      <c r="EK29" s="62"/>
      <c r="EL29" s="63"/>
      <c r="EM29" s="61"/>
      <c r="EN29" s="61"/>
      <c r="EO29" s="62"/>
      <c r="EP29" s="63"/>
      <c r="EQ29" s="61"/>
      <c r="ER29" s="61"/>
      <c r="ES29" s="62"/>
      <c r="ET29" s="63"/>
      <c r="EU29" s="64"/>
      <c r="EV29" s="29"/>
      <c r="EW29" s="30"/>
      <c r="EX29" s="30"/>
      <c r="EY29" s="45"/>
      <c r="EZ29" s="46"/>
      <c r="FA29" s="30"/>
      <c r="FB29" s="30"/>
      <c r="FC29" s="30"/>
      <c r="FD29" s="30"/>
      <c r="FE29" s="30"/>
      <c r="FF29" s="30"/>
      <c r="FG29" s="30"/>
      <c r="FH29" s="30"/>
      <c r="FI29" s="30"/>
      <c r="FJ29" s="45"/>
      <c r="FK29" s="46"/>
      <c r="FL29" s="30"/>
      <c r="FM29" s="30"/>
      <c r="FN29" s="45"/>
      <c r="FO29" s="46"/>
      <c r="FP29" s="30"/>
      <c r="FQ29" s="30"/>
      <c r="FR29" s="45"/>
      <c r="FS29" s="46"/>
      <c r="FT29" s="31"/>
      <c r="FU29" s="5"/>
      <c r="FV29" s="1"/>
      <c r="FW29" s="1"/>
      <c r="FX29" s="15"/>
      <c r="FY29" s="10"/>
      <c r="FZ29" s="1"/>
      <c r="GA29" s="1"/>
      <c r="GB29" s="1"/>
      <c r="GC29" s="1"/>
      <c r="GD29" s="1"/>
      <c r="GE29" s="1"/>
      <c r="GF29" s="1"/>
      <c r="GG29" s="1"/>
      <c r="GH29" s="1"/>
      <c r="GI29" s="15"/>
      <c r="GJ29" s="10"/>
      <c r="GK29" s="1"/>
      <c r="GL29" s="1"/>
      <c r="GM29" s="15"/>
      <c r="GN29" s="10"/>
      <c r="GO29" s="1"/>
      <c r="GP29" s="1"/>
      <c r="GQ29" s="15"/>
      <c r="GR29" s="10"/>
      <c r="GS29" s="6"/>
      <c r="GT29" s="29"/>
      <c r="GU29" s="30"/>
      <c r="GV29" s="30"/>
      <c r="GW29" s="45"/>
      <c r="GX29" s="46"/>
      <c r="GY29" s="30"/>
      <c r="GZ29" s="30"/>
      <c r="HA29" s="30"/>
      <c r="HB29" s="30"/>
      <c r="HC29" s="30"/>
      <c r="HD29" s="30"/>
      <c r="HE29" s="30"/>
      <c r="HF29" s="30"/>
      <c r="HG29" s="30"/>
      <c r="HH29" s="45"/>
      <c r="HI29" s="46"/>
      <c r="HJ29" s="30"/>
      <c r="HK29" s="30"/>
      <c r="HL29" s="45"/>
      <c r="HM29" s="46"/>
      <c r="HN29" s="30"/>
      <c r="HO29" s="30"/>
      <c r="HP29" s="45"/>
      <c r="HQ29" s="46"/>
      <c r="HR29" s="31"/>
      <c r="HS29" s="5"/>
      <c r="HT29" s="1"/>
      <c r="HU29" s="1"/>
      <c r="HV29" s="15"/>
      <c r="HW29" s="10"/>
      <c r="HX29" s="1"/>
      <c r="HY29" s="1"/>
      <c r="HZ29" s="1"/>
      <c r="IA29" s="1"/>
      <c r="IB29" s="1"/>
      <c r="IC29" s="1"/>
      <c r="ID29" s="1"/>
      <c r="IE29" s="1"/>
      <c r="IF29" s="1"/>
      <c r="IG29" s="15"/>
      <c r="IH29" s="10"/>
      <c r="II29" s="1"/>
      <c r="IJ29" s="1"/>
      <c r="IK29" s="15"/>
      <c r="IL29" s="10"/>
      <c r="IM29" s="1"/>
      <c r="IN29" s="1"/>
      <c r="IO29" s="15"/>
      <c r="IP29" s="10"/>
      <c r="IQ29" s="6"/>
    </row>
    <row r="30" spans="1:251" x14ac:dyDescent="0.25">
      <c r="A30" s="2">
        <v>3197</v>
      </c>
      <c r="B30" s="29"/>
      <c r="C30" s="30"/>
      <c r="D30" s="30"/>
      <c r="E30" s="45"/>
      <c r="F30" s="46"/>
      <c r="G30" s="30"/>
      <c r="H30" s="30"/>
      <c r="I30" s="30"/>
      <c r="J30" s="30"/>
      <c r="K30" s="30"/>
      <c r="L30" s="30"/>
      <c r="M30" s="30"/>
      <c r="N30" s="30"/>
      <c r="O30" s="30"/>
      <c r="P30" s="45"/>
      <c r="Q30" s="46"/>
      <c r="R30" s="30"/>
      <c r="S30" s="30"/>
      <c r="T30" s="45"/>
      <c r="U30" s="46"/>
      <c r="V30" s="30"/>
      <c r="W30" s="30"/>
      <c r="X30" s="45"/>
      <c r="Y30" s="46"/>
      <c r="Z30" s="31"/>
      <c r="AA30" s="5"/>
      <c r="AB30" s="1"/>
      <c r="AC30" s="1"/>
      <c r="AD30" s="15"/>
      <c r="AE30" s="10"/>
      <c r="AF30" s="1"/>
      <c r="AG30" s="1"/>
      <c r="AH30" s="1"/>
      <c r="AI30" s="1"/>
      <c r="AJ30" s="1"/>
      <c r="AK30" s="1"/>
      <c r="AL30" s="1"/>
      <c r="AM30" s="1"/>
      <c r="AN30" s="1"/>
      <c r="AO30" s="15"/>
      <c r="AP30" s="10"/>
      <c r="AQ30" s="1"/>
      <c r="AR30" s="1"/>
      <c r="AS30" s="15"/>
      <c r="AT30" s="10"/>
      <c r="AU30" s="1"/>
      <c r="AV30" s="1"/>
      <c r="AW30" s="15"/>
      <c r="AX30" s="10"/>
      <c r="AY30" s="6"/>
      <c r="AZ30" s="29"/>
      <c r="BA30" s="30"/>
      <c r="BB30" s="30"/>
      <c r="BC30" s="45"/>
      <c r="BD30" s="46"/>
      <c r="BE30" s="30"/>
      <c r="BF30" s="30"/>
      <c r="BG30" s="30"/>
      <c r="BH30" s="30"/>
      <c r="BI30" s="30"/>
      <c r="BJ30" s="30"/>
      <c r="BK30" s="30"/>
      <c r="BL30" s="30"/>
      <c r="BM30" s="30"/>
      <c r="BN30" s="45"/>
      <c r="BO30" s="46"/>
      <c r="BP30" s="30"/>
      <c r="BQ30" s="30"/>
      <c r="BR30" s="45"/>
      <c r="BS30" s="46"/>
      <c r="BT30" s="30"/>
      <c r="BU30" s="30"/>
      <c r="BV30" s="45"/>
      <c r="BW30" s="46"/>
      <c r="BX30" s="31"/>
      <c r="BY30" s="5"/>
      <c r="BZ30" s="1"/>
      <c r="CA30" s="1"/>
      <c r="CB30" s="15"/>
      <c r="CC30" s="10"/>
      <c r="CD30" s="1"/>
      <c r="CE30" s="1"/>
      <c r="CF30" s="1"/>
      <c r="CG30" s="1"/>
      <c r="CH30" s="1"/>
      <c r="CI30" s="1"/>
      <c r="CJ30" s="1"/>
      <c r="CK30" s="1"/>
      <c r="CL30" s="1"/>
      <c r="CM30" s="15"/>
      <c r="CN30" s="10"/>
      <c r="CO30" s="1"/>
      <c r="CP30" s="1"/>
      <c r="CQ30" s="15"/>
      <c r="CR30" s="10"/>
      <c r="CS30" s="1"/>
      <c r="CT30" s="1"/>
      <c r="CU30" s="15"/>
      <c r="CV30" s="10"/>
      <c r="CW30" s="6"/>
      <c r="CX30" s="29"/>
      <c r="CY30" s="30"/>
      <c r="CZ30" s="30"/>
      <c r="DA30" s="45"/>
      <c r="DB30" s="46"/>
      <c r="DC30" s="30"/>
      <c r="DD30" s="30"/>
      <c r="DE30" s="30"/>
      <c r="DF30" s="30"/>
      <c r="DG30" s="30"/>
      <c r="DH30" s="30"/>
      <c r="DI30" s="30"/>
      <c r="DJ30" s="30"/>
      <c r="DK30" s="30"/>
      <c r="DL30" s="45"/>
      <c r="DM30" s="46"/>
      <c r="DN30" s="30"/>
      <c r="DO30" s="30"/>
      <c r="DP30" s="45"/>
      <c r="DQ30" s="46"/>
      <c r="DR30" s="30"/>
      <c r="DS30" s="30"/>
      <c r="DT30" s="45"/>
      <c r="DU30" s="46"/>
      <c r="DV30" s="31"/>
      <c r="DW30" s="60"/>
      <c r="DX30" s="61"/>
      <c r="DY30" s="61"/>
      <c r="DZ30" s="62"/>
      <c r="EA30" s="63"/>
      <c r="EB30" s="61"/>
      <c r="EC30" s="61"/>
      <c r="ED30" s="61"/>
      <c r="EE30" s="61"/>
      <c r="EF30" s="61"/>
      <c r="EG30" s="61"/>
      <c r="EH30" s="61"/>
      <c r="EI30" s="61"/>
      <c r="EJ30" s="61"/>
      <c r="EK30" s="62"/>
      <c r="EL30" s="63"/>
      <c r="EM30" s="61"/>
      <c r="EN30" s="61"/>
      <c r="EO30" s="62"/>
      <c r="EP30" s="63"/>
      <c r="EQ30" s="61"/>
      <c r="ER30" s="61"/>
      <c r="ES30" s="62"/>
      <c r="ET30" s="63"/>
      <c r="EU30" s="64"/>
      <c r="EV30" s="29"/>
      <c r="EW30" s="30"/>
      <c r="EX30" s="30"/>
      <c r="EY30" s="45"/>
      <c r="EZ30" s="46"/>
      <c r="FA30" s="30"/>
      <c r="FB30" s="30"/>
      <c r="FC30" s="30"/>
      <c r="FD30" s="30"/>
      <c r="FE30" s="30"/>
      <c r="FF30" s="30"/>
      <c r="FG30" s="30"/>
      <c r="FH30" s="30"/>
      <c r="FI30" s="30"/>
      <c r="FJ30" s="45"/>
      <c r="FK30" s="46"/>
      <c r="FL30" s="30"/>
      <c r="FM30" s="30"/>
      <c r="FN30" s="45"/>
      <c r="FO30" s="46"/>
      <c r="FP30" s="30"/>
      <c r="FQ30" s="30"/>
      <c r="FR30" s="45"/>
      <c r="FS30" s="46"/>
      <c r="FT30" s="31"/>
      <c r="FU30" s="5"/>
      <c r="FV30" s="1"/>
      <c r="FW30" s="1"/>
      <c r="FX30" s="15"/>
      <c r="FY30" s="10"/>
      <c r="FZ30" s="1"/>
      <c r="GA30" s="1"/>
      <c r="GB30" s="1"/>
      <c r="GC30" s="1"/>
      <c r="GD30" s="1"/>
      <c r="GE30" s="1"/>
      <c r="GF30" s="1"/>
      <c r="GG30" s="1"/>
      <c r="GH30" s="1"/>
      <c r="GI30" s="15"/>
      <c r="GJ30" s="10"/>
      <c r="GK30" s="1"/>
      <c r="GL30" s="1"/>
      <c r="GM30" s="15"/>
      <c r="GN30" s="10"/>
      <c r="GO30" s="1"/>
      <c r="GP30" s="1"/>
      <c r="GQ30" s="15"/>
      <c r="GR30" s="10"/>
      <c r="GS30" s="6"/>
      <c r="GT30" s="29"/>
      <c r="GU30" s="30"/>
      <c r="GV30" s="30"/>
      <c r="GW30" s="45"/>
      <c r="GX30" s="46"/>
      <c r="GY30" s="30"/>
      <c r="GZ30" s="30"/>
      <c r="HA30" s="30"/>
      <c r="HB30" s="30"/>
      <c r="HC30" s="30"/>
      <c r="HD30" s="30"/>
      <c r="HE30" s="30"/>
      <c r="HF30" s="30"/>
      <c r="HG30" s="30"/>
      <c r="HH30" s="45"/>
      <c r="HI30" s="46"/>
      <c r="HJ30" s="30"/>
      <c r="HK30" s="30"/>
      <c r="HL30" s="45"/>
      <c r="HM30" s="46"/>
      <c r="HN30" s="30"/>
      <c r="HO30" s="30"/>
      <c r="HP30" s="45"/>
      <c r="HQ30" s="46"/>
      <c r="HR30" s="31"/>
      <c r="HS30" s="5"/>
      <c r="HT30" s="1"/>
      <c r="HU30" s="1"/>
      <c r="HV30" s="15"/>
      <c r="HW30" s="10"/>
      <c r="HX30" s="1"/>
      <c r="HY30" s="1"/>
      <c r="HZ30" s="1"/>
      <c r="IA30" s="1"/>
      <c r="IB30" s="1"/>
      <c r="IC30" s="1"/>
      <c r="ID30" s="1"/>
      <c r="IE30" s="1"/>
      <c r="IF30" s="1"/>
      <c r="IG30" s="15"/>
      <c r="IH30" s="10"/>
      <c r="II30" s="1"/>
      <c r="IJ30" s="1"/>
      <c r="IK30" s="15"/>
      <c r="IL30" s="10"/>
      <c r="IM30" s="1"/>
      <c r="IN30" s="1"/>
      <c r="IO30" s="15"/>
      <c r="IP30" s="10"/>
      <c r="IQ30" s="6"/>
    </row>
    <row r="31" spans="1:251" x14ac:dyDescent="0.25">
      <c r="A31" s="2">
        <v>3206</v>
      </c>
      <c r="B31" s="29"/>
      <c r="C31" s="30"/>
      <c r="D31" s="30"/>
      <c r="E31" s="45"/>
      <c r="F31" s="46"/>
      <c r="G31" s="30"/>
      <c r="H31" s="30"/>
      <c r="I31" s="30"/>
      <c r="J31" s="30"/>
      <c r="K31" s="30"/>
      <c r="L31" s="30"/>
      <c r="M31" s="30"/>
      <c r="N31" s="30"/>
      <c r="O31" s="30"/>
      <c r="P31" s="45"/>
      <c r="Q31" s="46"/>
      <c r="R31" s="30"/>
      <c r="S31" s="30"/>
      <c r="T31" s="45"/>
      <c r="U31" s="46"/>
      <c r="V31" s="30"/>
      <c r="W31" s="30"/>
      <c r="X31" s="45"/>
      <c r="Y31" s="46"/>
      <c r="Z31" s="31"/>
      <c r="AA31" s="5"/>
      <c r="AB31" s="1"/>
      <c r="AC31" s="1"/>
      <c r="AD31" s="15"/>
      <c r="AE31" s="10"/>
      <c r="AF31" s="1"/>
      <c r="AG31" s="1"/>
      <c r="AH31" s="1"/>
      <c r="AI31" s="1"/>
      <c r="AJ31" s="1"/>
      <c r="AK31" s="1"/>
      <c r="AL31" s="1"/>
      <c r="AM31" s="1"/>
      <c r="AN31" s="1"/>
      <c r="AO31" s="15"/>
      <c r="AP31" s="10"/>
      <c r="AQ31" s="1"/>
      <c r="AR31" s="1"/>
      <c r="AS31" s="15"/>
      <c r="AT31" s="10"/>
      <c r="AU31" s="1"/>
      <c r="AV31" s="1"/>
      <c r="AW31" s="15"/>
      <c r="AX31" s="10"/>
      <c r="AY31" s="6"/>
      <c r="AZ31" s="29"/>
      <c r="BA31" s="30"/>
      <c r="BB31" s="30"/>
      <c r="BC31" s="45"/>
      <c r="BD31" s="46"/>
      <c r="BE31" s="30"/>
      <c r="BF31" s="30"/>
      <c r="BG31" s="30"/>
      <c r="BH31" s="30"/>
      <c r="BI31" s="30"/>
      <c r="BJ31" s="30"/>
      <c r="BK31" s="30"/>
      <c r="BL31" s="30"/>
      <c r="BM31" s="30"/>
      <c r="BN31" s="45"/>
      <c r="BO31" s="46"/>
      <c r="BP31" s="30"/>
      <c r="BQ31" s="30"/>
      <c r="BR31" s="45"/>
      <c r="BS31" s="46"/>
      <c r="BT31" s="30"/>
      <c r="BU31" s="30"/>
      <c r="BV31" s="45"/>
      <c r="BW31" s="46"/>
      <c r="BX31" s="31"/>
      <c r="BY31" s="5"/>
      <c r="BZ31" s="1"/>
      <c r="CA31" s="1"/>
      <c r="CB31" s="15"/>
      <c r="CC31" s="10"/>
      <c r="CD31" s="1"/>
      <c r="CE31" s="1"/>
      <c r="CF31" s="1"/>
      <c r="CG31" s="1"/>
      <c r="CH31" s="1"/>
      <c r="CI31" s="1"/>
      <c r="CJ31" s="1"/>
      <c r="CK31" s="1"/>
      <c r="CL31" s="1"/>
      <c r="CM31" s="15"/>
      <c r="CN31" s="10"/>
      <c r="CO31" s="1"/>
      <c r="CP31" s="1"/>
      <c r="CQ31" s="15"/>
      <c r="CR31" s="10"/>
      <c r="CS31" s="1"/>
      <c r="CT31" s="1"/>
      <c r="CU31" s="15"/>
      <c r="CV31" s="10"/>
      <c r="CW31" s="6"/>
      <c r="CX31" s="29"/>
      <c r="CY31" s="30"/>
      <c r="CZ31" s="30"/>
      <c r="DA31" s="45"/>
      <c r="DB31" s="46"/>
      <c r="DC31" s="30"/>
      <c r="DD31" s="30"/>
      <c r="DE31" s="30"/>
      <c r="DF31" s="30"/>
      <c r="DG31" s="30"/>
      <c r="DH31" s="30"/>
      <c r="DI31" s="30"/>
      <c r="DJ31" s="30"/>
      <c r="DK31" s="30"/>
      <c r="DL31" s="45"/>
      <c r="DM31" s="46"/>
      <c r="DN31" s="30"/>
      <c r="DO31" s="30"/>
      <c r="DP31" s="45"/>
      <c r="DQ31" s="46"/>
      <c r="DR31" s="30"/>
      <c r="DS31" s="30"/>
      <c r="DT31" s="45"/>
      <c r="DU31" s="46"/>
      <c r="DV31" s="31"/>
      <c r="DW31" s="60"/>
      <c r="DX31" s="61"/>
      <c r="DY31" s="61"/>
      <c r="DZ31" s="62"/>
      <c r="EA31" s="63"/>
      <c r="EB31" s="61"/>
      <c r="EC31" s="61"/>
      <c r="ED31" s="61"/>
      <c r="EE31" s="61"/>
      <c r="EF31" s="61"/>
      <c r="EG31" s="61"/>
      <c r="EH31" s="61"/>
      <c r="EI31" s="61"/>
      <c r="EJ31" s="61"/>
      <c r="EK31" s="62"/>
      <c r="EL31" s="63"/>
      <c r="EM31" s="61"/>
      <c r="EN31" s="61"/>
      <c r="EO31" s="62"/>
      <c r="EP31" s="63"/>
      <c r="EQ31" s="61"/>
      <c r="ER31" s="61"/>
      <c r="ES31" s="62"/>
      <c r="ET31" s="63"/>
      <c r="EU31" s="64"/>
      <c r="EV31" s="29"/>
      <c r="EW31" s="30"/>
      <c r="EX31" s="30"/>
      <c r="EY31" s="45"/>
      <c r="EZ31" s="46"/>
      <c r="FA31" s="30"/>
      <c r="FB31" s="30"/>
      <c r="FC31" s="30"/>
      <c r="FD31" s="30"/>
      <c r="FE31" s="30"/>
      <c r="FF31" s="30"/>
      <c r="FG31" s="30"/>
      <c r="FH31" s="30"/>
      <c r="FI31" s="30"/>
      <c r="FJ31" s="45"/>
      <c r="FK31" s="46"/>
      <c r="FL31" s="30"/>
      <c r="FM31" s="30"/>
      <c r="FN31" s="45"/>
      <c r="FO31" s="46"/>
      <c r="FP31" s="30"/>
      <c r="FQ31" s="30"/>
      <c r="FR31" s="45"/>
      <c r="FS31" s="46"/>
      <c r="FT31" s="31"/>
      <c r="FU31" s="5"/>
      <c r="FV31" s="1"/>
      <c r="FW31" s="1"/>
      <c r="FX31" s="15"/>
      <c r="FY31" s="10"/>
      <c r="FZ31" s="1"/>
      <c r="GA31" s="1"/>
      <c r="GB31" s="1"/>
      <c r="GC31" s="1"/>
      <c r="GD31" s="1"/>
      <c r="GE31" s="1"/>
      <c r="GF31" s="1"/>
      <c r="GG31" s="1"/>
      <c r="GH31" s="1"/>
      <c r="GI31" s="15"/>
      <c r="GJ31" s="10"/>
      <c r="GK31" s="1"/>
      <c r="GL31" s="1"/>
      <c r="GM31" s="15"/>
      <c r="GN31" s="10"/>
      <c r="GO31" s="1"/>
      <c r="GP31" s="1"/>
      <c r="GQ31" s="15"/>
      <c r="GR31" s="10"/>
      <c r="GS31" s="6"/>
      <c r="GT31" s="29"/>
      <c r="GU31" s="30"/>
      <c r="GV31" s="30"/>
      <c r="GW31" s="45"/>
      <c r="GX31" s="46"/>
      <c r="GY31" s="30"/>
      <c r="GZ31" s="30"/>
      <c r="HA31" s="30"/>
      <c r="HB31" s="30"/>
      <c r="HC31" s="30"/>
      <c r="HD31" s="30"/>
      <c r="HE31" s="30"/>
      <c r="HF31" s="30"/>
      <c r="HG31" s="30"/>
      <c r="HH31" s="45"/>
      <c r="HI31" s="46"/>
      <c r="HJ31" s="30"/>
      <c r="HK31" s="30"/>
      <c r="HL31" s="45"/>
      <c r="HM31" s="46"/>
      <c r="HN31" s="30"/>
      <c r="HO31" s="30"/>
      <c r="HP31" s="45"/>
      <c r="HQ31" s="46"/>
      <c r="HR31" s="31"/>
      <c r="HS31" s="5"/>
      <c r="HT31" s="1"/>
      <c r="HU31" s="1"/>
      <c r="HV31" s="15"/>
      <c r="HW31" s="10"/>
      <c r="HX31" s="1"/>
      <c r="HY31" s="1"/>
      <c r="HZ31" s="1"/>
      <c r="IA31" s="1"/>
      <c r="IB31" s="1"/>
      <c r="IC31" s="1"/>
      <c r="ID31" s="1"/>
      <c r="IE31" s="1"/>
      <c r="IF31" s="1"/>
      <c r="IG31" s="15"/>
      <c r="IH31" s="10"/>
      <c r="II31" s="1"/>
      <c r="IJ31" s="1"/>
      <c r="IK31" s="15"/>
      <c r="IL31" s="10"/>
      <c r="IM31" s="1"/>
      <c r="IN31" s="1"/>
      <c r="IO31" s="15"/>
      <c r="IP31" s="10"/>
      <c r="IQ31" s="6"/>
    </row>
    <row r="32" spans="1:251" x14ac:dyDescent="0.25">
      <c r="A32" s="2">
        <v>3212</v>
      </c>
      <c r="B32" s="29"/>
      <c r="C32" s="30"/>
      <c r="D32" s="30"/>
      <c r="E32" s="45"/>
      <c r="F32" s="46"/>
      <c r="G32" s="30"/>
      <c r="H32" s="30"/>
      <c r="I32" s="30"/>
      <c r="J32" s="30"/>
      <c r="K32" s="30"/>
      <c r="L32" s="30"/>
      <c r="M32" s="30"/>
      <c r="N32" s="30"/>
      <c r="O32" s="30"/>
      <c r="P32" s="45"/>
      <c r="Q32" s="46"/>
      <c r="R32" s="30"/>
      <c r="S32" s="30"/>
      <c r="T32" s="45"/>
      <c r="U32" s="46"/>
      <c r="V32" s="30"/>
      <c r="W32" s="30"/>
      <c r="X32" s="45"/>
      <c r="Y32" s="46"/>
      <c r="Z32" s="31"/>
      <c r="AA32" s="5"/>
      <c r="AB32" s="1"/>
      <c r="AC32" s="1"/>
      <c r="AD32" s="15"/>
      <c r="AE32" s="10"/>
      <c r="AF32" s="1"/>
      <c r="AG32" s="1"/>
      <c r="AH32" s="1"/>
      <c r="AI32" s="1"/>
      <c r="AJ32" s="1"/>
      <c r="AK32" s="1"/>
      <c r="AL32" s="1"/>
      <c r="AM32" s="1"/>
      <c r="AN32" s="1"/>
      <c r="AO32" s="15"/>
      <c r="AP32" s="10"/>
      <c r="AQ32" s="1"/>
      <c r="AR32" s="1"/>
      <c r="AS32" s="15"/>
      <c r="AT32" s="10"/>
      <c r="AU32" s="1"/>
      <c r="AV32" s="1"/>
      <c r="AW32" s="15"/>
      <c r="AX32" s="10"/>
      <c r="AY32" s="6"/>
      <c r="AZ32" s="29"/>
      <c r="BA32" s="30"/>
      <c r="BB32" s="30"/>
      <c r="BC32" s="45"/>
      <c r="BD32" s="46"/>
      <c r="BE32" s="30"/>
      <c r="BF32" s="30"/>
      <c r="BG32" s="30"/>
      <c r="BH32" s="30"/>
      <c r="BI32" s="30"/>
      <c r="BJ32" s="30"/>
      <c r="BK32" s="30"/>
      <c r="BL32" s="30"/>
      <c r="BM32" s="30"/>
      <c r="BN32" s="45"/>
      <c r="BO32" s="46"/>
      <c r="BP32" s="30"/>
      <c r="BQ32" s="30"/>
      <c r="BR32" s="45"/>
      <c r="BS32" s="46"/>
      <c r="BT32" s="30"/>
      <c r="BU32" s="30"/>
      <c r="BV32" s="45"/>
      <c r="BW32" s="46"/>
      <c r="BX32" s="31"/>
      <c r="BY32" s="5"/>
      <c r="BZ32" s="1"/>
      <c r="CA32" s="1"/>
      <c r="CB32" s="15"/>
      <c r="CC32" s="10"/>
      <c r="CD32" s="1"/>
      <c r="CE32" s="1"/>
      <c r="CF32" s="1"/>
      <c r="CG32" s="1"/>
      <c r="CH32" s="1"/>
      <c r="CI32" s="1"/>
      <c r="CJ32" s="1"/>
      <c r="CK32" s="1"/>
      <c r="CL32" s="1"/>
      <c r="CM32" s="15"/>
      <c r="CN32" s="10"/>
      <c r="CO32" s="1"/>
      <c r="CP32" s="1"/>
      <c r="CQ32" s="15"/>
      <c r="CR32" s="10"/>
      <c r="CS32" s="1"/>
      <c r="CT32" s="1"/>
      <c r="CU32" s="15"/>
      <c r="CV32" s="10"/>
      <c r="CW32" s="6"/>
      <c r="CX32" s="29"/>
      <c r="CY32" s="30"/>
      <c r="CZ32" s="30"/>
      <c r="DA32" s="45"/>
      <c r="DB32" s="46"/>
      <c r="DC32" s="30"/>
      <c r="DD32" s="30"/>
      <c r="DE32" s="30"/>
      <c r="DF32" s="30"/>
      <c r="DG32" s="30"/>
      <c r="DH32" s="30"/>
      <c r="DI32" s="30"/>
      <c r="DJ32" s="30"/>
      <c r="DK32" s="30"/>
      <c r="DL32" s="45"/>
      <c r="DM32" s="46"/>
      <c r="DN32" s="30"/>
      <c r="DO32" s="30"/>
      <c r="DP32" s="45"/>
      <c r="DQ32" s="46"/>
      <c r="DR32" s="30"/>
      <c r="DS32" s="30"/>
      <c r="DT32" s="45"/>
      <c r="DU32" s="46"/>
      <c r="DV32" s="31"/>
      <c r="DW32" s="60"/>
      <c r="DX32" s="61"/>
      <c r="DY32" s="61"/>
      <c r="DZ32" s="62"/>
      <c r="EA32" s="63"/>
      <c r="EB32" s="61"/>
      <c r="EC32" s="61"/>
      <c r="ED32" s="61"/>
      <c r="EE32" s="61"/>
      <c r="EF32" s="61"/>
      <c r="EG32" s="61"/>
      <c r="EH32" s="61"/>
      <c r="EI32" s="61"/>
      <c r="EJ32" s="61"/>
      <c r="EK32" s="62"/>
      <c r="EL32" s="63"/>
      <c r="EM32" s="61"/>
      <c r="EN32" s="61"/>
      <c r="EO32" s="62"/>
      <c r="EP32" s="63"/>
      <c r="EQ32" s="61"/>
      <c r="ER32" s="61"/>
      <c r="ES32" s="62"/>
      <c r="ET32" s="63"/>
      <c r="EU32" s="64"/>
      <c r="EV32" s="29"/>
      <c r="EW32" s="30"/>
      <c r="EX32" s="30"/>
      <c r="EY32" s="45"/>
      <c r="EZ32" s="46"/>
      <c r="FA32" s="30"/>
      <c r="FB32" s="30"/>
      <c r="FC32" s="30"/>
      <c r="FD32" s="30"/>
      <c r="FE32" s="30"/>
      <c r="FF32" s="30"/>
      <c r="FG32" s="30"/>
      <c r="FH32" s="30"/>
      <c r="FI32" s="30"/>
      <c r="FJ32" s="45"/>
      <c r="FK32" s="46"/>
      <c r="FL32" s="30"/>
      <c r="FM32" s="30"/>
      <c r="FN32" s="45"/>
      <c r="FO32" s="46"/>
      <c r="FP32" s="30"/>
      <c r="FQ32" s="30"/>
      <c r="FR32" s="45"/>
      <c r="FS32" s="46"/>
      <c r="FT32" s="31"/>
      <c r="FU32" s="5"/>
      <c r="FV32" s="1"/>
      <c r="FW32" s="1"/>
      <c r="FX32" s="15"/>
      <c r="FY32" s="10"/>
      <c r="FZ32" s="1"/>
      <c r="GA32" s="1"/>
      <c r="GB32" s="1"/>
      <c r="GC32" s="1"/>
      <c r="GD32" s="1"/>
      <c r="GE32" s="1"/>
      <c r="GF32" s="1"/>
      <c r="GG32" s="1"/>
      <c r="GH32" s="1"/>
      <c r="GI32" s="15"/>
      <c r="GJ32" s="10"/>
      <c r="GK32" s="1"/>
      <c r="GL32" s="1"/>
      <c r="GM32" s="15"/>
      <c r="GN32" s="10"/>
      <c r="GO32" s="1"/>
      <c r="GP32" s="1"/>
      <c r="GQ32" s="15"/>
      <c r="GR32" s="10"/>
      <c r="GS32" s="6"/>
      <c r="GT32" s="29"/>
      <c r="GU32" s="30"/>
      <c r="GV32" s="30"/>
      <c r="GW32" s="45"/>
      <c r="GX32" s="46"/>
      <c r="GY32" s="30"/>
      <c r="GZ32" s="30"/>
      <c r="HA32" s="30"/>
      <c r="HB32" s="30"/>
      <c r="HC32" s="30"/>
      <c r="HD32" s="30"/>
      <c r="HE32" s="30"/>
      <c r="HF32" s="30"/>
      <c r="HG32" s="30"/>
      <c r="HH32" s="45"/>
      <c r="HI32" s="46"/>
      <c r="HJ32" s="30"/>
      <c r="HK32" s="30"/>
      <c r="HL32" s="45"/>
      <c r="HM32" s="46"/>
      <c r="HN32" s="30"/>
      <c r="HO32" s="30"/>
      <c r="HP32" s="45"/>
      <c r="HQ32" s="46"/>
      <c r="HR32" s="31"/>
      <c r="HS32" s="5"/>
      <c r="HT32" s="1"/>
      <c r="HU32" s="1"/>
      <c r="HV32" s="15"/>
      <c r="HW32" s="10"/>
      <c r="HX32" s="1"/>
      <c r="HY32" s="1"/>
      <c r="HZ32" s="1"/>
      <c r="IA32" s="1"/>
      <c r="IB32" s="1"/>
      <c r="IC32" s="1"/>
      <c r="ID32" s="1"/>
      <c r="IE32" s="1"/>
      <c r="IF32" s="1"/>
      <c r="IG32" s="15"/>
      <c r="IH32" s="10"/>
      <c r="II32" s="1"/>
      <c r="IJ32" s="1"/>
      <c r="IK32" s="15"/>
      <c r="IL32" s="10"/>
      <c r="IM32" s="1"/>
      <c r="IN32" s="1"/>
      <c r="IO32" s="15"/>
      <c r="IP32" s="10"/>
      <c r="IQ32" s="6"/>
    </row>
    <row r="33" spans="1:251" x14ac:dyDescent="0.25">
      <c r="A33" s="2">
        <v>3267</v>
      </c>
      <c r="B33" s="29"/>
      <c r="C33" s="30"/>
      <c r="D33" s="30"/>
      <c r="E33" s="45"/>
      <c r="F33" s="46"/>
      <c r="G33" s="30"/>
      <c r="H33" s="30"/>
      <c r="I33" s="30"/>
      <c r="J33" s="30"/>
      <c r="K33" s="30"/>
      <c r="L33" s="30"/>
      <c r="M33" s="30"/>
      <c r="N33" s="30"/>
      <c r="O33" s="30"/>
      <c r="P33" s="45"/>
      <c r="Q33" s="46"/>
      <c r="R33" s="30"/>
      <c r="S33" s="30"/>
      <c r="T33" s="45"/>
      <c r="U33" s="46"/>
      <c r="V33" s="30"/>
      <c r="W33" s="30"/>
      <c r="X33" s="45"/>
      <c r="Y33" s="46"/>
      <c r="Z33" s="31"/>
      <c r="AA33" s="5"/>
      <c r="AB33" s="1"/>
      <c r="AC33" s="1"/>
      <c r="AD33" s="15"/>
      <c r="AE33" s="10"/>
      <c r="AF33" s="1"/>
      <c r="AG33" s="1"/>
      <c r="AH33" s="1"/>
      <c r="AI33" s="1"/>
      <c r="AJ33" s="1"/>
      <c r="AK33" s="1"/>
      <c r="AL33" s="1"/>
      <c r="AM33" s="1"/>
      <c r="AN33" s="1"/>
      <c r="AO33" s="15"/>
      <c r="AP33" s="10"/>
      <c r="AQ33" s="1"/>
      <c r="AR33" s="1"/>
      <c r="AS33" s="15"/>
      <c r="AT33" s="10"/>
      <c r="AU33" s="1"/>
      <c r="AV33" s="1"/>
      <c r="AW33" s="15"/>
      <c r="AX33" s="10"/>
      <c r="AY33" s="6"/>
      <c r="AZ33" s="29"/>
      <c r="BA33" s="30"/>
      <c r="BB33" s="30"/>
      <c r="BC33" s="45"/>
      <c r="BD33" s="46"/>
      <c r="BE33" s="30"/>
      <c r="BF33" s="30"/>
      <c r="BG33" s="30"/>
      <c r="BH33" s="30"/>
      <c r="BI33" s="30"/>
      <c r="BJ33" s="30"/>
      <c r="BK33" s="30"/>
      <c r="BL33" s="30"/>
      <c r="BM33" s="30"/>
      <c r="BN33" s="45"/>
      <c r="BO33" s="46"/>
      <c r="BP33" s="30"/>
      <c r="BQ33" s="30"/>
      <c r="BR33" s="45"/>
      <c r="BS33" s="46"/>
      <c r="BT33" s="30"/>
      <c r="BU33" s="30"/>
      <c r="BV33" s="45"/>
      <c r="BW33" s="46"/>
      <c r="BX33" s="31"/>
      <c r="BY33" s="5"/>
      <c r="BZ33" s="1"/>
      <c r="CA33" s="1"/>
      <c r="CB33" s="15"/>
      <c r="CC33" s="10"/>
      <c r="CD33" s="1"/>
      <c r="CE33" s="1"/>
      <c r="CF33" s="1"/>
      <c r="CG33" s="1"/>
      <c r="CH33" s="1"/>
      <c r="CI33" s="1"/>
      <c r="CJ33" s="1"/>
      <c r="CK33" s="1"/>
      <c r="CL33" s="1"/>
      <c r="CM33" s="15"/>
      <c r="CN33" s="10"/>
      <c r="CO33" s="1"/>
      <c r="CP33" s="1"/>
      <c r="CQ33" s="15"/>
      <c r="CR33" s="10"/>
      <c r="CS33" s="1"/>
      <c r="CT33" s="1"/>
      <c r="CU33" s="15"/>
      <c r="CV33" s="10"/>
      <c r="CW33" s="6"/>
      <c r="CX33" s="29"/>
      <c r="CY33" s="30"/>
      <c r="CZ33" s="30"/>
      <c r="DA33" s="45"/>
      <c r="DB33" s="46"/>
      <c r="DC33" s="30"/>
      <c r="DD33" s="30"/>
      <c r="DE33" s="30"/>
      <c r="DF33" s="30"/>
      <c r="DG33" s="30"/>
      <c r="DH33" s="30"/>
      <c r="DI33" s="30"/>
      <c r="DJ33" s="30"/>
      <c r="DK33" s="30"/>
      <c r="DL33" s="45"/>
      <c r="DM33" s="46"/>
      <c r="DN33" s="30"/>
      <c r="DO33" s="30"/>
      <c r="DP33" s="45"/>
      <c r="DQ33" s="46"/>
      <c r="DR33" s="30"/>
      <c r="DS33" s="30"/>
      <c r="DT33" s="45"/>
      <c r="DU33" s="46"/>
      <c r="DV33" s="31"/>
      <c r="DW33" s="60"/>
      <c r="DX33" s="61"/>
      <c r="DY33" s="61"/>
      <c r="DZ33" s="62"/>
      <c r="EA33" s="63"/>
      <c r="EB33" s="61"/>
      <c r="EC33" s="61"/>
      <c r="ED33" s="61"/>
      <c r="EE33" s="61"/>
      <c r="EF33" s="61"/>
      <c r="EG33" s="61"/>
      <c r="EH33" s="61"/>
      <c r="EI33" s="61"/>
      <c r="EJ33" s="61"/>
      <c r="EK33" s="62"/>
      <c r="EL33" s="63"/>
      <c r="EM33" s="61"/>
      <c r="EN33" s="61"/>
      <c r="EO33" s="62"/>
      <c r="EP33" s="63"/>
      <c r="EQ33" s="61"/>
      <c r="ER33" s="61"/>
      <c r="ES33" s="62"/>
      <c r="ET33" s="63"/>
      <c r="EU33" s="64"/>
      <c r="EV33" s="29"/>
      <c r="EW33" s="30"/>
      <c r="EX33" s="30"/>
      <c r="EY33" s="45"/>
      <c r="EZ33" s="46"/>
      <c r="FA33" s="30"/>
      <c r="FB33" s="30"/>
      <c r="FC33" s="30"/>
      <c r="FD33" s="30"/>
      <c r="FE33" s="30"/>
      <c r="FF33" s="30"/>
      <c r="FG33" s="30"/>
      <c r="FH33" s="30"/>
      <c r="FI33" s="30"/>
      <c r="FJ33" s="45"/>
      <c r="FK33" s="46"/>
      <c r="FL33" s="30"/>
      <c r="FM33" s="30"/>
      <c r="FN33" s="45"/>
      <c r="FO33" s="46"/>
      <c r="FP33" s="30"/>
      <c r="FQ33" s="30"/>
      <c r="FR33" s="45"/>
      <c r="FS33" s="46"/>
      <c r="FT33" s="31"/>
      <c r="FU33" s="5"/>
      <c r="FV33" s="1"/>
      <c r="FW33" s="1"/>
      <c r="FX33" s="15"/>
      <c r="FY33" s="10"/>
      <c r="FZ33" s="1"/>
      <c r="GA33" s="1"/>
      <c r="GB33" s="1"/>
      <c r="GC33" s="1"/>
      <c r="GD33" s="1"/>
      <c r="GE33" s="1"/>
      <c r="GF33" s="1"/>
      <c r="GG33" s="1"/>
      <c r="GH33" s="1"/>
      <c r="GI33" s="15"/>
      <c r="GJ33" s="10"/>
      <c r="GK33" s="1"/>
      <c r="GL33" s="1"/>
      <c r="GM33" s="15"/>
      <c r="GN33" s="10"/>
      <c r="GO33" s="1"/>
      <c r="GP33" s="1"/>
      <c r="GQ33" s="15"/>
      <c r="GR33" s="10"/>
      <c r="GS33" s="6"/>
      <c r="GT33" s="29"/>
      <c r="GU33" s="30"/>
      <c r="GV33" s="30"/>
      <c r="GW33" s="45"/>
      <c r="GX33" s="46"/>
      <c r="GY33" s="30"/>
      <c r="GZ33" s="30"/>
      <c r="HA33" s="30"/>
      <c r="HB33" s="30"/>
      <c r="HC33" s="30"/>
      <c r="HD33" s="30"/>
      <c r="HE33" s="30"/>
      <c r="HF33" s="30"/>
      <c r="HG33" s="30"/>
      <c r="HH33" s="45"/>
      <c r="HI33" s="46"/>
      <c r="HJ33" s="30"/>
      <c r="HK33" s="30"/>
      <c r="HL33" s="45"/>
      <c r="HM33" s="46"/>
      <c r="HN33" s="30"/>
      <c r="HO33" s="30"/>
      <c r="HP33" s="45"/>
      <c r="HQ33" s="46"/>
      <c r="HR33" s="31"/>
      <c r="HS33" s="5"/>
      <c r="HT33" s="1"/>
      <c r="HU33" s="1"/>
      <c r="HV33" s="15"/>
      <c r="HW33" s="10"/>
      <c r="HX33" s="1"/>
      <c r="HY33" s="1"/>
      <c r="HZ33" s="1"/>
      <c r="IA33" s="1"/>
      <c r="IB33" s="1"/>
      <c r="IC33" s="1"/>
      <c r="ID33" s="1"/>
      <c r="IE33" s="1"/>
      <c r="IF33" s="1"/>
      <c r="IG33" s="15"/>
      <c r="IH33" s="10"/>
      <c r="II33" s="1"/>
      <c r="IJ33" s="1"/>
      <c r="IK33" s="15"/>
      <c r="IL33" s="10"/>
      <c r="IM33" s="1"/>
      <c r="IN33" s="1"/>
      <c r="IO33" s="15"/>
      <c r="IP33" s="10"/>
      <c r="IQ33" s="6"/>
    </row>
    <row r="34" spans="1:251" x14ac:dyDescent="0.25">
      <c r="A34" s="2">
        <v>3298</v>
      </c>
      <c r="B34" s="29"/>
      <c r="C34" s="30"/>
      <c r="D34" s="30"/>
      <c r="E34" s="45"/>
      <c r="F34" s="46"/>
      <c r="G34" s="30"/>
      <c r="H34" s="30"/>
      <c r="I34" s="30"/>
      <c r="J34" s="30"/>
      <c r="K34" s="30"/>
      <c r="L34" s="30"/>
      <c r="M34" s="30"/>
      <c r="N34" s="30"/>
      <c r="O34" s="30"/>
      <c r="P34" s="45"/>
      <c r="Q34" s="46"/>
      <c r="R34" s="30"/>
      <c r="S34" s="30"/>
      <c r="T34" s="45"/>
      <c r="U34" s="46"/>
      <c r="V34" s="30"/>
      <c r="W34" s="30"/>
      <c r="X34" s="45"/>
      <c r="Y34" s="46"/>
      <c r="Z34" s="31"/>
      <c r="AA34" s="5"/>
      <c r="AB34" s="1"/>
      <c r="AC34" s="1"/>
      <c r="AD34" s="15"/>
      <c r="AE34" s="10"/>
      <c r="AF34" s="1"/>
      <c r="AG34" s="1"/>
      <c r="AH34" s="1"/>
      <c r="AI34" s="1"/>
      <c r="AJ34" s="1"/>
      <c r="AK34" s="1"/>
      <c r="AL34" s="1"/>
      <c r="AM34" s="1"/>
      <c r="AN34" s="1"/>
      <c r="AO34" s="15"/>
      <c r="AP34" s="10"/>
      <c r="AQ34" s="1"/>
      <c r="AR34" s="1"/>
      <c r="AS34" s="15"/>
      <c r="AT34" s="10"/>
      <c r="AU34" s="1"/>
      <c r="AV34" s="1"/>
      <c r="AW34" s="15"/>
      <c r="AX34" s="10"/>
      <c r="AY34" s="6"/>
      <c r="AZ34" s="29"/>
      <c r="BA34" s="30"/>
      <c r="BB34" s="30"/>
      <c r="BC34" s="45"/>
      <c r="BD34" s="46"/>
      <c r="BE34" s="30"/>
      <c r="BF34" s="30"/>
      <c r="BG34" s="30"/>
      <c r="BH34" s="30"/>
      <c r="BI34" s="30"/>
      <c r="BJ34" s="30"/>
      <c r="BK34" s="30"/>
      <c r="BL34" s="30"/>
      <c r="BM34" s="30"/>
      <c r="BN34" s="45"/>
      <c r="BO34" s="46"/>
      <c r="BP34" s="30"/>
      <c r="BQ34" s="30"/>
      <c r="BR34" s="45"/>
      <c r="BS34" s="46"/>
      <c r="BT34" s="30"/>
      <c r="BU34" s="30"/>
      <c r="BV34" s="45"/>
      <c r="BW34" s="46"/>
      <c r="BX34" s="31"/>
      <c r="BY34" s="5"/>
      <c r="BZ34" s="1"/>
      <c r="CA34" s="1"/>
      <c r="CB34" s="15"/>
      <c r="CC34" s="10"/>
      <c r="CD34" s="1"/>
      <c r="CE34" s="1"/>
      <c r="CF34" s="1"/>
      <c r="CG34" s="1"/>
      <c r="CH34" s="1"/>
      <c r="CI34" s="1"/>
      <c r="CJ34" s="1"/>
      <c r="CK34" s="1"/>
      <c r="CL34" s="1"/>
      <c r="CM34" s="15"/>
      <c r="CN34" s="10"/>
      <c r="CO34" s="1"/>
      <c r="CP34" s="1"/>
      <c r="CQ34" s="15"/>
      <c r="CR34" s="10"/>
      <c r="CS34" s="1"/>
      <c r="CT34" s="1"/>
      <c r="CU34" s="15"/>
      <c r="CV34" s="10"/>
      <c r="CW34" s="6"/>
      <c r="CX34" s="29"/>
      <c r="CY34" s="30"/>
      <c r="CZ34" s="30"/>
      <c r="DA34" s="45"/>
      <c r="DB34" s="46"/>
      <c r="DC34" s="30"/>
      <c r="DD34" s="30"/>
      <c r="DE34" s="30"/>
      <c r="DF34" s="30"/>
      <c r="DG34" s="30"/>
      <c r="DH34" s="30"/>
      <c r="DI34" s="30"/>
      <c r="DJ34" s="30"/>
      <c r="DK34" s="30"/>
      <c r="DL34" s="45"/>
      <c r="DM34" s="46"/>
      <c r="DN34" s="30"/>
      <c r="DO34" s="30"/>
      <c r="DP34" s="45"/>
      <c r="DQ34" s="46"/>
      <c r="DR34" s="30"/>
      <c r="DS34" s="30"/>
      <c r="DT34" s="45"/>
      <c r="DU34" s="46"/>
      <c r="DV34" s="31"/>
      <c r="DW34" s="60"/>
      <c r="DX34" s="61"/>
      <c r="DY34" s="61"/>
      <c r="DZ34" s="62"/>
      <c r="EA34" s="63"/>
      <c r="EB34" s="61"/>
      <c r="EC34" s="61"/>
      <c r="ED34" s="61"/>
      <c r="EE34" s="61"/>
      <c r="EF34" s="61"/>
      <c r="EG34" s="61"/>
      <c r="EH34" s="61"/>
      <c r="EI34" s="61"/>
      <c r="EJ34" s="61"/>
      <c r="EK34" s="62"/>
      <c r="EL34" s="63"/>
      <c r="EM34" s="61"/>
      <c r="EN34" s="61"/>
      <c r="EO34" s="62"/>
      <c r="EP34" s="63"/>
      <c r="EQ34" s="61"/>
      <c r="ER34" s="61"/>
      <c r="ES34" s="62"/>
      <c r="ET34" s="63"/>
      <c r="EU34" s="64"/>
      <c r="EV34" s="29"/>
      <c r="EW34" s="30"/>
      <c r="EX34" s="30"/>
      <c r="EY34" s="45"/>
      <c r="EZ34" s="46"/>
      <c r="FA34" s="30"/>
      <c r="FB34" s="30"/>
      <c r="FC34" s="30"/>
      <c r="FD34" s="30"/>
      <c r="FE34" s="30"/>
      <c r="FF34" s="30"/>
      <c r="FG34" s="30"/>
      <c r="FH34" s="30"/>
      <c r="FI34" s="30"/>
      <c r="FJ34" s="45"/>
      <c r="FK34" s="46"/>
      <c r="FL34" s="30"/>
      <c r="FM34" s="30"/>
      <c r="FN34" s="45"/>
      <c r="FO34" s="46"/>
      <c r="FP34" s="30"/>
      <c r="FQ34" s="30"/>
      <c r="FR34" s="45"/>
      <c r="FS34" s="46"/>
      <c r="FT34" s="31"/>
      <c r="FU34" s="5"/>
      <c r="FV34" s="1"/>
      <c r="FW34" s="1"/>
      <c r="FX34" s="15"/>
      <c r="FY34" s="10"/>
      <c r="FZ34" s="1"/>
      <c r="GA34" s="1"/>
      <c r="GB34" s="1"/>
      <c r="GC34" s="1"/>
      <c r="GD34" s="1"/>
      <c r="GE34" s="1"/>
      <c r="GF34" s="1"/>
      <c r="GG34" s="1"/>
      <c r="GH34" s="1"/>
      <c r="GI34" s="15"/>
      <c r="GJ34" s="10"/>
      <c r="GK34" s="1"/>
      <c r="GL34" s="1"/>
      <c r="GM34" s="15"/>
      <c r="GN34" s="10"/>
      <c r="GO34" s="1"/>
      <c r="GP34" s="1"/>
      <c r="GQ34" s="15"/>
      <c r="GR34" s="10"/>
      <c r="GS34" s="6"/>
      <c r="GT34" s="29"/>
      <c r="GU34" s="30"/>
      <c r="GV34" s="30"/>
      <c r="GW34" s="45"/>
      <c r="GX34" s="46"/>
      <c r="GY34" s="30"/>
      <c r="GZ34" s="30"/>
      <c r="HA34" s="30"/>
      <c r="HB34" s="30"/>
      <c r="HC34" s="30"/>
      <c r="HD34" s="30"/>
      <c r="HE34" s="30"/>
      <c r="HF34" s="30"/>
      <c r="HG34" s="30"/>
      <c r="HH34" s="45"/>
      <c r="HI34" s="46"/>
      <c r="HJ34" s="30"/>
      <c r="HK34" s="30"/>
      <c r="HL34" s="45"/>
      <c r="HM34" s="46"/>
      <c r="HN34" s="30"/>
      <c r="HO34" s="30"/>
      <c r="HP34" s="45"/>
      <c r="HQ34" s="46"/>
      <c r="HR34" s="31"/>
      <c r="HS34" s="5"/>
      <c r="HT34" s="1"/>
      <c r="HU34" s="1"/>
      <c r="HV34" s="15"/>
      <c r="HW34" s="10"/>
      <c r="HX34" s="1"/>
      <c r="HY34" s="1"/>
      <c r="HZ34" s="1"/>
      <c r="IA34" s="1"/>
      <c r="IB34" s="1"/>
      <c r="IC34" s="1"/>
      <c r="ID34" s="1"/>
      <c r="IE34" s="1"/>
      <c r="IF34" s="1"/>
      <c r="IG34" s="15"/>
      <c r="IH34" s="10"/>
      <c r="II34" s="1"/>
      <c r="IJ34" s="1"/>
      <c r="IK34" s="15"/>
      <c r="IL34" s="10"/>
      <c r="IM34" s="1"/>
      <c r="IN34" s="1"/>
      <c r="IO34" s="15"/>
      <c r="IP34" s="10"/>
      <c r="IQ34" s="6"/>
    </row>
    <row r="35" spans="1:251" x14ac:dyDescent="0.25">
      <c r="A35" s="2">
        <v>3381</v>
      </c>
      <c r="B35" s="29"/>
      <c r="C35" s="30"/>
      <c r="D35" s="30"/>
      <c r="E35" s="45"/>
      <c r="F35" s="46"/>
      <c r="G35" s="30"/>
      <c r="H35" s="30"/>
      <c r="I35" s="30"/>
      <c r="J35" s="30"/>
      <c r="K35" s="30"/>
      <c r="L35" s="30"/>
      <c r="M35" s="30"/>
      <c r="N35" s="30"/>
      <c r="O35" s="30"/>
      <c r="P35" s="45"/>
      <c r="Q35" s="46"/>
      <c r="R35" s="30"/>
      <c r="S35" s="30"/>
      <c r="T35" s="47"/>
      <c r="U35" s="46"/>
      <c r="V35" s="30"/>
      <c r="W35" s="30"/>
      <c r="X35" s="45"/>
      <c r="Y35" s="46"/>
      <c r="Z35" s="31"/>
      <c r="AA35" s="5"/>
      <c r="AB35" s="1"/>
      <c r="AC35" s="1"/>
      <c r="AD35" s="15"/>
      <c r="AE35" s="10"/>
      <c r="AF35" s="1"/>
      <c r="AG35" s="1"/>
      <c r="AH35" s="1"/>
      <c r="AI35" s="1"/>
      <c r="AJ35" s="1"/>
      <c r="AK35" s="1"/>
      <c r="AL35" s="1"/>
      <c r="AM35" s="1"/>
      <c r="AN35" s="1"/>
      <c r="AO35" s="15"/>
      <c r="AP35" s="10"/>
      <c r="AQ35" s="1"/>
      <c r="AR35" s="1"/>
      <c r="AS35" s="13"/>
      <c r="AT35" s="10"/>
      <c r="AU35" s="1"/>
      <c r="AV35" s="1"/>
      <c r="AW35" s="15"/>
      <c r="AX35" s="10"/>
      <c r="AY35" s="6"/>
      <c r="AZ35" s="29"/>
      <c r="BA35" s="30"/>
      <c r="BB35" s="30"/>
      <c r="BC35" s="45"/>
      <c r="BD35" s="46"/>
      <c r="BE35" s="30"/>
      <c r="BF35" s="30"/>
      <c r="BG35" s="30"/>
      <c r="BH35" s="30"/>
      <c r="BI35" s="30"/>
      <c r="BJ35" s="30"/>
      <c r="BK35" s="30"/>
      <c r="BL35" s="30"/>
      <c r="BM35" s="30"/>
      <c r="BN35" s="45"/>
      <c r="BO35" s="46"/>
      <c r="BP35" s="30"/>
      <c r="BQ35" s="30"/>
      <c r="BR35" s="47"/>
      <c r="BS35" s="46"/>
      <c r="BT35" s="30"/>
      <c r="BU35" s="30"/>
      <c r="BV35" s="45"/>
      <c r="BW35" s="46"/>
      <c r="BX35" s="31"/>
      <c r="BY35" s="5"/>
      <c r="BZ35" s="1"/>
      <c r="CA35" s="1"/>
      <c r="CB35" s="15"/>
      <c r="CC35" s="10"/>
      <c r="CD35" s="1"/>
      <c r="CE35" s="1"/>
      <c r="CF35" s="1"/>
      <c r="CG35" s="1"/>
      <c r="CH35" s="1"/>
      <c r="CI35" s="1"/>
      <c r="CJ35" s="1"/>
      <c r="CK35" s="1"/>
      <c r="CL35" s="1"/>
      <c r="CM35" s="15"/>
      <c r="CN35" s="10"/>
      <c r="CO35" s="1"/>
      <c r="CP35" s="1"/>
      <c r="CQ35" s="13"/>
      <c r="CR35" s="10"/>
      <c r="CS35" s="1"/>
      <c r="CT35" s="1"/>
      <c r="CU35" s="15"/>
      <c r="CV35" s="10"/>
      <c r="CW35" s="6"/>
      <c r="CX35" s="29"/>
      <c r="CY35" s="30"/>
      <c r="CZ35" s="30"/>
      <c r="DA35" s="45"/>
      <c r="DB35" s="46"/>
      <c r="DC35" s="30"/>
      <c r="DD35" s="30"/>
      <c r="DE35" s="30"/>
      <c r="DF35" s="30"/>
      <c r="DG35" s="30"/>
      <c r="DH35" s="30"/>
      <c r="DI35" s="30"/>
      <c r="DJ35" s="30"/>
      <c r="DK35" s="30"/>
      <c r="DL35" s="45"/>
      <c r="DM35" s="46"/>
      <c r="DN35" s="30"/>
      <c r="DO35" s="30"/>
      <c r="DP35" s="47"/>
      <c r="DQ35" s="46"/>
      <c r="DR35" s="30"/>
      <c r="DS35" s="30"/>
      <c r="DT35" s="45"/>
      <c r="DU35" s="46"/>
      <c r="DV35" s="31"/>
      <c r="DW35" s="60"/>
      <c r="DX35" s="61"/>
      <c r="DY35" s="61"/>
      <c r="DZ35" s="62"/>
      <c r="EA35" s="63"/>
      <c r="EB35" s="61"/>
      <c r="EC35" s="61"/>
      <c r="ED35" s="61"/>
      <c r="EE35" s="61"/>
      <c r="EF35" s="61"/>
      <c r="EG35" s="61"/>
      <c r="EH35" s="61"/>
      <c r="EI35" s="61"/>
      <c r="EJ35" s="61"/>
      <c r="EK35" s="62"/>
      <c r="EL35" s="63"/>
      <c r="EM35" s="61"/>
      <c r="EN35" s="61"/>
      <c r="EO35" s="65"/>
      <c r="EP35" s="63"/>
      <c r="EQ35" s="61"/>
      <c r="ER35" s="61"/>
      <c r="ES35" s="62"/>
      <c r="ET35" s="63"/>
      <c r="EU35" s="64"/>
      <c r="EV35" s="29"/>
      <c r="EW35" s="30"/>
      <c r="EX35" s="30"/>
      <c r="EY35" s="45"/>
      <c r="EZ35" s="46"/>
      <c r="FA35" s="30"/>
      <c r="FB35" s="30"/>
      <c r="FC35" s="30"/>
      <c r="FD35" s="30"/>
      <c r="FE35" s="30"/>
      <c r="FF35" s="30"/>
      <c r="FG35" s="30"/>
      <c r="FH35" s="30"/>
      <c r="FI35" s="30"/>
      <c r="FJ35" s="45"/>
      <c r="FK35" s="46"/>
      <c r="FL35" s="30"/>
      <c r="FM35" s="30"/>
      <c r="FN35" s="47"/>
      <c r="FO35" s="46"/>
      <c r="FP35" s="30"/>
      <c r="FQ35" s="30"/>
      <c r="FR35" s="45"/>
      <c r="FS35" s="46"/>
      <c r="FT35" s="31"/>
      <c r="FU35" s="5"/>
      <c r="FV35" s="1"/>
      <c r="FW35" s="1"/>
      <c r="FX35" s="15"/>
      <c r="FY35" s="10"/>
      <c r="FZ35" s="1"/>
      <c r="GA35" s="1"/>
      <c r="GB35" s="1"/>
      <c r="GC35" s="1"/>
      <c r="GD35" s="1"/>
      <c r="GE35" s="1"/>
      <c r="GF35" s="1"/>
      <c r="GG35" s="1"/>
      <c r="GH35" s="1"/>
      <c r="GI35" s="15"/>
      <c r="GJ35" s="10"/>
      <c r="GK35" s="1"/>
      <c r="GL35" s="1"/>
      <c r="GM35" s="13"/>
      <c r="GN35" s="10"/>
      <c r="GO35" s="1"/>
      <c r="GP35" s="1"/>
      <c r="GQ35" s="15"/>
      <c r="GR35" s="10"/>
      <c r="GS35" s="6"/>
      <c r="GT35" s="29"/>
      <c r="GU35" s="30"/>
      <c r="GV35" s="30"/>
      <c r="GW35" s="45"/>
      <c r="GX35" s="46"/>
      <c r="GY35" s="30"/>
      <c r="GZ35" s="30"/>
      <c r="HA35" s="30"/>
      <c r="HB35" s="30"/>
      <c r="HC35" s="30"/>
      <c r="HD35" s="30"/>
      <c r="HE35" s="30"/>
      <c r="HF35" s="30"/>
      <c r="HG35" s="30"/>
      <c r="HH35" s="45"/>
      <c r="HI35" s="46"/>
      <c r="HJ35" s="30"/>
      <c r="HK35" s="30"/>
      <c r="HL35" s="47"/>
      <c r="HM35" s="46"/>
      <c r="HN35" s="30"/>
      <c r="HO35" s="30"/>
      <c r="HP35" s="45"/>
      <c r="HQ35" s="46"/>
      <c r="HR35" s="31"/>
      <c r="HS35" s="5"/>
      <c r="HT35" s="1"/>
      <c r="HU35" s="1"/>
      <c r="HV35" s="15"/>
      <c r="HW35" s="10"/>
      <c r="HX35" s="1"/>
      <c r="HY35" s="1"/>
      <c r="HZ35" s="1"/>
      <c r="IA35" s="1"/>
      <c r="IB35" s="1"/>
      <c r="IC35" s="1"/>
      <c r="ID35" s="1"/>
      <c r="IE35" s="1"/>
      <c r="IF35" s="1"/>
      <c r="IG35" s="15"/>
      <c r="IH35" s="10"/>
      <c r="II35" s="1"/>
      <c r="IJ35" s="1"/>
      <c r="IK35" s="13"/>
      <c r="IL35" s="10"/>
      <c r="IM35" s="1"/>
      <c r="IN35" s="1"/>
      <c r="IO35" s="15"/>
      <c r="IP35" s="10"/>
      <c r="IQ35" s="6"/>
    </row>
    <row r="36" spans="1:251" x14ac:dyDescent="0.25">
      <c r="A36" s="2">
        <v>3723</v>
      </c>
      <c r="B36" s="29"/>
      <c r="C36" s="30"/>
      <c r="D36" s="30"/>
      <c r="E36" s="45"/>
      <c r="F36" s="46"/>
      <c r="G36" s="30"/>
      <c r="H36" s="30"/>
      <c r="I36" s="30"/>
      <c r="J36" s="30"/>
      <c r="K36" s="30"/>
      <c r="L36" s="30"/>
      <c r="M36" s="30"/>
      <c r="N36" s="30"/>
      <c r="O36" s="30"/>
      <c r="P36" s="45"/>
      <c r="Q36" s="46"/>
      <c r="R36" s="30"/>
      <c r="S36" s="30"/>
      <c r="T36" s="47"/>
      <c r="U36" s="46"/>
      <c r="V36" s="30"/>
      <c r="W36" s="30"/>
      <c r="X36" s="45"/>
      <c r="Y36" s="46"/>
      <c r="Z36" s="31"/>
      <c r="AA36" s="5"/>
      <c r="AB36" s="1"/>
      <c r="AC36" s="1"/>
      <c r="AD36" s="15"/>
      <c r="AE36" s="10"/>
      <c r="AF36" s="1"/>
      <c r="AG36" s="1"/>
      <c r="AH36" s="1"/>
      <c r="AI36" s="1"/>
      <c r="AJ36" s="1"/>
      <c r="AK36" s="1"/>
      <c r="AL36" s="1"/>
      <c r="AM36" s="1"/>
      <c r="AN36" s="1"/>
      <c r="AO36" s="15"/>
      <c r="AP36" s="10"/>
      <c r="AQ36" s="1"/>
      <c r="AR36" s="1"/>
      <c r="AS36" s="13"/>
      <c r="AT36" s="10"/>
      <c r="AU36" s="1"/>
      <c r="AV36" s="1"/>
      <c r="AW36" s="15"/>
      <c r="AX36" s="10"/>
      <c r="AY36" s="6"/>
      <c r="AZ36" s="29"/>
      <c r="BA36" s="30"/>
      <c r="BB36" s="30"/>
      <c r="BC36" s="45"/>
      <c r="BD36" s="46"/>
      <c r="BE36" s="30"/>
      <c r="BF36" s="30"/>
      <c r="BG36" s="30"/>
      <c r="BH36" s="30"/>
      <c r="BI36" s="30"/>
      <c r="BJ36" s="30"/>
      <c r="BK36" s="30"/>
      <c r="BL36" s="30"/>
      <c r="BM36" s="30"/>
      <c r="BN36" s="45"/>
      <c r="BO36" s="46"/>
      <c r="BP36" s="30"/>
      <c r="BQ36" s="30"/>
      <c r="BR36" s="47"/>
      <c r="BS36" s="46"/>
      <c r="BT36" s="30"/>
      <c r="BU36" s="30"/>
      <c r="BV36" s="45"/>
      <c r="BW36" s="46"/>
      <c r="BX36" s="31"/>
      <c r="BY36" s="5"/>
      <c r="BZ36" s="1"/>
      <c r="CA36" s="1"/>
      <c r="CB36" s="15"/>
      <c r="CC36" s="10"/>
      <c r="CD36" s="1"/>
      <c r="CE36" s="1"/>
      <c r="CF36" s="1"/>
      <c r="CG36" s="1"/>
      <c r="CH36" s="1"/>
      <c r="CI36" s="1"/>
      <c r="CJ36" s="1"/>
      <c r="CK36" s="1"/>
      <c r="CL36" s="1"/>
      <c r="CM36" s="15"/>
      <c r="CN36" s="10"/>
      <c r="CO36" s="1"/>
      <c r="CP36" s="1"/>
      <c r="CQ36" s="13"/>
      <c r="CR36" s="10"/>
      <c r="CS36" s="1"/>
      <c r="CT36" s="1"/>
      <c r="CU36" s="15"/>
      <c r="CV36" s="10"/>
      <c r="CW36" s="6"/>
      <c r="CX36" s="29"/>
      <c r="CY36" s="30"/>
      <c r="CZ36" s="30"/>
      <c r="DA36" s="45"/>
      <c r="DB36" s="46"/>
      <c r="DC36" s="30"/>
      <c r="DD36" s="30"/>
      <c r="DE36" s="30"/>
      <c r="DF36" s="30"/>
      <c r="DG36" s="30"/>
      <c r="DH36" s="30"/>
      <c r="DI36" s="30"/>
      <c r="DJ36" s="30"/>
      <c r="DK36" s="30"/>
      <c r="DL36" s="45"/>
      <c r="DM36" s="46"/>
      <c r="DN36" s="30"/>
      <c r="DO36" s="30"/>
      <c r="DP36" s="47"/>
      <c r="DQ36" s="46"/>
      <c r="DR36" s="30"/>
      <c r="DS36" s="30"/>
      <c r="DT36" s="45"/>
      <c r="DU36" s="46"/>
      <c r="DV36" s="31"/>
      <c r="DW36" s="60"/>
      <c r="DX36" s="61"/>
      <c r="DY36" s="61"/>
      <c r="DZ36" s="62"/>
      <c r="EA36" s="63"/>
      <c r="EB36" s="61"/>
      <c r="EC36" s="61"/>
      <c r="ED36" s="61"/>
      <c r="EE36" s="61"/>
      <c r="EF36" s="61"/>
      <c r="EG36" s="61"/>
      <c r="EH36" s="61"/>
      <c r="EI36" s="61"/>
      <c r="EJ36" s="61"/>
      <c r="EK36" s="62"/>
      <c r="EL36" s="63"/>
      <c r="EM36" s="61"/>
      <c r="EN36" s="61"/>
      <c r="EO36" s="65"/>
      <c r="EP36" s="63"/>
      <c r="EQ36" s="61"/>
      <c r="ER36" s="61"/>
      <c r="ES36" s="62"/>
      <c r="ET36" s="63"/>
      <c r="EU36" s="64"/>
      <c r="EV36" s="29"/>
      <c r="EW36" s="30"/>
      <c r="EX36" s="30"/>
      <c r="EY36" s="45"/>
      <c r="EZ36" s="46"/>
      <c r="FA36" s="30"/>
      <c r="FB36" s="30"/>
      <c r="FC36" s="30"/>
      <c r="FD36" s="30"/>
      <c r="FE36" s="30"/>
      <c r="FF36" s="30"/>
      <c r="FG36" s="30"/>
      <c r="FH36" s="30"/>
      <c r="FI36" s="30"/>
      <c r="FJ36" s="45"/>
      <c r="FK36" s="46"/>
      <c r="FL36" s="30"/>
      <c r="FM36" s="30"/>
      <c r="FN36" s="47"/>
      <c r="FO36" s="46"/>
      <c r="FP36" s="30"/>
      <c r="FQ36" s="30"/>
      <c r="FR36" s="45"/>
      <c r="FS36" s="46"/>
      <c r="FT36" s="31"/>
      <c r="FU36" s="5"/>
      <c r="FV36" s="1"/>
      <c r="FW36" s="1"/>
      <c r="FX36" s="15"/>
      <c r="FY36" s="10"/>
      <c r="FZ36" s="1"/>
      <c r="GA36" s="1"/>
      <c r="GB36" s="1"/>
      <c r="GC36" s="1"/>
      <c r="GD36" s="1"/>
      <c r="GE36" s="1"/>
      <c r="GF36" s="1"/>
      <c r="GG36" s="1"/>
      <c r="GH36" s="1"/>
      <c r="GI36" s="15"/>
      <c r="GJ36" s="10"/>
      <c r="GK36" s="1"/>
      <c r="GL36" s="1"/>
      <c r="GM36" s="13"/>
      <c r="GN36" s="10"/>
      <c r="GO36" s="1"/>
      <c r="GP36" s="1"/>
      <c r="GQ36" s="15"/>
      <c r="GR36" s="10"/>
      <c r="GS36" s="6"/>
      <c r="GT36" s="29"/>
      <c r="GU36" s="30"/>
      <c r="GV36" s="30"/>
      <c r="GW36" s="45"/>
      <c r="GX36" s="46"/>
      <c r="GY36" s="30"/>
      <c r="GZ36" s="30"/>
      <c r="HA36" s="30"/>
      <c r="HB36" s="30"/>
      <c r="HC36" s="30"/>
      <c r="HD36" s="30"/>
      <c r="HE36" s="30"/>
      <c r="HF36" s="30"/>
      <c r="HG36" s="30"/>
      <c r="HH36" s="45"/>
      <c r="HI36" s="46"/>
      <c r="HJ36" s="30"/>
      <c r="HK36" s="30"/>
      <c r="HL36" s="47"/>
      <c r="HM36" s="46"/>
      <c r="HN36" s="30"/>
      <c r="HO36" s="30"/>
      <c r="HP36" s="45"/>
      <c r="HQ36" s="46"/>
      <c r="HR36" s="31"/>
      <c r="HS36" s="5"/>
      <c r="HT36" s="1"/>
      <c r="HU36" s="1"/>
      <c r="HV36" s="15"/>
      <c r="HW36" s="10"/>
      <c r="HX36" s="1"/>
      <c r="HY36" s="1"/>
      <c r="HZ36" s="1"/>
      <c r="IA36" s="1"/>
      <c r="IB36" s="1"/>
      <c r="IC36" s="1"/>
      <c r="ID36" s="1"/>
      <c r="IE36" s="1"/>
      <c r="IF36" s="1"/>
      <c r="IG36" s="15"/>
      <c r="IH36" s="10"/>
      <c r="II36" s="1"/>
      <c r="IJ36" s="1"/>
      <c r="IK36" s="13"/>
      <c r="IL36" s="10"/>
      <c r="IM36" s="1"/>
      <c r="IN36" s="1"/>
      <c r="IO36" s="15"/>
      <c r="IP36" s="10"/>
      <c r="IQ36" s="6"/>
    </row>
    <row r="37" spans="1:251" x14ac:dyDescent="0.25">
      <c r="A37" s="2">
        <v>3750</v>
      </c>
      <c r="B37" s="29"/>
      <c r="C37" s="30"/>
      <c r="D37" s="30"/>
      <c r="E37" s="45"/>
      <c r="F37" s="46"/>
      <c r="G37" s="30"/>
      <c r="H37" s="30"/>
      <c r="I37" s="30"/>
      <c r="J37" s="30"/>
      <c r="K37" s="30"/>
      <c r="L37" s="30"/>
      <c r="M37" s="30"/>
      <c r="N37" s="30"/>
      <c r="O37" s="30"/>
      <c r="P37" s="45"/>
      <c r="Q37" s="46"/>
      <c r="R37" s="30"/>
      <c r="S37" s="30"/>
      <c r="T37" s="47"/>
      <c r="U37" s="46"/>
      <c r="V37" s="30"/>
      <c r="W37" s="30"/>
      <c r="X37" s="45"/>
      <c r="Y37" s="46"/>
      <c r="Z37" s="31"/>
      <c r="AA37" s="5"/>
      <c r="AB37" s="1"/>
      <c r="AC37" s="1"/>
      <c r="AD37" s="15"/>
      <c r="AE37" s="10"/>
      <c r="AF37" s="1"/>
      <c r="AG37" s="1"/>
      <c r="AH37" s="1"/>
      <c r="AI37" s="1"/>
      <c r="AJ37" s="1"/>
      <c r="AK37" s="1"/>
      <c r="AL37" s="1"/>
      <c r="AM37" s="1"/>
      <c r="AN37" s="1"/>
      <c r="AO37" s="15"/>
      <c r="AP37" s="10"/>
      <c r="AQ37" s="1"/>
      <c r="AR37" s="1"/>
      <c r="AS37" s="13"/>
      <c r="AT37" s="10"/>
      <c r="AU37" s="1"/>
      <c r="AV37" s="1"/>
      <c r="AW37" s="15"/>
      <c r="AX37" s="10"/>
      <c r="AY37" s="6"/>
      <c r="AZ37" s="29"/>
      <c r="BA37" s="30"/>
      <c r="BB37" s="30"/>
      <c r="BC37" s="45"/>
      <c r="BD37" s="46"/>
      <c r="BE37" s="30"/>
      <c r="BF37" s="30"/>
      <c r="BG37" s="30"/>
      <c r="BH37" s="30"/>
      <c r="BI37" s="30"/>
      <c r="BJ37" s="30"/>
      <c r="BK37" s="30"/>
      <c r="BL37" s="30"/>
      <c r="BM37" s="30"/>
      <c r="BN37" s="45"/>
      <c r="BO37" s="46"/>
      <c r="BP37" s="30"/>
      <c r="BQ37" s="30"/>
      <c r="BR37" s="47"/>
      <c r="BS37" s="46"/>
      <c r="BT37" s="30"/>
      <c r="BU37" s="30"/>
      <c r="BV37" s="45"/>
      <c r="BW37" s="46"/>
      <c r="BX37" s="31"/>
      <c r="BY37" s="5"/>
      <c r="BZ37" s="1"/>
      <c r="CA37" s="1"/>
      <c r="CB37" s="15"/>
      <c r="CC37" s="10"/>
      <c r="CD37" s="1"/>
      <c r="CE37" s="1"/>
      <c r="CF37" s="1"/>
      <c r="CG37" s="1"/>
      <c r="CH37" s="1"/>
      <c r="CI37" s="1"/>
      <c r="CJ37" s="1"/>
      <c r="CK37" s="1"/>
      <c r="CL37" s="1"/>
      <c r="CM37" s="15"/>
      <c r="CN37" s="10"/>
      <c r="CO37" s="1"/>
      <c r="CP37" s="1"/>
      <c r="CQ37" s="13"/>
      <c r="CR37" s="10"/>
      <c r="CS37" s="1"/>
      <c r="CT37" s="1"/>
      <c r="CU37" s="15"/>
      <c r="CV37" s="10"/>
      <c r="CW37" s="6"/>
      <c r="CX37" s="29"/>
      <c r="CY37" s="30"/>
      <c r="CZ37" s="30"/>
      <c r="DA37" s="45"/>
      <c r="DB37" s="46"/>
      <c r="DC37" s="30"/>
      <c r="DD37" s="30"/>
      <c r="DE37" s="30"/>
      <c r="DF37" s="30"/>
      <c r="DG37" s="30"/>
      <c r="DH37" s="30"/>
      <c r="DI37" s="30"/>
      <c r="DJ37" s="30"/>
      <c r="DK37" s="30"/>
      <c r="DL37" s="45"/>
      <c r="DM37" s="46"/>
      <c r="DN37" s="30"/>
      <c r="DO37" s="30"/>
      <c r="DP37" s="47"/>
      <c r="DQ37" s="46"/>
      <c r="DR37" s="30"/>
      <c r="DS37" s="30"/>
      <c r="DT37" s="45"/>
      <c r="DU37" s="46"/>
      <c r="DV37" s="31"/>
      <c r="DW37" s="60"/>
      <c r="DX37" s="61"/>
      <c r="DY37" s="61"/>
      <c r="DZ37" s="62"/>
      <c r="EA37" s="63"/>
      <c r="EB37" s="61"/>
      <c r="EC37" s="61"/>
      <c r="ED37" s="61"/>
      <c r="EE37" s="61"/>
      <c r="EF37" s="61"/>
      <c r="EG37" s="61"/>
      <c r="EH37" s="61"/>
      <c r="EI37" s="61"/>
      <c r="EJ37" s="61"/>
      <c r="EK37" s="62"/>
      <c r="EL37" s="63"/>
      <c r="EM37" s="61"/>
      <c r="EN37" s="61"/>
      <c r="EO37" s="65"/>
      <c r="EP37" s="63"/>
      <c r="EQ37" s="61"/>
      <c r="ER37" s="61"/>
      <c r="ES37" s="62"/>
      <c r="ET37" s="63"/>
      <c r="EU37" s="64"/>
      <c r="EV37" s="29"/>
      <c r="EW37" s="30"/>
      <c r="EX37" s="30"/>
      <c r="EY37" s="45"/>
      <c r="EZ37" s="46"/>
      <c r="FA37" s="30"/>
      <c r="FB37" s="30"/>
      <c r="FC37" s="30"/>
      <c r="FD37" s="30"/>
      <c r="FE37" s="30"/>
      <c r="FF37" s="30"/>
      <c r="FG37" s="30"/>
      <c r="FH37" s="30"/>
      <c r="FI37" s="30"/>
      <c r="FJ37" s="45"/>
      <c r="FK37" s="46"/>
      <c r="FL37" s="30"/>
      <c r="FM37" s="30"/>
      <c r="FN37" s="47"/>
      <c r="FO37" s="46"/>
      <c r="FP37" s="30"/>
      <c r="FQ37" s="30"/>
      <c r="FR37" s="45"/>
      <c r="FS37" s="46"/>
      <c r="FT37" s="31"/>
      <c r="FU37" s="5"/>
      <c r="FV37" s="1"/>
      <c r="FW37" s="1"/>
      <c r="FX37" s="15"/>
      <c r="FY37" s="10"/>
      <c r="FZ37" s="1"/>
      <c r="GA37" s="1"/>
      <c r="GB37" s="1"/>
      <c r="GC37" s="1"/>
      <c r="GD37" s="1"/>
      <c r="GE37" s="1"/>
      <c r="GF37" s="1"/>
      <c r="GG37" s="1"/>
      <c r="GH37" s="1"/>
      <c r="GI37" s="15"/>
      <c r="GJ37" s="10"/>
      <c r="GK37" s="1"/>
      <c r="GL37" s="1"/>
      <c r="GM37" s="13"/>
      <c r="GN37" s="10"/>
      <c r="GO37" s="1"/>
      <c r="GP37" s="1"/>
      <c r="GQ37" s="15"/>
      <c r="GR37" s="10"/>
      <c r="GS37" s="6"/>
      <c r="GT37" s="29"/>
      <c r="GU37" s="30"/>
      <c r="GV37" s="30"/>
      <c r="GW37" s="45"/>
      <c r="GX37" s="46"/>
      <c r="GY37" s="30"/>
      <c r="GZ37" s="30"/>
      <c r="HA37" s="30"/>
      <c r="HB37" s="30"/>
      <c r="HC37" s="30"/>
      <c r="HD37" s="30"/>
      <c r="HE37" s="30"/>
      <c r="HF37" s="30"/>
      <c r="HG37" s="30"/>
      <c r="HH37" s="45"/>
      <c r="HI37" s="46"/>
      <c r="HJ37" s="30"/>
      <c r="HK37" s="30"/>
      <c r="HL37" s="47"/>
      <c r="HM37" s="46"/>
      <c r="HN37" s="30"/>
      <c r="HO37" s="30"/>
      <c r="HP37" s="45"/>
      <c r="HQ37" s="46"/>
      <c r="HR37" s="31"/>
      <c r="HS37" s="5"/>
      <c r="HT37" s="1"/>
      <c r="HU37" s="1"/>
      <c r="HV37" s="15"/>
      <c r="HW37" s="10"/>
      <c r="HX37" s="1"/>
      <c r="HY37" s="1"/>
      <c r="HZ37" s="1"/>
      <c r="IA37" s="1"/>
      <c r="IB37" s="1"/>
      <c r="IC37" s="1"/>
      <c r="ID37" s="1"/>
      <c r="IE37" s="1"/>
      <c r="IF37" s="1"/>
      <c r="IG37" s="15"/>
      <c r="IH37" s="10"/>
      <c r="II37" s="1"/>
      <c r="IJ37" s="1"/>
      <c r="IK37" s="13"/>
      <c r="IL37" s="10"/>
      <c r="IM37" s="1"/>
      <c r="IN37" s="1"/>
      <c r="IO37" s="15"/>
      <c r="IP37" s="10"/>
      <c r="IQ37" s="6"/>
    </row>
    <row r="38" spans="1:251" x14ac:dyDescent="0.25">
      <c r="A38" s="2">
        <v>3754</v>
      </c>
      <c r="B38" s="29"/>
      <c r="C38" s="30"/>
      <c r="D38" s="30"/>
      <c r="E38" s="45"/>
      <c r="F38" s="46"/>
      <c r="G38" s="30"/>
      <c r="H38" s="30"/>
      <c r="I38" s="30"/>
      <c r="J38" s="30"/>
      <c r="K38" s="30"/>
      <c r="L38" s="30"/>
      <c r="M38" s="30"/>
      <c r="N38" s="30"/>
      <c r="O38" s="30"/>
      <c r="P38" s="45"/>
      <c r="Q38" s="46"/>
      <c r="R38" s="30"/>
      <c r="S38" s="30"/>
      <c r="T38" s="47"/>
      <c r="U38" s="46"/>
      <c r="V38" s="30"/>
      <c r="W38" s="30"/>
      <c r="X38" s="45"/>
      <c r="Y38" s="46"/>
      <c r="Z38" s="31"/>
      <c r="AA38" s="5"/>
      <c r="AB38" s="1"/>
      <c r="AC38" s="1"/>
      <c r="AD38" s="15"/>
      <c r="AE38" s="10"/>
      <c r="AF38" s="1"/>
      <c r="AG38" s="1"/>
      <c r="AH38" s="1"/>
      <c r="AI38" s="1"/>
      <c r="AJ38" s="1"/>
      <c r="AK38" s="1"/>
      <c r="AL38" s="1"/>
      <c r="AM38" s="1"/>
      <c r="AN38" s="1"/>
      <c r="AO38" s="15"/>
      <c r="AP38" s="10"/>
      <c r="AQ38" s="1"/>
      <c r="AR38" s="1"/>
      <c r="AS38" s="13"/>
      <c r="AT38" s="10"/>
      <c r="AU38" s="1"/>
      <c r="AV38" s="1"/>
      <c r="AW38" s="15"/>
      <c r="AX38" s="10"/>
      <c r="AY38" s="6"/>
      <c r="AZ38" s="29"/>
      <c r="BA38" s="30"/>
      <c r="BB38" s="30"/>
      <c r="BC38" s="45"/>
      <c r="BD38" s="46"/>
      <c r="BE38" s="30"/>
      <c r="BF38" s="30"/>
      <c r="BG38" s="30"/>
      <c r="BH38" s="30"/>
      <c r="BI38" s="30"/>
      <c r="BJ38" s="30"/>
      <c r="BK38" s="30"/>
      <c r="BL38" s="30"/>
      <c r="BM38" s="30"/>
      <c r="BN38" s="45"/>
      <c r="BO38" s="46"/>
      <c r="BP38" s="30"/>
      <c r="BQ38" s="30"/>
      <c r="BR38" s="47"/>
      <c r="BS38" s="46"/>
      <c r="BT38" s="30"/>
      <c r="BU38" s="30"/>
      <c r="BV38" s="45"/>
      <c r="BW38" s="46"/>
      <c r="BX38" s="31"/>
      <c r="BY38" s="5"/>
      <c r="BZ38" s="1"/>
      <c r="CA38" s="1"/>
      <c r="CB38" s="15"/>
      <c r="CC38" s="10"/>
      <c r="CD38" s="1"/>
      <c r="CE38" s="1"/>
      <c r="CF38" s="1"/>
      <c r="CG38" s="1"/>
      <c r="CH38" s="1"/>
      <c r="CI38" s="1"/>
      <c r="CJ38" s="1"/>
      <c r="CK38" s="1"/>
      <c r="CL38" s="1"/>
      <c r="CM38" s="15"/>
      <c r="CN38" s="10"/>
      <c r="CO38" s="1"/>
      <c r="CP38" s="1"/>
      <c r="CQ38" s="13"/>
      <c r="CR38" s="10"/>
      <c r="CS38" s="1"/>
      <c r="CT38" s="1"/>
      <c r="CU38" s="15"/>
      <c r="CV38" s="10"/>
      <c r="CW38" s="6"/>
      <c r="CX38" s="29"/>
      <c r="CY38" s="30"/>
      <c r="CZ38" s="30"/>
      <c r="DA38" s="45"/>
      <c r="DB38" s="46"/>
      <c r="DC38" s="30"/>
      <c r="DD38" s="30"/>
      <c r="DE38" s="30"/>
      <c r="DF38" s="30"/>
      <c r="DG38" s="30"/>
      <c r="DH38" s="30"/>
      <c r="DI38" s="30"/>
      <c r="DJ38" s="30"/>
      <c r="DK38" s="30"/>
      <c r="DL38" s="45"/>
      <c r="DM38" s="46"/>
      <c r="DN38" s="30"/>
      <c r="DO38" s="30"/>
      <c r="DP38" s="47"/>
      <c r="DQ38" s="46"/>
      <c r="DR38" s="30"/>
      <c r="DS38" s="30"/>
      <c r="DT38" s="45"/>
      <c r="DU38" s="46"/>
      <c r="DV38" s="31"/>
      <c r="DW38" s="60"/>
      <c r="DX38" s="61"/>
      <c r="DY38" s="61"/>
      <c r="DZ38" s="62"/>
      <c r="EA38" s="63"/>
      <c r="EB38" s="61"/>
      <c r="EC38" s="61"/>
      <c r="ED38" s="61"/>
      <c r="EE38" s="61"/>
      <c r="EF38" s="61"/>
      <c r="EG38" s="61"/>
      <c r="EH38" s="61"/>
      <c r="EI38" s="61"/>
      <c r="EJ38" s="61"/>
      <c r="EK38" s="62"/>
      <c r="EL38" s="63"/>
      <c r="EM38" s="61"/>
      <c r="EN38" s="61"/>
      <c r="EO38" s="65"/>
      <c r="EP38" s="63"/>
      <c r="EQ38" s="61"/>
      <c r="ER38" s="61"/>
      <c r="ES38" s="62"/>
      <c r="ET38" s="63"/>
      <c r="EU38" s="64"/>
      <c r="EV38" s="29"/>
      <c r="EW38" s="30"/>
      <c r="EX38" s="30"/>
      <c r="EY38" s="45"/>
      <c r="EZ38" s="46"/>
      <c r="FA38" s="30"/>
      <c r="FB38" s="30"/>
      <c r="FC38" s="30"/>
      <c r="FD38" s="30"/>
      <c r="FE38" s="30"/>
      <c r="FF38" s="30"/>
      <c r="FG38" s="30"/>
      <c r="FH38" s="30"/>
      <c r="FI38" s="30"/>
      <c r="FJ38" s="45"/>
      <c r="FK38" s="46"/>
      <c r="FL38" s="30"/>
      <c r="FM38" s="30"/>
      <c r="FN38" s="47"/>
      <c r="FO38" s="46"/>
      <c r="FP38" s="30"/>
      <c r="FQ38" s="30"/>
      <c r="FR38" s="45"/>
      <c r="FS38" s="46"/>
      <c r="FT38" s="31"/>
      <c r="FU38" s="5"/>
      <c r="FV38" s="1"/>
      <c r="FW38" s="1"/>
      <c r="FX38" s="15"/>
      <c r="FY38" s="10"/>
      <c r="FZ38" s="1"/>
      <c r="GA38" s="1"/>
      <c r="GB38" s="1"/>
      <c r="GC38" s="1"/>
      <c r="GD38" s="1"/>
      <c r="GE38" s="1"/>
      <c r="GF38" s="1"/>
      <c r="GG38" s="1"/>
      <c r="GH38" s="1"/>
      <c r="GI38" s="15"/>
      <c r="GJ38" s="10"/>
      <c r="GK38" s="1"/>
      <c r="GL38" s="1"/>
      <c r="GM38" s="13"/>
      <c r="GN38" s="10"/>
      <c r="GO38" s="1"/>
      <c r="GP38" s="1"/>
      <c r="GQ38" s="15"/>
      <c r="GR38" s="10"/>
      <c r="GS38" s="6"/>
      <c r="GT38" s="29"/>
      <c r="GU38" s="30"/>
      <c r="GV38" s="30"/>
      <c r="GW38" s="45"/>
      <c r="GX38" s="46"/>
      <c r="GY38" s="30"/>
      <c r="GZ38" s="30"/>
      <c r="HA38" s="30"/>
      <c r="HB38" s="30"/>
      <c r="HC38" s="30"/>
      <c r="HD38" s="30"/>
      <c r="HE38" s="30"/>
      <c r="HF38" s="30"/>
      <c r="HG38" s="30"/>
      <c r="HH38" s="45"/>
      <c r="HI38" s="46"/>
      <c r="HJ38" s="30"/>
      <c r="HK38" s="30"/>
      <c r="HL38" s="47"/>
      <c r="HM38" s="46"/>
      <c r="HN38" s="30"/>
      <c r="HO38" s="30"/>
      <c r="HP38" s="45"/>
      <c r="HQ38" s="46"/>
      <c r="HR38" s="31"/>
      <c r="HS38" s="5"/>
      <c r="HT38" s="1"/>
      <c r="HU38" s="1"/>
      <c r="HV38" s="15"/>
      <c r="HW38" s="10"/>
      <c r="HX38" s="1"/>
      <c r="HY38" s="1"/>
      <c r="HZ38" s="1"/>
      <c r="IA38" s="1"/>
      <c r="IB38" s="1"/>
      <c r="IC38" s="1"/>
      <c r="ID38" s="1"/>
      <c r="IE38" s="1"/>
      <c r="IF38" s="1"/>
      <c r="IG38" s="15"/>
      <c r="IH38" s="10"/>
      <c r="II38" s="1"/>
      <c r="IJ38" s="1"/>
      <c r="IK38" s="13"/>
      <c r="IL38" s="10"/>
      <c r="IM38" s="1"/>
      <c r="IN38" s="1"/>
      <c r="IO38" s="15"/>
      <c r="IP38" s="10"/>
      <c r="IQ38" s="6"/>
    </row>
    <row r="39" spans="1:251" x14ac:dyDescent="0.25">
      <c r="A39" s="2">
        <v>4166</v>
      </c>
      <c r="B39" s="29"/>
      <c r="C39" s="30"/>
      <c r="D39" s="30"/>
      <c r="E39" s="45"/>
      <c r="F39" s="46"/>
      <c r="G39" s="30"/>
      <c r="H39" s="30"/>
      <c r="I39" s="30"/>
      <c r="J39" s="30"/>
      <c r="K39" s="30"/>
      <c r="L39" s="30"/>
      <c r="M39" s="30"/>
      <c r="N39" s="30"/>
      <c r="O39" s="30"/>
      <c r="P39" s="45"/>
      <c r="Q39" s="46"/>
      <c r="R39" s="30"/>
      <c r="S39" s="30"/>
      <c r="T39" s="47"/>
      <c r="U39" s="46"/>
      <c r="V39" s="30"/>
      <c r="W39" s="30"/>
      <c r="X39" s="45"/>
      <c r="Y39" s="46"/>
      <c r="Z39" s="31"/>
      <c r="AA39" s="5"/>
      <c r="AB39" s="1"/>
      <c r="AC39" s="1"/>
      <c r="AD39" s="15"/>
      <c r="AE39" s="10"/>
      <c r="AF39" s="1"/>
      <c r="AG39" s="1"/>
      <c r="AH39" s="1"/>
      <c r="AI39" s="1"/>
      <c r="AJ39" s="1"/>
      <c r="AK39" s="1"/>
      <c r="AL39" s="1"/>
      <c r="AM39" s="1"/>
      <c r="AN39" s="1"/>
      <c r="AO39" s="15"/>
      <c r="AP39" s="10"/>
      <c r="AQ39" s="1"/>
      <c r="AR39" s="1"/>
      <c r="AS39" s="13"/>
      <c r="AT39" s="10"/>
      <c r="AU39" s="1"/>
      <c r="AV39" s="1"/>
      <c r="AW39" s="15"/>
      <c r="AX39" s="10"/>
      <c r="AY39" s="6"/>
      <c r="AZ39" s="29"/>
      <c r="BA39" s="30"/>
      <c r="BB39" s="30"/>
      <c r="BC39" s="45"/>
      <c r="BD39" s="46"/>
      <c r="BE39" s="30"/>
      <c r="BF39" s="30"/>
      <c r="BG39" s="30"/>
      <c r="BH39" s="30"/>
      <c r="BI39" s="30"/>
      <c r="BJ39" s="30"/>
      <c r="BK39" s="30"/>
      <c r="BL39" s="30"/>
      <c r="BM39" s="30"/>
      <c r="BN39" s="45"/>
      <c r="BO39" s="46"/>
      <c r="BP39" s="30"/>
      <c r="BQ39" s="30"/>
      <c r="BR39" s="47"/>
      <c r="BS39" s="46"/>
      <c r="BT39" s="30"/>
      <c r="BU39" s="30"/>
      <c r="BV39" s="45"/>
      <c r="BW39" s="46"/>
      <c r="BX39" s="31"/>
      <c r="BY39" s="5"/>
      <c r="BZ39" s="1"/>
      <c r="CA39" s="1"/>
      <c r="CB39" s="15"/>
      <c r="CC39" s="10"/>
      <c r="CD39" s="1"/>
      <c r="CE39" s="1"/>
      <c r="CF39" s="1"/>
      <c r="CG39" s="1"/>
      <c r="CH39" s="1"/>
      <c r="CI39" s="1"/>
      <c r="CJ39" s="1"/>
      <c r="CK39" s="1"/>
      <c r="CL39" s="1"/>
      <c r="CM39" s="15"/>
      <c r="CN39" s="10"/>
      <c r="CO39" s="1"/>
      <c r="CP39" s="1"/>
      <c r="CQ39" s="13"/>
      <c r="CR39" s="10"/>
      <c r="CS39" s="1"/>
      <c r="CT39" s="1"/>
      <c r="CU39" s="15"/>
      <c r="CV39" s="10"/>
      <c r="CW39" s="6"/>
      <c r="CX39" s="29"/>
      <c r="CY39" s="30"/>
      <c r="CZ39" s="30"/>
      <c r="DA39" s="45"/>
      <c r="DB39" s="46"/>
      <c r="DC39" s="30"/>
      <c r="DD39" s="30"/>
      <c r="DE39" s="30"/>
      <c r="DF39" s="30"/>
      <c r="DG39" s="30"/>
      <c r="DH39" s="30"/>
      <c r="DI39" s="30"/>
      <c r="DJ39" s="30"/>
      <c r="DK39" s="30"/>
      <c r="DL39" s="45"/>
      <c r="DM39" s="46"/>
      <c r="DN39" s="30"/>
      <c r="DO39" s="30"/>
      <c r="DP39" s="47"/>
      <c r="DQ39" s="46"/>
      <c r="DR39" s="30"/>
      <c r="DS39" s="30"/>
      <c r="DT39" s="45"/>
      <c r="DU39" s="46"/>
      <c r="DV39" s="31"/>
      <c r="DW39" s="60"/>
      <c r="DX39" s="61"/>
      <c r="DY39" s="61"/>
      <c r="DZ39" s="62"/>
      <c r="EA39" s="63"/>
      <c r="EB39" s="61"/>
      <c r="EC39" s="61"/>
      <c r="ED39" s="61"/>
      <c r="EE39" s="61"/>
      <c r="EF39" s="61"/>
      <c r="EG39" s="61"/>
      <c r="EH39" s="61"/>
      <c r="EI39" s="61"/>
      <c r="EJ39" s="61"/>
      <c r="EK39" s="62"/>
      <c r="EL39" s="63"/>
      <c r="EM39" s="61"/>
      <c r="EN39" s="61"/>
      <c r="EO39" s="65"/>
      <c r="EP39" s="63"/>
      <c r="EQ39" s="61"/>
      <c r="ER39" s="61"/>
      <c r="ES39" s="62"/>
      <c r="ET39" s="63"/>
      <c r="EU39" s="64"/>
      <c r="EV39" s="29"/>
      <c r="EW39" s="30"/>
      <c r="EX39" s="30"/>
      <c r="EY39" s="45"/>
      <c r="EZ39" s="46"/>
      <c r="FA39" s="30"/>
      <c r="FB39" s="30"/>
      <c r="FC39" s="30"/>
      <c r="FD39" s="30"/>
      <c r="FE39" s="30"/>
      <c r="FF39" s="30"/>
      <c r="FG39" s="30"/>
      <c r="FH39" s="30"/>
      <c r="FI39" s="30"/>
      <c r="FJ39" s="45"/>
      <c r="FK39" s="46"/>
      <c r="FL39" s="30"/>
      <c r="FM39" s="30"/>
      <c r="FN39" s="47"/>
      <c r="FO39" s="46"/>
      <c r="FP39" s="30"/>
      <c r="FQ39" s="30"/>
      <c r="FR39" s="45"/>
      <c r="FS39" s="46"/>
      <c r="FT39" s="31"/>
      <c r="FU39" s="5"/>
      <c r="FV39" s="1"/>
      <c r="FW39" s="1"/>
      <c r="FX39" s="15"/>
      <c r="FY39" s="10"/>
      <c r="FZ39" s="1"/>
      <c r="GA39" s="1"/>
      <c r="GB39" s="1"/>
      <c r="GC39" s="1"/>
      <c r="GD39" s="1"/>
      <c r="GE39" s="1"/>
      <c r="GF39" s="1"/>
      <c r="GG39" s="1"/>
      <c r="GH39" s="1"/>
      <c r="GI39" s="15"/>
      <c r="GJ39" s="10"/>
      <c r="GK39" s="1"/>
      <c r="GL39" s="1"/>
      <c r="GM39" s="13"/>
      <c r="GN39" s="10"/>
      <c r="GO39" s="1"/>
      <c r="GP39" s="1"/>
      <c r="GQ39" s="15"/>
      <c r="GR39" s="10"/>
      <c r="GS39" s="6"/>
      <c r="GT39" s="29"/>
      <c r="GU39" s="30"/>
      <c r="GV39" s="30"/>
      <c r="GW39" s="45"/>
      <c r="GX39" s="46"/>
      <c r="GY39" s="30"/>
      <c r="GZ39" s="30"/>
      <c r="HA39" s="30"/>
      <c r="HB39" s="30"/>
      <c r="HC39" s="30"/>
      <c r="HD39" s="30"/>
      <c r="HE39" s="30"/>
      <c r="HF39" s="30"/>
      <c r="HG39" s="30"/>
      <c r="HH39" s="45"/>
      <c r="HI39" s="46"/>
      <c r="HJ39" s="30"/>
      <c r="HK39" s="30"/>
      <c r="HL39" s="47"/>
      <c r="HM39" s="46"/>
      <c r="HN39" s="30"/>
      <c r="HO39" s="30"/>
      <c r="HP39" s="45"/>
      <c r="HQ39" s="46"/>
      <c r="HR39" s="31"/>
      <c r="HS39" s="5"/>
      <c r="HT39" s="1"/>
      <c r="HU39" s="1"/>
      <c r="HV39" s="15"/>
      <c r="HW39" s="10"/>
      <c r="HX39" s="1"/>
      <c r="HY39" s="1"/>
      <c r="HZ39" s="1"/>
      <c r="IA39" s="1"/>
      <c r="IB39" s="1"/>
      <c r="IC39" s="1"/>
      <c r="ID39" s="1"/>
      <c r="IE39" s="1"/>
      <c r="IF39" s="1"/>
      <c r="IG39" s="15"/>
      <c r="IH39" s="10"/>
      <c r="II39" s="1"/>
      <c r="IJ39" s="1"/>
      <c r="IK39" s="13"/>
      <c r="IL39" s="10"/>
      <c r="IM39" s="1"/>
      <c r="IN39" s="1"/>
      <c r="IO39" s="15"/>
      <c r="IP39" s="10"/>
      <c r="IQ39" s="6"/>
    </row>
    <row r="40" spans="1:251" x14ac:dyDescent="0.25">
      <c r="A40" s="2">
        <v>4198</v>
      </c>
      <c r="B40" s="29"/>
      <c r="C40" s="30"/>
      <c r="D40" s="30"/>
      <c r="E40" s="45"/>
      <c r="F40" s="46"/>
      <c r="G40" s="30"/>
      <c r="H40" s="30"/>
      <c r="I40" s="30"/>
      <c r="J40" s="30"/>
      <c r="K40" s="30"/>
      <c r="L40" s="30"/>
      <c r="M40" s="30"/>
      <c r="N40" s="30"/>
      <c r="O40" s="30"/>
      <c r="P40" s="45"/>
      <c r="Q40" s="46"/>
      <c r="R40" s="30"/>
      <c r="S40" s="30"/>
      <c r="T40" s="47"/>
      <c r="U40" s="46"/>
      <c r="V40" s="30"/>
      <c r="W40" s="30"/>
      <c r="X40" s="45"/>
      <c r="Y40" s="46"/>
      <c r="Z40" s="31"/>
      <c r="AA40" s="5"/>
      <c r="AB40" s="1"/>
      <c r="AC40" s="1"/>
      <c r="AD40" s="15"/>
      <c r="AE40" s="10"/>
      <c r="AF40" s="1"/>
      <c r="AG40" s="1"/>
      <c r="AH40" s="1"/>
      <c r="AI40" s="1"/>
      <c r="AJ40" s="1"/>
      <c r="AK40" s="1"/>
      <c r="AL40" s="1"/>
      <c r="AM40" s="1"/>
      <c r="AN40" s="1"/>
      <c r="AO40" s="15"/>
      <c r="AP40" s="10"/>
      <c r="AQ40" s="1"/>
      <c r="AR40" s="1"/>
      <c r="AS40" s="13"/>
      <c r="AT40" s="10"/>
      <c r="AU40" s="1"/>
      <c r="AV40" s="1"/>
      <c r="AW40" s="15"/>
      <c r="AX40" s="10"/>
      <c r="AY40" s="6"/>
      <c r="AZ40" s="29"/>
      <c r="BA40" s="30"/>
      <c r="BB40" s="30"/>
      <c r="BC40" s="45"/>
      <c r="BD40" s="46"/>
      <c r="BE40" s="30"/>
      <c r="BF40" s="30"/>
      <c r="BG40" s="30"/>
      <c r="BH40" s="30"/>
      <c r="BI40" s="30"/>
      <c r="BJ40" s="30"/>
      <c r="BK40" s="30"/>
      <c r="BL40" s="30"/>
      <c r="BM40" s="30"/>
      <c r="BN40" s="45"/>
      <c r="BO40" s="46"/>
      <c r="BP40" s="30"/>
      <c r="BQ40" s="30"/>
      <c r="BR40" s="47"/>
      <c r="BS40" s="46"/>
      <c r="BT40" s="30"/>
      <c r="BU40" s="30"/>
      <c r="BV40" s="45"/>
      <c r="BW40" s="46"/>
      <c r="BX40" s="31"/>
      <c r="BY40" s="5"/>
      <c r="BZ40" s="1"/>
      <c r="CA40" s="1"/>
      <c r="CB40" s="15"/>
      <c r="CC40" s="10"/>
      <c r="CD40" s="1"/>
      <c r="CE40" s="1"/>
      <c r="CF40" s="1"/>
      <c r="CG40" s="1"/>
      <c r="CH40" s="1"/>
      <c r="CI40" s="1"/>
      <c r="CJ40" s="1"/>
      <c r="CK40" s="1"/>
      <c r="CL40" s="1"/>
      <c r="CM40" s="15"/>
      <c r="CN40" s="10"/>
      <c r="CO40" s="1"/>
      <c r="CP40" s="1"/>
      <c r="CQ40" s="13"/>
      <c r="CR40" s="10"/>
      <c r="CS40" s="1"/>
      <c r="CT40" s="1"/>
      <c r="CU40" s="15"/>
      <c r="CV40" s="10"/>
      <c r="CW40" s="6"/>
      <c r="CX40" s="29"/>
      <c r="CY40" s="30"/>
      <c r="CZ40" s="30"/>
      <c r="DA40" s="45"/>
      <c r="DB40" s="46"/>
      <c r="DC40" s="30"/>
      <c r="DD40" s="30"/>
      <c r="DE40" s="30"/>
      <c r="DF40" s="30"/>
      <c r="DG40" s="30"/>
      <c r="DH40" s="30"/>
      <c r="DI40" s="30"/>
      <c r="DJ40" s="30"/>
      <c r="DK40" s="30"/>
      <c r="DL40" s="45"/>
      <c r="DM40" s="46"/>
      <c r="DN40" s="30"/>
      <c r="DO40" s="30"/>
      <c r="DP40" s="47"/>
      <c r="DQ40" s="46"/>
      <c r="DR40" s="30"/>
      <c r="DS40" s="30"/>
      <c r="DT40" s="45"/>
      <c r="DU40" s="46"/>
      <c r="DV40" s="31"/>
      <c r="DW40" s="60"/>
      <c r="DX40" s="61"/>
      <c r="DY40" s="61"/>
      <c r="DZ40" s="62"/>
      <c r="EA40" s="63"/>
      <c r="EB40" s="61"/>
      <c r="EC40" s="61"/>
      <c r="ED40" s="61"/>
      <c r="EE40" s="61"/>
      <c r="EF40" s="61"/>
      <c r="EG40" s="61"/>
      <c r="EH40" s="61"/>
      <c r="EI40" s="61"/>
      <c r="EJ40" s="61"/>
      <c r="EK40" s="62"/>
      <c r="EL40" s="63"/>
      <c r="EM40" s="61"/>
      <c r="EN40" s="61"/>
      <c r="EO40" s="65"/>
      <c r="EP40" s="63"/>
      <c r="EQ40" s="61"/>
      <c r="ER40" s="61"/>
      <c r="ES40" s="62"/>
      <c r="ET40" s="63"/>
      <c r="EU40" s="64"/>
      <c r="EV40" s="29"/>
      <c r="EW40" s="30"/>
      <c r="EX40" s="30"/>
      <c r="EY40" s="45"/>
      <c r="EZ40" s="46"/>
      <c r="FA40" s="30"/>
      <c r="FB40" s="30"/>
      <c r="FC40" s="30"/>
      <c r="FD40" s="30"/>
      <c r="FE40" s="30"/>
      <c r="FF40" s="30"/>
      <c r="FG40" s="30"/>
      <c r="FH40" s="30"/>
      <c r="FI40" s="30"/>
      <c r="FJ40" s="45"/>
      <c r="FK40" s="46"/>
      <c r="FL40" s="30"/>
      <c r="FM40" s="30"/>
      <c r="FN40" s="47"/>
      <c r="FO40" s="46"/>
      <c r="FP40" s="30"/>
      <c r="FQ40" s="30"/>
      <c r="FR40" s="45"/>
      <c r="FS40" s="46"/>
      <c r="FT40" s="31"/>
      <c r="FU40" s="5"/>
      <c r="FV40" s="1"/>
      <c r="FW40" s="1"/>
      <c r="FX40" s="15"/>
      <c r="FY40" s="10"/>
      <c r="FZ40" s="1"/>
      <c r="GA40" s="1"/>
      <c r="GB40" s="1"/>
      <c r="GC40" s="1"/>
      <c r="GD40" s="1"/>
      <c r="GE40" s="1"/>
      <c r="GF40" s="1"/>
      <c r="GG40" s="1"/>
      <c r="GH40" s="1"/>
      <c r="GI40" s="15"/>
      <c r="GJ40" s="10"/>
      <c r="GK40" s="1"/>
      <c r="GL40" s="1"/>
      <c r="GM40" s="13"/>
      <c r="GN40" s="10"/>
      <c r="GO40" s="1"/>
      <c r="GP40" s="1"/>
      <c r="GQ40" s="15"/>
      <c r="GR40" s="10"/>
      <c r="GS40" s="6"/>
      <c r="GT40" s="29"/>
      <c r="GU40" s="30"/>
      <c r="GV40" s="30"/>
      <c r="GW40" s="45"/>
      <c r="GX40" s="46"/>
      <c r="GY40" s="30"/>
      <c r="GZ40" s="30"/>
      <c r="HA40" s="30"/>
      <c r="HB40" s="30"/>
      <c r="HC40" s="30"/>
      <c r="HD40" s="30"/>
      <c r="HE40" s="30"/>
      <c r="HF40" s="30"/>
      <c r="HG40" s="30"/>
      <c r="HH40" s="45"/>
      <c r="HI40" s="46"/>
      <c r="HJ40" s="30"/>
      <c r="HK40" s="30"/>
      <c r="HL40" s="47"/>
      <c r="HM40" s="46"/>
      <c r="HN40" s="30"/>
      <c r="HO40" s="30"/>
      <c r="HP40" s="45"/>
      <c r="HQ40" s="46"/>
      <c r="HR40" s="31"/>
      <c r="HS40" s="5"/>
      <c r="HT40" s="1"/>
      <c r="HU40" s="1"/>
      <c r="HV40" s="15"/>
      <c r="HW40" s="10"/>
      <c r="HX40" s="1"/>
      <c r="HY40" s="1"/>
      <c r="HZ40" s="1"/>
      <c r="IA40" s="1"/>
      <c r="IB40" s="1"/>
      <c r="IC40" s="1"/>
      <c r="ID40" s="1"/>
      <c r="IE40" s="1"/>
      <c r="IF40" s="1"/>
      <c r="IG40" s="15"/>
      <c r="IH40" s="10"/>
      <c r="II40" s="1"/>
      <c r="IJ40" s="1"/>
      <c r="IK40" s="13"/>
      <c r="IL40" s="10"/>
      <c r="IM40" s="1"/>
      <c r="IN40" s="1"/>
      <c r="IO40" s="15"/>
      <c r="IP40" s="10"/>
      <c r="IQ40" s="6"/>
    </row>
    <row r="41" spans="1:251" x14ac:dyDescent="0.25">
      <c r="A41" s="2">
        <v>4226</v>
      </c>
      <c r="B41" s="29"/>
      <c r="C41" s="30"/>
      <c r="D41" s="30"/>
      <c r="E41" s="45"/>
      <c r="F41" s="46"/>
      <c r="G41" s="30"/>
      <c r="H41" s="30"/>
      <c r="I41" s="30"/>
      <c r="J41" s="30"/>
      <c r="K41" s="30"/>
      <c r="L41" s="30"/>
      <c r="M41" s="30"/>
      <c r="N41" s="30"/>
      <c r="O41" s="30"/>
      <c r="P41" s="45"/>
      <c r="Q41" s="46"/>
      <c r="R41" s="30"/>
      <c r="S41" s="30"/>
      <c r="T41" s="47"/>
      <c r="U41" s="46"/>
      <c r="V41" s="30"/>
      <c r="W41" s="30"/>
      <c r="X41" s="45"/>
      <c r="Y41" s="46"/>
      <c r="Z41" s="31"/>
      <c r="AA41" s="5"/>
      <c r="AB41" s="1"/>
      <c r="AC41" s="1"/>
      <c r="AD41" s="15"/>
      <c r="AE41" s="10"/>
      <c r="AF41" s="1"/>
      <c r="AG41" s="1"/>
      <c r="AH41" s="1"/>
      <c r="AI41" s="1"/>
      <c r="AJ41" s="1"/>
      <c r="AK41" s="1"/>
      <c r="AL41" s="1"/>
      <c r="AM41" s="1"/>
      <c r="AN41" s="1"/>
      <c r="AO41" s="15"/>
      <c r="AP41" s="10"/>
      <c r="AQ41" s="1"/>
      <c r="AR41" s="1"/>
      <c r="AS41" s="13"/>
      <c r="AT41" s="10"/>
      <c r="AU41" s="1"/>
      <c r="AV41" s="1"/>
      <c r="AW41" s="15"/>
      <c r="AX41" s="10"/>
      <c r="AY41" s="6"/>
      <c r="AZ41" s="29"/>
      <c r="BA41" s="30"/>
      <c r="BB41" s="30"/>
      <c r="BC41" s="45"/>
      <c r="BD41" s="46"/>
      <c r="BE41" s="30"/>
      <c r="BF41" s="30"/>
      <c r="BG41" s="30"/>
      <c r="BH41" s="30"/>
      <c r="BI41" s="30"/>
      <c r="BJ41" s="30"/>
      <c r="BK41" s="30"/>
      <c r="BL41" s="30"/>
      <c r="BM41" s="30"/>
      <c r="BN41" s="45"/>
      <c r="BO41" s="46"/>
      <c r="BP41" s="30"/>
      <c r="BQ41" s="30"/>
      <c r="BR41" s="47"/>
      <c r="BS41" s="46"/>
      <c r="BT41" s="30"/>
      <c r="BU41" s="30"/>
      <c r="BV41" s="45"/>
      <c r="BW41" s="46"/>
      <c r="BX41" s="31"/>
      <c r="BY41" s="5"/>
      <c r="BZ41" s="1"/>
      <c r="CA41" s="1"/>
      <c r="CB41" s="15"/>
      <c r="CC41" s="10"/>
      <c r="CD41" s="1"/>
      <c r="CE41" s="1"/>
      <c r="CF41" s="1"/>
      <c r="CG41" s="1"/>
      <c r="CH41" s="1"/>
      <c r="CI41" s="1"/>
      <c r="CJ41" s="1"/>
      <c r="CK41" s="1"/>
      <c r="CL41" s="1"/>
      <c r="CM41" s="15"/>
      <c r="CN41" s="10"/>
      <c r="CO41" s="1"/>
      <c r="CP41" s="1"/>
      <c r="CQ41" s="13"/>
      <c r="CR41" s="10"/>
      <c r="CS41" s="1"/>
      <c r="CT41" s="1"/>
      <c r="CU41" s="15"/>
      <c r="CV41" s="10"/>
      <c r="CW41" s="6"/>
      <c r="CX41" s="29"/>
      <c r="CY41" s="30"/>
      <c r="CZ41" s="30"/>
      <c r="DA41" s="45"/>
      <c r="DB41" s="46"/>
      <c r="DC41" s="30"/>
      <c r="DD41" s="30"/>
      <c r="DE41" s="30"/>
      <c r="DF41" s="30"/>
      <c r="DG41" s="30"/>
      <c r="DH41" s="30"/>
      <c r="DI41" s="30"/>
      <c r="DJ41" s="30"/>
      <c r="DK41" s="30"/>
      <c r="DL41" s="45"/>
      <c r="DM41" s="46"/>
      <c r="DN41" s="30"/>
      <c r="DO41" s="30"/>
      <c r="DP41" s="47"/>
      <c r="DQ41" s="46"/>
      <c r="DR41" s="30"/>
      <c r="DS41" s="30"/>
      <c r="DT41" s="45"/>
      <c r="DU41" s="46"/>
      <c r="DV41" s="31"/>
      <c r="DW41" s="60"/>
      <c r="DX41" s="61"/>
      <c r="DY41" s="61"/>
      <c r="DZ41" s="62"/>
      <c r="EA41" s="63"/>
      <c r="EB41" s="61"/>
      <c r="EC41" s="61"/>
      <c r="ED41" s="61"/>
      <c r="EE41" s="61"/>
      <c r="EF41" s="61"/>
      <c r="EG41" s="61"/>
      <c r="EH41" s="61"/>
      <c r="EI41" s="61"/>
      <c r="EJ41" s="61"/>
      <c r="EK41" s="62"/>
      <c r="EL41" s="63"/>
      <c r="EM41" s="61"/>
      <c r="EN41" s="61"/>
      <c r="EO41" s="65"/>
      <c r="EP41" s="63"/>
      <c r="EQ41" s="61"/>
      <c r="ER41" s="61"/>
      <c r="ES41" s="62"/>
      <c r="ET41" s="63"/>
      <c r="EU41" s="64"/>
      <c r="EV41" s="29"/>
      <c r="EW41" s="30"/>
      <c r="EX41" s="30"/>
      <c r="EY41" s="45"/>
      <c r="EZ41" s="46"/>
      <c r="FA41" s="30"/>
      <c r="FB41" s="30"/>
      <c r="FC41" s="30"/>
      <c r="FD41" s="30"/>
      <c r="FE41" s="30"/>
      <c r="FF41" s="30"/>
      <c r="FG41" s="30"/>
      <c r="FH41" s="30"/>
      <c r="FI41" s="30"/>
      <c r="FJ41" s="45"/>
      <c r="FK41" s="46"/>
      <c r="FL41" s="30"/>
      <c r="FM41" s="30"/>
      <c r="FN41" s="47"/>
      <c r="FO41" s="46"/>
      <c r="FP41" s="30"/>
      <c r="FQ41" s="30"/>
      <c r="FR41" s="45"/>
      <c r="FS41" s="46"/>
      <c r="FT41" s="31"/>
      <c r="FU41" s="5"/>
      <c r="FV41" s="1"/>
      <c r="FW41" s="1"/>
      <c r="FX41" s="15"/>
      <c r="FY41" s="10"/>
      <c r="FZ41" s="1"/>
      <c r="GA41" s="1"/>
      <c r="GB41" s="1"/>
      <c r="GC41" s="1"/>
      <c r="GD41" s="1"/>
      <c r="GE41" s="1"/>
      <c r="GF41" s="1"/>
      <c r="GG41" s="1"/>
      <c r="GH41" s="1"/>
      <c r="GI41" s="15"/>
      <c r="GJ41" s="10"/>
      <c r="GK41" s="1"/>
      <c r="GL41" s="1"/>
      <c r="GM41" s="13"/>
      <c r="GN41" s="10"/>
      <c r="GO41" s="1"/>
      <c r="GP41" s="1"/>
      <c r="GQ41" s="15"/>
      <c r="GR41" s="10"/>
      <c r="GS41" s="6"/>
      <c r="GT41" s="29"/>
      <c r="GU41" s="30"/>
      <c r="GV41" s="30"/>
      <c r="GW41" s="45"/>
      <c r="GX41" s="46"/>
      <c r="GY41" s="30"/>
      <c r="GZ41" s="30"/>
      <c r="HA41" s="30"/>
      <c r="HB41" s="30"/>
      <c r="HC41" s="30"/>
      <c r="HD41" s="30"/>
      <c r="HE41" s="30"/>
      <c r="HF41" s="30"/>
      <c r="HG41" s="30"/>
      <c r="HH41" s="45"/>
      <c r="HI41" s="46"/>
      <c r="HJ41" s="30"/>
      <c r="HK41" s="30"/>
      <c r="HL41" s="47"/>
      <c r="HM41" s="46"/>
      <c r="HN41" s="30"/>
      <c r="HO41" s="30"/>
      <c r="HP41" s="45"/>
      <c r="HQ41" s="46"/>
      <c r="HR41" s="31"/>
      <c r="HS41" s="5"/>
      <c r="HT41" s="1"/>
      <c r="HU41" s="1"/>
      <c r="HV41" s="15"/>
      <c r="HW41" s="10"/>
      <c r="HX41" s="1"/>
      <c r="HY41" s="1"/>
      <c r="HZ41" s="1"/>
      <c r="IA41" s="1"/>
      <c r="IB41" s="1"/>
      <c r="IC41" s="1"/>
      <c r="ID41" s="1"/>
      <c r="IE41" s="1"/>
      <c r="IF41" s="1"/>
      <c r="IG41" s="15"/>
      <c r="IH41" s="10"/>
      <c r="II41" s="1"/>
      <c r="IJ41" s="1"/>
      <c r="IK41" s="13"/>
      <c r="IL41" s="10"/>
      <c r="IM41" s="1"/>
      <c r="IN41" s="1"/>
      <c r="IO41" s="15"/>
      <c r="IP41" s="10"/>
      <c r="IQ41" s="6"/>
    </row>
    <row r="42" spans="1:251" x14ac:dyDescent="0.25">
      <c r="A42" s="2">
        <v>4238</v>
      </c>
      <c r="B42" s="29"/>
      <c r="C42" s="30"/>
      <c r="D42" s="30"/>
      <c r="E42" s="45"/>
      <c r="F42" s="46"/>
      <c r="G42" s="30"/>
      <c r="H42" s="30"/>
      <c r="I42" s="30"/>
      <c r="J42" s="30"/>
      <c r="K42" s="30"/>
      <c r="L42" s="30"/>
      <c r="M42" s="30"/>
      <c r="N42" s="30"/>
      <c r="O42" s="30"/>
      <c r="P42" s="45"/>
      <c r="Q42" s="46"/>
      <c r="R42" s="30"/>
      <c r="S42" s="30"/>
      <c r="T42" s="47"/>
      <c r="U42" s="46"/>
      <c r="V42" s="30"/>
      <c r="W42" s="30"/>
      <c r="X42" s="45"/>
      <c r="Y42" s="46"/>
      <c r="Z42" s="31"/>
      <c r="AA42" s="5"/>
      <c r="AB42" s="1"/>
      <c r="AC42" s="1"/>
      <c r="AD42" s="15"/>
      <c r="AE42" s="10"/>
      <c r="AF42" s="1"/>
      <c r="AG42" s="1"/>
      <c r="AH42" s="1"/>
      <c r="AI42" s="1"/>
      <c r="AJ42" s="1"/>
      <c r="AK42" s="1"/>
      <c r="AL42" s="1"/>
      <c r="AM42" s="1"/>
      <c r="AN42" s="1"/>
      <c r="AO42" s="15"/>
      <c r="AP42" s="10"/>
      <c r="AQ42" s="1"/>
      <c r="AR42" s="1"/>
      <c r="AS42" s="13"/>
      <c r="AT42" s="10"/>
      <c r="AU42" s="1"/>
      <c r="AV42" s="1"/>
      <c r="AW42" s="15"/>
      <c r="AX42" s="10"/>
      <c r="AY42" s="6"/>
      <c r="AZ42" s="29"/>
      <c r="BA42" s="30"/>
      <c r="BB42" s="30"/>
      <c r="BC42" s="45"/>
      <c r="BD42" s="46"/>
      <c r="BE42" s="30"/>
      <c r="BF42" s="30"/>
      <c r="BG42" s="30"/>
      <c r="BH42" s="30"/>
      <c r="BI42" s="30"/>
      <c r="BJ42" s="30"/>
      <c r="BK42" s="30"/>
      <c r="BL42" s="30"/>
      <c r="BM42" s="30"/>
      <c r="BN42" s="45"/>
      <c r="BO42" s="46"/>
      <c r="BP42" s="30"/>
      <c r="BQ42" s="30"/>
      <c r="BR42" s="47"/>
      <c r="BS42" s="46"/>
      <c r="BT42" s="30"/>
      <c r="BU42" s="30"/>
      <c r="BV42" s="45"/>
      <c r="BW42" s="46"/>
      <c r="BX42" s="31"/>
      <c r="BY42" s="5"/>
      <c r="BZ42" s="1"/>
      <c r="CA42" s="1"/>
      <c r="CB42" s="15"/>
      <c r="CC42" s="10"/>
      <c r="CD42" s="1"/>
      <c r="CE42" s="1"/>
      <c r="CF42" s="1"/>
      <c r="CG42" s="1"/>
      <c r="CH42" s="1"/>
      <c r="CI42" s="1"/>
      <c r="CJ42" s="1"/>
      <c r="CK42" s="1"/>
      <c r="CL42" s="1"/>
      <c r="CM42" s="15"/>
      <c r="CN42" s="10"/>
      <c r="CO42" s="1"/>
      <c r="CP42" s="1"/>
      <c r="CQ42" s="13"/>
      <c r="CR42" s="10"/>
      <c r="CS42" s="1"/>
      <c r="CT42" s="1"/>
      <c r="CU42" s="15"/>
      <c r="CV42" s="10"/>
      <c r="CW42" s="6"/>
      <c r="CX42" s="29"/>
      <c r="CY42" s="30"/>
      <c r="CZ42" s="30"/>
      <c r="DA42" s="45"/>
      <c r="DB42" s="46"/>
      <c r="DC42" s="30"/>
      <c r="DD42" s="30"/>
      <c r="DE42" s="30"/>
      <c r="DF42" s="30"/>
      <c r="DG42" s="30"/>
      <c r="DH42" s="30"/>
      <c r="DI42" s="30"/>
      <c r="DJ42" s="30"/>
      <c r="DK42" s="30"/>
      <c r="DL42" s="45"/>
      <c r="DM42" s="46"/>
      <c r="DN42" s="30"/>
      <c r="DO42" s="30"/>
      <c r="DP42" s="47"/>
      <c r="DQ42" s="46"/>
      <c r="DR42" s="30"/>
      <c r="DS42" s="30"/>
      <c r="DT42" s="45"/>
      <c r="DU42" s="46"/>
      <c r="DV42" s="31"/>
      <c r="DW42" s="60"/>
      <c r="DX42" s="61"/>
      <c r="DY42" s="61"/>
      <c r="DZ42" s="62"/>
      <c r="EA42" s="63"/>
      <c r="EB42" s="61"/>
      <c r="EC42" s="61"/>
      <c r="ED42" s="61"/>
      <c r="EE42" s="61"/>
      <c r="EF42" s="61"/>
      <c r="EG42" s="61"/>
      <c r="EH42" s="61"/>
      <c r="EI42" s="61"/>
      <c r="EJ42" s="61"/>
      <c r="EK42" s="62"/>
      <c r="EL42" s="63"/>
      <c r="EM42" s="61"/>
      <c r="EN42" s="61"/>
      <c r="EO42" s="65"/>
      <c r="EP42" s="63"/>
      <c r="EQ42" s="61"/>
      <c r="ER42" s="61"/>
      <c r="ES42" s="62"/>
      <c r="ET42" s="63"/>
      <c r="EU42" s="64"/>
      <c r="EV42" s="29"/>
      <c r="EW42" s="30"/>
      <c r="EX42" s="30"/>
      <c r="EY42" s="45"/>
      <c r="EZ42" s="46"/>
      <c r="FA42" s="30"/>
      <c r="FB42" s="30"/>
      <c r="FC42" s="30"/>
      <c r="FD42" s="30"/>
      <c r="FE42" s="30"/>
      <c r="FF42" s="30"/>
      <c r="FG42" s="30"/>
      <c r="FH42" s="30"/>
      <c r="FI42" s="30"/>
      <c r="FJ42" s="45"/>
      <c r="FK42" s="46"/>
      <c r="FL42" s="30"/>
      <c r="FM42" s="30"/>
      <c r="FN42" s="47"/>
      <c r="FO42" s="46"/>
      <c r="FP42" s="30"/>
      <c r="FQ42" s="30"/>
      <c r="FR42" s="45"/>
      <c r="FS42" s="46"/>
      <c r="FT42" s="31"/>
      <c r="FU42" s="5"/>
      <c r="FV42" s="1"/>
      <c r="FW42" s="1"/>
      <c r="FX42" s="15"/>
      <c r="FY42" s="10"/>
      <c r="FZ42" s="1"/>
      <c r="GA42" s="1"/>
      <c r="GB42" s="1"/>
      <c r="GC42" s="1"/>
      <c r="GD42" s="1"/>
      <c r="GE42" s="1"/>
      <c r="GF42" s="1"/>
      <c r="GG42" s="1"/>
      <c r="GH42" s="1"/>
      <c r="GI42" s="15"/>
      <c r="GJ42" s="10"/>
      <c r="GK42" s="1"/>
      <c r="GL42" s="1"/>
      <c r="GM42" s="13"/>
      <c r="GN42" s="10"/>
      <c r="GO42" s="1"/>
      <c r="GP42" s="1"/>
      <c r="GQ42" s="15"/>
      <c r="GR42" s="10"/>
      <c r="GS42" s="6"/>
      <c r="GT42" s="29"/>
      <c r="GU42" s="30"/>
      <c r="GV42" s="30"/>
      <c r="GW42" s="45"/>
      <c r="GX42" s="46"/>
      <c r="GY42" s="30"/>
      <c r="GZ42" s="30"/>
      <c r="HA42" s="30"/>
      <c r="HB42" s="30"/>
      <c r="HC42" s="30"/>
      <c r="HD42" s="30"/>
      <c r="HE42" s="30"/>
      <c r="HF42" s="30"/>
      <c r="HG42" s="30"/>
      <c r="HH42" s="45"/>
      <c r="HI42" s="46"/>
      <c r="HJ42" s="30"/>
      <c r="HK42" s="30"/>
      <c r="HL42" s="47"/>
      <c r="HM42" s="46"/>
      <c r="HN42" s="30"/>
      <c r="HO42" s="30"/>
      <c r="HP42" s="45"/>
      <c r="HQ42" s="46"/>
      <c r="HR42" s="31"/>
      <c r="HS42" s="5"/>
      <c r="HT42" s="1"/>
      <c r="HU42" s="1"/>
      <c r="HV42" s="15"/>
      <c r="HW42" s="10"/>
      <c r="HX42" s="1"/>
      <c r="HY42" s="1"/>
      <c r="HZ42" s="1"/>
      <c r="IA42" s="1"/>
      <c r="IB42" s="1"/>
      <c r="IC42" s="1"/>
      <c r="ID42" s="1"/>
      <c r="IE42" s="1"/>
      <c r="IF42" s="1"/>
      <c r="IG42" s="15"/>
      <c r="IH42" s="10"/>
      <c r="II42" s="1"/>
      <c r="IJ42" s="1"/>
      <c r="IK42" s="13"/>
      <c r="IL42" s="10"/>
      <c r="IM42" s="1"/>
      <c r="IN42" s="1"/>
      <c r="IO42" s="15"/>
      <c r="IP42" s="10"/>
      <c r="IQ42" s="6"/>
    </row>
    <row r="43" spans="1:251" x14ac:dyDescent="0.25">
      <c r="A43" s="2">
        <v>4531</v>
      </c>
      <c r="B43" s="29"/>
      <c r="C43" s="30"/>
      <c r="D43" s="30"/>
      <c r="E43" s="45"/>
      <c r="F43" s="46"/>
      <c r="G43" s="30"/>
      <c r="H43" s="30"/>
      <c r="I43" s="30"/>
      <c r="J43" s="30"/>
      <c r="K43" s="30"/>
      <c r="L43" s="30"/>
      <c r="M43" s="30"/>
      <c r="N43" s="30"/>
      <c r="O43" s="30"/>
      <c r="P43" s="45"/>
      <c r="Q43" s="46"/>
      <c r="R43" s="30"/>
      <c r="S43" s="30"/>
      <c r="T43" s="47"/>
      <c r="U43" s="46"/>
      <c r="V43" s="30"/>
      <c r="W43" s="30"/>
      <c r="X43" s="45"/>
      <c r="Y43" s="46"/>
      <c r="Z43" s="31"/>
      <c r="AA43" s="5"/>
      <c r="AB43" s="1"/>
      <c r="AC43" s="1"/>
      <c r="AD43" s="15"/>
      <c r="AE43" s="10"/>
      <c r="AF43" s="1"/>
      <c r="AG43" s="1"/>
      <c r="AH43" s="1"/>
      <c r="AI43" s="1"/>
      <c r="AJ43" s="1"/>
      <c r="AK43" s="1"/>
      <c r="AL43" s="1"/>
      <c r="AM43" s="1"/>
      <c r="AN43" s="1"/>
      <c r="AO43" s="15"/>
      <c r="AP43" s="10"/>
      <c r="AQ43" s="1"/>
      <c r="AR43" s="1"/>
      <c r="AS43" s="13"/>
      <c r="AT43" s="10"/>
      <c r="AU43" s="1"/>
      <c r="AV43" s="1"/>
      <c r="AW43" s="15"/>
      <c r="AX43" s="10"/>
      <c r="AY43" s="6"/>
      <c r="AZ43" s="29"/>
      <c r="BA43" s="30"/>
      <c r="BB43" s="30"/>
      <c r="BC43" s="45"/>
      <c r="BD43" s="46"/>
      <c r="BE43" s="30"/>
      <c r="BF43" s="30"/>
      <c r="BG43" s="30"/>
      <c r="BH43" s="30"/>
      <c r="BI43" s="30"/>
      <c r="BJ43" s="30"/>
      <c r="BK43" s="30"/>
      <c r="BL43" s="30"/>
      <c r="BM43" s="30"/>
      <c r="BN43" s="45"/>
      <c r="BO43" s="46"/>
      <c r="BP43" s="30"/>
      <c r="BQ43" s="30"/>
      <c r="BR43" s="47"/>
      <c r="BS43" s="46"/>
      <c r="BT43" s="30"/>
      <c r="BU43" s="30"/>
      <c r="BV43" s="45"/>
      <c r="BW43" s="46"/>
      <c r="BX43" s="31"/>
      <c r="BY43" s="5"/>
      <c r="BZ43" s="1"/>
      <c r="CA43" s="1"/>
      <c r="CB43" s="15"/>
      <c r="CC43" s="10"/>
      <c r="CD43" s="1"/>
      <c r="CE43" s="1"/>
      <c r="CF43" s="1"/>
      <c r="CG43" s="1"/>
      <c r="CH43" s="1"/>
      <c r="CI43" s="1"/>
      <c r="CJ43" s="1"/>
      <c r="CK43" s="1"/>
      <c r="CL43" s="1"/>
      <c r="CM43" s="15"/>
      <c r="CN43" s="10"/>
      <c r="CO43" s="1"/>
      <c r="CP43" s="1"/>
      <c r="CQ43" s="13"/>
      <c r="CR43" s="10"/>
      <c r="CS43" s="1"/>
      <c r="CT43" s="1"/>
      <c r="CU43" s="15"/>
      <c r="CV43" s="10"/>
      <c r="CW43" s="6"/>
      <c r="CX43" s="29"/>
      <c r="CY43" s="30"/>
      <c r="CZ43" s="30"/>
      <c r="DA43" s="45"/>
      <c r="DB43" s="46"/>
      <c r="DC43" s="30"/>
      <c r="DD43" s="30"/>
      <c r="DE43" s="30"/>
      <c r="DF43" s="30"/>
      <c r="DG43" s="30"/>
      <c r="DH43" s="30"/>
      <c r="DI43" s="30"/>
      <c r="DJ43" s="30"/>
      <c r="DK43" s="30"/>
      <c r="DL43" s="45"/>
      <c r="DM43" s="46"/>
      <c r="DN43" s="30"/>
      <c r="DO43" s="30"/>
      <c r="DP43" s="47"/>
      <c r="DQ43" s="46"/>
      <c r="DR43" s="30"/>
      <c r="DS43" s="30"/>
      <c r="DT43" s="45"/>
      <c r="DU43" s="46"/>
      <c r="DV43" s="31"/>
      <c r="DW43" s="60"/>
      <c r="DX43" s="61"/>
      <c r="DY43" s="61"/>
      <c r="DZ43" s="62"/>
      <c r="EA43" s="63"/>
      <c r="EB43" s="61"/>
      <c r="EC43" s="61"/>
      <c r="ED43" s="61"/>
      <c r="EE43" s="61"/>
      <c r="EF43" s="61"/>
      <c r="EG43" s="61"/>
      <c r="EH43" s="61"/>
      <c r="EI43" s="61"/>
      <c r="EJ43" s="61"/>
      <c r="EK43" s="62"/>
      <c r="EL43" s="63"/>
      <c r="EM43" s="61"/>
      <c r="EN43" s="61"/>
      <c r="EO43" s="65"/>
      <c r="EP43" s="63"/>
      <c r="EQ43" s="61"/>
      <c r="ER43" s="61"/>
      <c r="ES43" s="62"/>
      <c r="ET43" s="63"/>
      <c r="EU43" s="64"/>
      <c r="EV43" s="29"/>
      <c r="EW43" s="30"/>
      <c r="EX43" s="30"/>
      <c r="EY43" s="45"/>
      <c r="EZ43" s="46"/>
      <c r="FA43" s="30"/>
      <c r="FB43" s="30"/>
      <c r="FC43" s="30"/>
      <c r="FD43" s="30"/>
      <c r="FE43" s="30"/>
      <c r="FF43" s="30"/>
      <c r="FG43" s="30"/>
      <c r="FH43" s="30"/>
      <c r="FI43" s="30"/>
      <c r="FJ43" s="45"/>
      <c r="FK43" s="46"/>
      <c r="FL43" s="30"/>
      <c r="FM43" s="30"/>
      <c r="FN43" s="47"/>
      <c r="FO43" s="46"/>
      <c r="FP43" s="30"/>
      <c r="FQ43" s="30"/>
      <c r="FR43" s="45"/>
      <c r="FS43" s="46"/>
      <c r="FT43" s="31"/>
      <c r="FU43" s="5"/>
      <c r="FV43" s="1"/>
      <c r="FW43" s="1"/>
      <c r="FX43" s="15"/>
      <c r="FY43" s="10"/>
      <c r="FZ43" s="1"/>
      <c r="GA43" s="1"/>
      <c r="GB43" s="1"/>
      <c r="GC43" s="1"/>
      <c r="GD43" s="1"/>
      <c r="GE43" s="1"/>
      <c r="GF43" s="1"/>
      <c r="GG43" s="1"/>
      <c r="GH43" s="1"/>
      <c r="GI43" s="15"/>
      <c r="GJ43" s="10"/>
      <c r="GK43" s="1"/>
      <c r="GL43" s="1"/>
      <c r="GM43" s="13"/>
      <c r="GN43" s="10"/>
      <c r="GO43" s="1"/>
      <c r="GP43" s="1"/>
      <c r="GQ43" s="15"/>
      <c r="GR43" s="10"/>
      <c r="GS43" s="6"/>
      <c r="GT43" s="29"/>
      <c r="GU43" s="30"/>
      <c r="GV43" s="30"/>
      <c r="GW43" s="45"/>
      <c r="GX43" s="46"/>
      <c r="GY43" s="30"/>
      <c r="GZ43" s="30"/>
      <c r="HA43" s="30"/>
      <c r="HB43" s="30"/>
      <c r="HC43" s="30"/>
      <c r="HD43" s="30"/>
      <c r="HE43" s="30"/>
      <c r="HF43" s="30"/>
      <c r="HG43" s="30"/>
      <c r="HH43" s="45"/>
      <c r="HI43" s="46"/>
      <c r="HJ43" s="30"/>
      <c r="HK43" s="30"/>
      <c r="HL43" s="47"/>
      <c r="HM43" s="46"/>
      <c r="HN43" s="30"/>
      <c r="HO43" s="30"/>
      <c r="HP43" s="45"/>
      <c r="HQ43" s="46"/>
      <c r="HR43" s="31"/>
      <c r="HS43" s="5"/>
      <c r="HT43" s="1"/>
      <c r="HU43" s="1"/>
      <c r="HV43" s="15"/>
      <c r="HW43" s="10"/>
      <c r="HX43" s="1"/>
      <c r="HY43" s="1"/>
      <c r="HZ43" s="1"/>
      <c r="IA43" s="1"/>
      <c r="IB43" s="1"/>
      <c r="IC43" s="1"/>
      <c r="ID43" s="1"/>
      <c r="IE43" s="1"/>
      <c r="IF43" s="1"/>
      <c r="IG43" s="15"/>
      <c r="IH43" s="10"/>
      <c r="II43" s="1"/>
      <c r="IJ43" s="1"/>
      <c r="IK43" s="13"/>
      <c r="IL43" s="10"/>
      <c r="IM43" s="1"/>
      <c r="IN43" s="1"/>
      <c r="IO43" s="15"/>
      <c r="IP43" s="10"/>
      <c r="IQ43" s="6"/>
    </row>
    <row r="44" spans="1:251" x14ac:dyDescent="0.25">
      <c r="A44" s="2">
        <v>4549</v>
      </c>
      <c r="B44" s="29"/>
      <c r="C44" s="30"/>
      <c r="D44" s="30"/>
      <c r="E44" s="45"/>
      <c r="F44" s="46"/>
      <c r="G44" s="30"/>
      <c r="H44" s="30"/>
      <c r="I44" s="30"/>
      <c r="J44" s="30"/>
      <c r="K44" s="30"/>
      <c r="L44" s="30"/>
      <c r="M44" s="30"/>
      <c r="N44" s="30"/>
      <c r="O44" s="30"/>
      <c r="P44" s="45"/>
      <c r="Q44" s="46"/>
      <c r="R44" s="30"/>
      <c r="S44" s="30"/>
      <c r="T44" s="47"/>
      <c r="U44" s="46"/>
      <c r="V44" s="30"/>
      <c r="W44" s="30"/>
      <c r="X44" s="45"/>
      <c r="Y44" s="46"/>
      <c r="Z44" s="31"/>
      <c r="AA44" s="5"/>
      <c r="AB44" s="1"/>
      <c r="AC44" s="1"/>
      <c r="AD44" s="15"/>
      <c r="AE44" s="10"/>
      <c r="AF44" s="1"/>
      <c r="AG44" s="1"/>
      <c r="AH44" s="1"/>
      <c r="AI44" s="1"/>
      <c r="AJ44" s="1"/>
      <c r="AK44" s="1"/>
      <c r="AL44" s="1"/>
      <c r="AM44" s="1"/>
      <c r="AN44" s="1"/>
      <c r="AO44" s="15"/>
      <c r="AP44" s="10"/>
      <c r="AQ44" s="1"/>
      <c r="AR44" s="1"/>
      <c r="AS44" s="13"/>
      <c r="AT44" s="10"/>
      <c r="AU44" s="1"/>
      <c r="AV44" s="1"/>
      <c r="AW44" s="15"/>
      <c r="AX44" s="10"/>
      <c r="AY44" s="6"/>
      <c r="AZ44" s="29"/>
      <c r="BA44" s="30"/>
      <c r="BB44" s="30"/>
      <c r="BC44" s="45"/>
      <c r="BD44" s="46"/>
      <c r="BE44" s="30"/>
      <c r="BF44" s="30"/>
      <c r="BG44" s="30"/>
      <c r="BH44" s="30"/>
      <c r="BI44" s="30"/>
      <c r="BJ44" s="30"/>
      <c r="BK44" s="30"/>
      <c r="BL44" s="30"/>
      <c r="BM44" s="30"/>
      <c r="BN44" s="45"/>
      <c r="BO44" s="46"/>
      <c r="BP44" s="30"/>
      <c r="BQ44" s="30"/>
      <c r="BR44" s="47"/>
      <c r="BS44" s="46"/>
      <c r="BT44" s="30"/>
      <c r="BU44" s="30"/>
      <c r="BV44" s="45"/>
      <c r="BW44" s="46"/>
      <c r="BX44" s="31"/>
      <c r="BY44" s="5"/>
      <c r="BZ44" s="1"/>
      <c r="CA44" s="1"/>
      <c r="CB44" s="15"/>
      <c r="CC44" s="10"/>
      <c r="CD44" s="1"/>
      <c r="CE44" s="1"/>
      <c r="CF44" s="1"/>
      <c r="CG44" s="1"/>
      <c r="CH44" s="1"/>
      <c r="CI44" s="1"/>
      <c r="CJ44" s="1"/>
      <c r="CK44" s="1"/>
      <c r="CL44" s="1"/>
      <c r="CM44" s="15"/>
      <c r="CN44" s="10"/>
      <c r="CO44" s="1"/>
      <c r="CP44" s="1"/>
      <c r="CQ44" s="13"/>
      <c r="CR44" s="10"/>
      <c r="CS44" s="1"/>
      <c r="CT44" s="1"/>
      <c r="CU44" s="15"/>
      <c r="CV44" s="10"/>
      <c r="CW44" s="6"/>
      <c r="CX44" s="29"/>
      <c r="CY44" s="30"/>
      <c r="CZ44" s="30"/>
      <c r="DA44" s="45"/>
      <c r="DB44" s="46"/>
      <c r="DC44" s="30"/>
      <c r="DD44" s="30"/>
      <c r="DE44" s="30"/>
      <c r="DF44" s="30"/>
      <c r="DG44" s="30"/>
      <c r="DH44" s="30"/>
      <c r="DI44" s="30"/>
      <c r="DJ44" s="30"/>
      <c r="DK44" s="30"/>
      <c r="DL44" s="45"/>
      <c r="DM44" s="46"/>
      <c r="DN44" s="30"/>
      <c r="DO44" s="30"/>
      <c r="DP44" s="47"/>
      <c r="DQ44" s="46"/>
      <c r="DR44" s="30"/>
      <c r="DS44" s="30"/>
      <c r="DT44" s="45"/>
      <c r="DU44" s="46"/>
      <c r="DV44" s="31"/>
      <c r="DW44" s="60"/>
      <c r="DX44" s="61"/>
      <c r="DY44" s="61"/>
      <c r="DZ44" s="62"/>
      <c r="EA44" s="63"/>
      <c r="EB44" s="61"/>
      <c r="EC44" s="61"/>
      <c r="ED44" s="61"/>
      <c r="EE44" s="61"/>
      <c r="EF44" s="61"/>
      <c r="EG44" s="61"/>
      <c r="EH44" s="61"/>
      <c r="EI44" s="61"/>
      <c r="EJ44" s="61"/>
      <c r="EK44" s="62"/>
      <c r="EL44" s="63"/>
      <c r="EM44" s="61"/>
      <c r="EN44" s="61"/>
      <c r="EO44" s="65"/>
      <c r="EP44" s="63"/>
      <c r="EQ44" s="61"/>
      <c r="ER44" s="61"/>
      <c r="ES44" s="62"/>
      <c r="ET44" s="63"/>
      <c r="EU44" s="64"/>
      <c r="EV44" s="29"/>
      <c r="EW44" s="30"/>
      <c r="EX44" s="30"/>
      <c r="EY44" s="45"/>
      <c r="EZ44" s="46"/>
      <c r="FA44" s="30"/>
      <c r="FB44" s="30"/>
      <c r="FC44" s="30"/>
      <c r="FD44" s="30"/>
      <c r="FE44" s="30"/>
      <c r="FF44" s="30"/>
      <c r="FG44" s="30"/>
      <c r="FH44" s="30"/>
      <c r="FI44" s="30"/>
      <c r="FJ44" s="45"/>
      <c r="FK44" s="46"/>
      <c r="FL44" s="30"/>
      <c r="FM44" s="30"/>
      <c r="FN44" s="47"/>
      <c r="FO44" s="46"/>
      <c r="FP44" s="30"/>
      <c r="FQ44" s="30"/>
      <c r="FR44" s="45"/>
      <c r="FS44" s="46"/>
      <c r="FT44" s="31"/>
      <c r="FU44" s="5"/>
      <c r="FV44" s="1"/>
      <c r="FW44" s="1"/>
      <c r="FX44" s="15"/>
      <c r="FY44" s="10"/>
      <c r="FZ44" s="1"/>
      <c r="GA44" s="1"/>
      <c r="GB44" s="1"/>
      <c r="GC44" s="1"/>
      <c r="GD44" s="1"/>
      <c r="GE44" s="1"/>
      <c r="GF44" s="1"/>
      <c r="GG44" s="1"/>
      <c r="GH44" s="1"/>
      <c r="GI44" s="15"/>
      <c r="GJ44" s="10"/>
      <c r="GK44" s="1"/>
      <c r="GL44" s="1"/>
      <c r="GM44" s="13"/>
      <c r="GN44" s="10"/>
      <c r="GO44" s="1"/>
      <c r="GP44" s="1"/>
      <c r="GQ44" s="15"/>
      <c r="GR44" s="10"/>
      <c r="GS44" s="6"/>
      <c r="GT44" s="29"/>
      <c r="GU44" s="30"/>
      <c r="GV44" s="30"/>
      <c r="GW44" s="45"/>
      <c r="GX44" s="46"/>
      <c r="GY44" s="30"/>
      <c r="GZ44" s="30"/>
      <c r="HA44" s="30"/>
      <c r="HB44" s="30"/>
      <c r="HC44" s="30"/>
      <c r="HD44" s="30"/>
      <c r="HE44" s="30"/>
      <c r="HF44" s="30"/>
      <c r="HG44" s="30"/>
      <c r="HH44" s="45"/>
      <c r="HI44" s="46"/>
      <c r="HJ44" s="30"/>
      <c r="HK44" s="30"/>
      <c r="HL44" s="47"/>
      <c r="HM44" s="46"/>
      <c r="HN44" s="30"/>
      <c r="HO44" s="30"/>
      <c r="HP44" s="45"/>
      <c r="HQ44" s="46"/>
      <c r="HR44" s="31"/>
      <c r="HS44" s="5"/>
      <c r="HT44" s="1"/>
      <c r="HU44" s="1"/>
      <c r="HV44" s="15"/>
      <c r="HW44" s="10"/>
      <c r="HX44" s="1"/>
      <c r="HY44" s="1"/>
      <c r="HZ44" s="1"/>
      <c r="IA44" s="1"/>
      <c r="IB44" s="1"/>
      <c r="IC44" s="1"/>
      <c r="ID44" s="1"/>
      <c r="IE44" s="1"/>
      <c r="IF44" s="1"/>
      <c r="IG44" s="15"/>
      <c r="IH44" s="10"/>
      <c r="II44" s="1"/>
      <c r="IJ44" s="1"/>
      <c r="IK44" s="13"/>
      <c r="IL44" s="10"/>
      <c r="IM44" s="1"/>
      <c r="IN44" s="1"/>
      <c r="IO44" s="15"/>
      <c r="IP44" s="10"/>
      <c r="IQ44" s="6"/>
    </row>
    <row r="45" spans="1:251" x14ac:dyDescent="0.25">
      <c r="A45" s="2">
        <v>4623</v>
      </c>
      <c r="B45" s="29"/>
      <c r="C45" s="30"/>
      <c r="D45" s="30"/>
      <c r="E45" s="45"/>
      <c r="F45" s="46"/>
      <c r="G45" s="30"/>
      <c r="H45" s="30"/>
      <c r="I45" s="30"/>
      <c r="J45" s="30"/>
      <c r="K45" s="30"/>
      <c r="L45" s="30"/>
      <c r="M45" s="30"/>
      <c r="N45" s="30"/>
      <c r="O45" s="30"/>
      <c r="P45" s="45"/>
      <c r="Q45" s="46"/>
      <c r="R45" s="30"/>
      <c r="S45" s="30"/>
      <c r="T45" s="47"/>
      <c r="U45" s="46"/>
      <c r="V45" s="30"/>
      <c r="W45" s="30"/>
      <c r="X45" s="45"/>
      <c r="Y45" s="46"/>
      <c r="Z45" s="31"/>
      <c r="AA45" s="5"/>
      <c r="AB45" s="1"/>
      <c r="AC45" s="1"/>
      <c r="AD45" s="15"/>
      <c r="AE45" s="10"/>
      <c r="AF45" s="1"/>
      <c r="AG45" s="1"/>
      <c r="AH45" s="1"/>
      <c r="AI45" s="1"/>
      <c r="AJ45" s="1"/>
      <c r="AK45" s="1"/>
      <c r="AL45" s="1"/>
      <c r="AM45" s="1"/>
      <c r="AN45" s="1"/>
      <c r="AO45" s="15"/>
      <c r="AP45" s="10"/>
      <c r="AQ45" s="1"/>
      <c r="AR45" s="1"/>
      <c r="AS45" s="13"/>
      <c r="AT45" s="10"/>
      <c r="AU45" s="1"/>
      <c r="AV45" s="1"/>
      <c r="AW45" s="15"/>
      <c r="AX45" s="10"/>
      <c r="AY45" s="6"/>
      <c r="AZ45" s="29"/>
      <c r="BA45" s="30"/>
      <c r="BB45" s="30"/>
      <c r="BC45" s="45"/>
      <c r="BD45" s="46"/>
      <c r="BE45" s="30"/>
      <c r="BF45" s="30"/>
      <c r="BG45" s="30"/>
      <c r="BH45" s="30"/>
      <c r="BI45" s="30"/>
      <c r="BJ45" s="30"/>
      <c r="BK45" s="30"/>
      <c r="BL45" s="30"/>
      <c r="BM45" s="30"/>
      <c r="BN45" s="45"/>
      <c r="BO45" s="46"/>
      <c r="BP45" s="30"/>
      <c r="BQ45" s="30"/>
      <c r="BR45" s="47"/>
      <c r="BS45" s="46"/>
      <c r="BT45" s="30"/>
      <c r="BU45" s="30"/>
      <c r="BV45" s="45"/>
      <c r="BW45" s="46"/>
      <c r="BX45" s="31"/>
      <c r="BY45" s="5"/>
      <c r="BZ45" s="1"/>
      <c r="CA45" s="1"/>
      <c r="CB45" s="15"/>
      <c r="CC45" s="10"/>
      <c r="CD45" s="1"/>
      <c r="CE45" s="1"/>
      <c r="CF45" s="1"/>
      <c r="CG45" s="1"/>
      <c r="CH45" s="1"/>
      <c r="CI45" s="1"/>
      <c r="CJ45" s="1"/>
      <c r="CK45" s="1"/>
      <c r="CL45" s="1"/>
      <c r="CM45" s="15"/>
      <c r="CN45" s="10"/>
      <c r="CO45" s="1"/>
      <c r="CP45" s="1"/>
      <c r="CQ45" s="13"/>
      <c r="CR45" s="10"/>
      <c r="CS45" s="1"/>
      <c r="CT45" s="1"/>
      <c r="CU45" s="15"/>
      <c r="CV45" s="10"/>
      <c r="CW45" s="6"/>
      <c r="CX45" s="29"/>
      <c r="CY45" s="30"/>
      <c r="CZ45" s="30"/>
      <c r="DA45" s="45"/>
      <c r="DB45" s="46"/>
      <c r="DC45" s="30"/>
      <c r="DD45" s="30"/>
      <c r="DE45" s="30"/>
      <c r="DF45" s="30"/>
      <c r="DG45" s="30"/>
      <c r="DH45" s="30"/>
      <c r="DI45" s="30"/>
      <c r="DJ45" s="30"/>
      <c r="DK45" s="30"/>
      <c r="DL45" s="45"/>
      <c r="DM45" s="46"/>
      <c r="DN45" s="30"/>
      <c r="DO45" s="30"/>
      <c r="DP45" s="47"/>
      <c r="DQ45" s="46"/>
      <c r="DR45" s="30"/>
      <c r="DS45" s="30"/>
      <c r="DT45" s="45"/>
      <c r="DU45" s="46"/>
      <c r="DV45" s="31"/>
      <c r="DW45" s="60"/>
      <c r="DX45" s="61"/>
      <c r="DY45" s="61"/>
      <c r="DZ45" s="62"/>
      <c r="EA45" s="63"/>
      <c r="EB45" s="61"/>
      <c r="EC45" s="61"/>
      <c r="ED45" s="61"/>
      <c r="EE45" s="61"/>
      <c r="EF45" s="61"/>
      <c r="EG45" s="61"/>
      <c r="EH45" s="61"/>
      <c r="EI45" s="61"/>
      <c r="EJ45" s="61"/>
      <c r="EK45" s="62"/>
      <c r="EL45" s="63"/>
      <c r="EM45" s="61"/>
      <c r="EN45" s="61"/>
      <c r="EO45" s="65"/>
      <c r="EP45" s="63"/>
      <c r="EQ45" s="61"/>
      <c r="ER45" s="61"/>
      <c r="ES45" s="62"/>
      <c r="ET45" s="63"/>
      <c r="EU45" s="64"/>
      <c r="EV45" s="29"/>
      <c r="EW45" s="30"/>
      <c r="EX45" s="30"/>
      <c r="EY45" s="45"/>
      <c r="EZ45" s="46"/>
      <c r="FA45" s="30"/>
      <c r="FB45" s="30"/>
      <c r="FC45" s="30"/>
      <c r="FD45" s="30"/>
      <c r="FE45" s="30"/>
      <c r="FF45" s="30"/>
      <c r="FG45" s="30"/>
      <c r="FH45" s="30"/>
      <c r="FI45" s="30"/>
      <c r="FJ45" s="45"/>
      <c r="FK45" s="46"/>
      <c r="FL45" s="30"/>
      <c r="FM45" s="30"/>
      <c r="FN45" s="47"/>
      <c r="FO45" s="46"/>
      <c r="FP45" s="30"/>
      <c r="FQ45" s="30"/>
      <c r="FR45" s="45"/>
      <c r="FS45" s="46"/>
      <c r="FT45" s="31"/>
      <c r="FU45" s="5"/>
      <c r="FV45" s="1"/>
      <c r="FW45" s="1"/>
      <c r="FX45" s="15"/>
      <c r="FY45" s="10"/>
      <c r="FZ45" s="1"/>
      <c r="GA45" s="1"/>
      <c r="GB45" s="1"/>
      <c r="GC45" s="1"/>
      <c r="GD45" s="1"/>
      <c r="GE45" s="1"/>
      <c r="GF45" s="1"/>
      <c r="GG45" s="1"/>
      <c r="GH45" s="1"/>
      <c r="GI45" s="15"/>
      <c r="GJ45" s="10"/>
      <c r="GK45" s="1"/>
      <c r="GL45" s="1"/>
      <c r="GM45" s="13"/>
      <c r="GN45" s="10"/>
      <c r="GO45" s="1"/>
      <c r="GP45" s="1"/>
      <c r="GQ45" s="15"/>
      <c r="GR45" s="10"/>
      <c r="GS45" s="6"/>
      <c r="GT45" s="29"/>
      <c r="GU45" s="30"/>
      <c r="GV45" s="30"/>
      <c r="GW45" s="45"/>
      <c r="GX45" s="46"/>
      <c r="GY45" s="30"/>
      <c r="GZ45" s="30"/>
      <c r="HA45" s="30"/>
      <c r="HB45" s="30"/>
      <c r="HC45" s="30"/>
      <c r="HD45" s="30"/>
      <c r="HE45" s="30"/>
      <c r="HF45" s="30"/>
      <c r="HG45" s="30"/>
      <c r="HH45" s="45"/>
      <c r="HI45" s="46"/>
      <c r="HJ45" s="30"/>
      <c r="HK45" s="30"/>
      <c r="HL45" s="47"/>
      <c r="HM45" s="46"/>
      <c r="HN45" s="30"/>
      <c r="HO45" s="30"/>
      <c r="HP45" s="45"/>
      <c r="HQ45" s="46"/>
      <c r="HR45" s="31"/>
      <c r="HS45" s="5"/>
      <c r="HT45" s="1"/>
      <c r="HU45" s="1"/>
      <c r="HV45" s="15"/>
      <c r="HW45" s="10"/>
      <c r="HX45" s="1"/>
      <c r="HY45" s="1"/>
      <c r="HZ45" s="1"/>
      <c r="IA45" s="1"/>
      <c r="IB45" s="1"/>
      <c r="IC45" s="1"/>
      <c r="ID45" s="1"/>
      <c r="IE45" s="1"/>
      <c r="IF45" s="1"/>
      <c r="IG45" s="15"/>
      <c r="IH45" s="10"/>
      <c r="II45" s="1"/>
      <c r="IJ45" s="1"/>
      <c r="IK45" s="13"/>
      <c r="IL45" s="10"/>
      <c r="IM45" s="1"/>
      <c r="IN45" s="1"/>
      <c r="IO45" s="15"/>
      <c r="IP45" s="10"/>
      <c r="IQ45" s="6"/>
    </row>
    <row r="46" spans="1:251" x14ac:dyDescent="0.25">
      <c r="A46" s="2">
        <v>4624</v>
      </c>
      <c r="B46" s="29"/>
      <c r="C46" s="30"/>
      <c r="D46" s="30"/>
      <c r="E46" s="45"/>
      <c r="F46" s="46"/>
      <c r="G46" s="30"/>
      <c r="H46" s="30"/>
      <c r="I46" s="30"/>
      <c r="J46" s="30"/>
      <c r="K46" s="30"/>
      <c r="L46" s="30"/>
      <c r="M46" s="30"/>
      <c r="N46" s="30"/>
      <c r="O46" s="30"/>
      <c r="P46" s="45"/>
      <c r="Q46" s="46"/>
      <c r="R46" s="30"/>
      <c r="S46" s="30"/>
      <c r="T46" s="47"/>
      <c r="U46" s="46"/>
      <c r="V46" s="30"/>
      <c r="W46" s="30"/>
      <c r="X46" s="45"/>
      <c r="Y46" s="46"/>
      <c r="Z46" s="31"/>
      <c r="AA46" s="5"/>
      <c r="AB46" s="1"/>
      <c r="AC46" s="1"/>
      <c r="AD46" s="15"/>
      <c r="AE46" s="10"/>
      <c r="AF46" s="1"/>
      <c r="AG46" s="1"/>
      <c r="AH46" s="1"/>
      <c r="AI46" s="1"/>
      <c r="AJ46" s="1"/>
      <c r="AK46" s="1"/>
      <c r="AL46" s="1"/>
      <c r="AM46" s="1"/>
      <c r="AN46" s="1"/>
      <c r="AO46" s="15"/>
      <c r="AP46" s="10"/>
      <c r="AQ46" s="1"/>
      <c r="AR46" s="1"/>
      <c r="AS46" s="13"/>
      <c r="AT46" s="10"/>
      <c r="AU46" s="1"/>
      <c r="AV46" s="1"/>
      <c r="AW46" s="15"/>
      <c r="AX46" s="10"/>
      <c r="AY46" s="6"/>
      <c r="AZ46" s="29"/>
      <c r="BA46" s="30"/>
      <c r="BB46" s="30"/>
      <c r="BC46" s="45"/>
      <c r="BD46" s="46"/>
      <c r="BE46" s="30"/>
      <c r="BF46" s="30"/>
      <c r="BG46" s="30"/>
      <c r="BH46" s="30"/>
      <c r="BI46" s="30"/>
      <c r="BJ46" s="30"/>
      <c r="BK46" s="30"/>
      <c r="BL46" s="30"/>
      <c r="BM46" s="30"/>
      <c r="BN46" s="45"/>
      <c r="BO46" s="46"/>
      <c r="BP46" s="30"/>
      <c r="BQ46" s="30"/>
      <c r="BR46" s="47"/>
      <c r="BS46" s="46"/>
      <c r="BT46" s="30"/>
      <c r="BU46" s="30"/>
      <c r="BV46" s="45"/>
      <c r="BW46" s="46"/>
      <c r="BX46" s="31"/>
      <c r="BY46" s="5"/>
      <c r="BZ46" s="1"/>
      <c r="CA46" s="1"/>
      <c r="CB46" s="15"/>
      <c r="CC46" s="10"/>
      <c r="CD46" s="1"/>
      <c r="CE46" s="1"/>
      <c r="CF46" s="1"/>
      <c r="CG46" s="1"/>
      <c r="CH46" s="1"/>
      <c r="CI46" s="1"/>
      <c r="CJ46" s="1"/>
      <c r="CK46" s="1"/>
      <c r="CL46" s="1"/>
      <c r="CM46" s="15"/>
      <c r="CN46" s="10"/>
      <c r="CO46" s="1"/>
      <c r="CP46" s="1"/>
      <c r="CQ46" s="13"/>
      <c r="CR46" s="10"/>
      <c r="CS46" s="1"/>
      <c r="CT46" s="1"/>
      <c r="CU46" s="15"/>
      <c r="CV46" s="10"/>
      <c r="CW46" s="6"/>
      <c r="CX46" s="29"/>
      <c r="CY46" s="30"/>
      <c r="CZ46" s="30"/>
      <c r="DA46" s="45"/>
      <c r="DB46" s="46"/>
      <c r="DC46" s="30"/>
      <c r="DD46" s="30"/>
      <c r="DE46" s="30"/>
      <c r="DF46" s="30"/>
      <c r="DG46" s="30"/>
      <c r="DH46" s="30"/>
      <c r="DI46" s="30"/>
      <c r="DJ46" s="30"/>
      <c r="DK46" s="30"/>
      <c r="DL46" s="45"/>
      <c r="DM46" s="46"/>
      <c r="DN46" s="30"/>
      <c r="DO46" s="30"/>
      <c r="DP46" s="47"/>
      <c r="DQ46" s="46"/>
      <c r="DR46" s="30"/>
      <c r="DS46" s="30"/>
      <c r="DT46" s="45"/>
      <c r="DU46" s="46"/>
      <c r="DV46" s="31"/>
      <c r="DW46" s="60"/>
      <c r="DX46" s="61"/>
      <c r="DY46" s="61"/>
      <c r="DZ46" s="62"/>
      <c r="EA46" s="63"/>
      <c r="EB46" s="61"/>
      <c r="EC46" s="61"/>
      <c r="ED46" s="61"/>
      <c r="EE46" s="61"/>
      <c r="EF46" s="61"/>
      <c r="EG46" s="61"/>
      <c r="EH46" s="61"/>
      <c r="EI46" s="61"/>
      <c r="EJ46" s="61"/>
      <c r="EK46" s="62"/>
      <c r="EL46" s="63"/>
      <c r="EM46" s="61"/>
      <c r="EN46" s="61"/>
      <c r="EO46" s="65"/>
      <c r="EP46" s="63"/>
      <c r="EQ46" s="61"/>
      <c r="ER46" s="61"/>
      <c r="ES46" s="62"/>
      <c r="ET46" s="63"/>
      <c r="EU46" s="64"/>
      <c r="EV46" s="29"/>
      <c r="EW46" s="30"/>
      <c r="EX46" s="30"/>
      <c r="EY46" s="45"/>
      <c r="EZ46" s="46"/>
      <c r="FA46" s="30"/>
      <c r="FB46" s="30"/>
      <c r="FC46" s="30"/>
      <c r="FD46" s="30"/>
      <c r="FE46" s="30"/>
      <c r="FF46" s="30"/>
      <c r="FG46" s="30"/>
      <c r="FH46" s="30"/>
      <c r="FI46" s="30"/>
      <c r="FJ46" s="45"/>
      <c r="FK46" s="46"/>
      <c r="FL46" s="30"/>
      <c r="FM46" s="30"/>
      <c r="FN46" s="47"/>
      <c r="FO46" s="46"/>
      <c r="FP46" s="30"/>
      <c r="FQ46" s="30"/>
      <c r="FR46" s="45"/>
      <c r="FS46" s="46"/>
      <c r="FT46" s="31"/>
      <c r="FU46" s="5"/>
      <c r="FV46" s="1"/>
      <c r="FW46" s="1"/>
      <c r="FX46" s="15"/>
      <c r="FY46" s="10"/>
      <c r="FZ46" s="1"/>
      <c r="GA46" s="1"/>
      <c r="GB46" s="1"/>
      <c r="GC46" s="1"/>
      <c r="GD46" s="1"/>
      <c r="GE46" s="1"/>
      <c r="GF46" s="1"/>
      <c r="GG46" s="1"/>
      <c r="GH46" s="1"/>
      <c r="GI46" s="15"/>
      <c r="GJ46" s="10"/>
      <c r="GK46" s="1"/>
      <c r="GL46" s="1"/>
      <c r="GM46" s="13"/>
      <c r="GN46" s="10"/>
      <c r="GO46" s="1"/>
      <c r="GP46" s="1"/>
      <c r="GQ46" s="15"/>
      <c r="GR46" s="10"/>
      <c r="GS46" s="6"/>
      <c r="GT46" s="29"/>
      <c r="GU46" s="30"/>
      <c r="GV46" s="30"/>
      <c r="GW46" s="45"/>
      <c r="GX46" s="46"/>
      <c r="GY46" s="30"/>
      <c r="GZ46" s="30"/>
      <c r="HA46" s="30"/>
      <c r="HB46" s="30"/>
      <c r="HC46" s="30"/>
      <c r="HD46" s="30"/>
      <c r="HE46" s="30"/>
      <c r="HF46" s="30"/>
      <c r="HG46" s="30"/>
      <c r="HH46" s="45"/>
      <c r="HI46" s="46"/>
      <c r="HJ46" s="30"/>
      <c r="HK46" s="30"/>
      <c r="HL46" s="47"/>
      <c r="HM46" s="46"/>
      <c r="HN46" s="30"/>
      <c r="HO46" s="30"/>
      <c r="HP46" s="45"/>
      <c r="HQ46" s="46"/>
      <c r="HR46" s="31"/>
      <c r="HS46" s="5"/>
      <c r="HT46" s="1"/>
      <c r="HU46" s="1"/>
      <c r="HV46" s="15"/>
      <c r="HW46" s="10"/>
      <c r="HX46" s="1"/>
      <c r="HY46" s="1"/>
      <c r="HZ46" s="1"/>
      <c r="IA46" s="1"/>
      <c r="IB46" s="1"/>
      <c r="IC46" s="1"/>
      <c r="ID46" s="1"/>
      <c r="IE46" s="1"/>
      <c r="IF46" s="1"/>
      <c r="IG46" s="15"/>
      <c r="IH46" s="10"/>
      <c r="II46" s="1"/>
      <c r="IJ46" s="1"/>
      <c r="IK46" s="13"/>
      <c r="IL46" s="10"/>
      <c r="IM46" s="1"/>
      <c r="IN46" s="1"/>
      <c r="IO46" s="15"/>
      <c r="IP46" s="10"/>
      <c r="IQ46" s="6"/>
    </row>
    <row r="47" spans="1:251" x14ac:dyDescent="0.25">
      <c r="A47" s="2">
        <v>4656</v>
      </c>
      <c r="B47" s="29"/>
      <c r="C47" s="30"/>
      <c r="D47" s="30"/>
      <c r="E47" s="45"/>
      <c r="F47" s="46"/>
      <c r="G47" s="30"/>
      <c r="H47" s="30"/>
      <c r="I47" s="30"/>
      <c r="J47" s="30"/>
      <c r="K47" s="30"/>
      <c r="L47" s="30"/>
      <c r="M47" s="30"/>
      <c r="N47" s="30"/>
      <c r="O47" s="30"/>
      <c r="P47" s="45"/>
      <c r="Q47" s="46"/>
      <c r="R47" s="30"/>
      <c r="S47" s="30"/>
      <c r="T47" s="47"/>
      <c r="U47" s="46"/>
      <c r="V47" s="30"/>
      <c r="W47" s="30"/>
      <c r="X47" s="45"/>
      <c r="Y47" s="46"/>
      <c r="Z47" s="31"/>
      <c r="AA47" s="5"/>
      <c r="AB47" s="1"/>
      <c r="AC47" s="1"/>
      <c r="AD47" s="15"/>
      <c r="AE47" s="10"/>
      <c r="AF47" s="1"/>
      <c r="AG47" s="1"/>
      <c r="AH47" s="1"/>
      <c r="AI47" s="1"/>
      <c r="AJ47" s="1"/>
      <c r="AK47" s="1"/>
      <c r="AL47" s="1"/>
      <c r="AM47" s="1"/>
      <c r="AN47" s="1"/>
      <c r="AO47" s="15"/>
      <c r="AP47" s="10"/>
      <c r="AQ47" s="1"/>
      <c r="AR47" s="1"/>
      <c r="AS47" s="13"/>
      <c r="AT47" s="10"/>
      <c r="AU47" s="1"/>
      <c r="AV47" s="1"/>
      <c r="AW47" s="15"/>
      <c r="AX47" s="10"/>
      <c r="AY47" s="6"/>
      <c r="AZ47" s="29"/>
      <c r="BA47" s="30"/>
      <c r="BB47" s="30"/>
      <c r="BC47" s="45"/>
      <c r="BD47" s="46"/>
      <c r="BE47" s="30"/>
      <c r="BF47" s="30"/>
      <c r="BG47" s="30"/>
      <c r="BH47" s="30"/>
      <c r="BI47" s="30"/>
      <c r="BJ47" s="30"/>
      <c r="BK47" s="30"/>
      <c r="BL47" s="30"/>
      <c r="BM47" s="30"/>
      <c r="BN47" s="45"/>
      <c r="BO47" s="46"/>
      <c r="BP47" s="30"/>
      <c r="BQ47" s="30"/>
      <c r="BR47" s="47"/>
      <c r="BS47" s="46"/>
      <c r="BT47" s="30"/>
      <c r="BU47" s="30"/>
      <c r="BV47" s="45"/>
      <c r="BW47" s="46"/>
      <c r="BX47" s="31"/>
      <c r="BY47" s="5"/>
      <c r="BZ47" s="1"/>
      <c r="CA47" s="1"/>
      <c r="CB47" s="15"/>
      <c r="CC47" s="10"/>
      <c r="CD47" s="1"/>
      <c r="CE47" s="1"/>
      <c r="CF47" s="1"/>
      <c r="CG47" s="1"/>
      <c r="CH47" s="1"/>
      <c r="CI47" s="1"/>
      <c r="CJ47" s="1"/>
      <c r="CK47" s="1"/>
      <c r="CL47" s="1"/>
      <c r="CM47" s="15"/>
      <c r="CN47" s="10"/>
      <c r="CO47" s="1"/>
      <c r="CP47" s="1"/>
      <c r="CQ47" s="13"/>
      <c r="CR47" s="10"/>
      <c r="CS47" s="1"/>
      <c r="CT47" s="1"/>
      <c r="CU47" s="15"/>
      <c r="CV47" s="10"/>
      <c r="CW47" s="6"/>
      <c r="CX47" s="29"/>
      <c r="CY47" s="30"/>
      <c r="CZ47" s="30"/>
      <c r="DA47" s="45"/>
      <c r="DB47" s="46"/>
      <c r="DC47" s="30"/>
      <c r="DD47" s="30"/>
      <c r="DE47" s="30"/>
      <c r="DF47" s="30"/>
      <c r="DG47" s="30"/>
      <c r="DH47" s="30"/>
      <c r="DI47" s="30"/>
      <c r="DJ47" s="30"/>
      <c r="DK47" s="30"/>
      <c r="DL47" s="45"/>
      <c r="DM47" s="46"/>
      <c r="DN47" s="30"/>
      <c r="DO47" s="30"/>
      <c r="DP47" s="47"/>
      <c r="DQ47" s="46"/>
      <c r="DR47" s="30"/>
      <c r="DS47" s="30"/>
      <c r="DT47" s="45"/>
      <c r="DU47" s="46"/>
      <c r="DV47" s="31"/>
      <c r="DW47" s="60"/>
      <c r="DX47" s="61"/>
      <c r="DY47" s="61"/>
      <c r="DZ47" s="62"/>
      <c r="EA47" s="63"/>
      <c r="EB47" s="61"/>
      <c r="EC47" s="61"/>
      <c r="ED47" s="61"/>
      <c r="EE47" s="61"/>
      <c r="EF47" s="61"/>
      <c r="EG47" s="61"/>
      <c r="EH47" s="61"/>
      <c r="EI47" s="61"/>
      <c r="EJ47" s="61"/>
      <c r="EK47" s="62"/>
      <c r="EL47" s="63"/>
      <c r="EM47" s="61"/>
      <c r="EN47" s="61"/>
      <c r="EO47" s="65"/>
      <c r="EP47" s="63"/>
      <c r="EQ47" s="61"/>
      <c r="ER47" s="61"/>
      <c r="ES47" s="62"/>
      <c r="ET47" s="63"/>
      <c r="EU47" s="64"/>
      <c r="EV47" s="29"/>
      <c r="EW47" s="30"/>
      <c r="EX47" s="30"/>
      <c r="EY47" s="45"/>
      <c r="EZ47" s="46"/>
      <c r="FA47" s="30"/>
      <c r="FB47" s="30"/>
      <c r="FC47" s="30"/>
      <c r="FD47" s="30"/>
      <c r="FE47" s="30"/>
      <c r="FF47" s="30"/>
      <c r="FG47" s="30"/>
      <c r="FH47" s="30"/>
      <c r="FI47" s="30"/>
      <c r="FJ47" s="45"/>
      <c r="FK47" s="46"/>
      <c r="FL47" s="30"/>
      <c r="FM47" s="30"/>
      <c r="FN47" s="47"/>
      <c r="FO47" s="46"/>
      <c r="FP47" s="30"/>
      <c r="FQ47" s="30"/>
      <c r="FR47" s="45"/>
      <c r="FS47" s="46"/>
      <c r="FT47" s="31"/>
      <c r="FU47" s="5"/>
      <c r="FV47" s="1"/>
      <c r="FW47" s="1"/>
      <c r="FX47" s="15"/>
      <c r="FY47" s="10"/>
      <c r="FZ47" s="1"/>
      <c r="GA47" s="1"/>
      <c r="GB47" s="1"/>
      <c r="GC47" s="1"/>
      <c r="GD47" s="1"/>
      <c r="GE47" s="1"/>
      <c r="GF47" s="1"/>
      <c r="GG47" s="1"/>
      <c r="GH47" s="1"/>
      <c r="GI47" s="15"/>
      <c r="GJ47" s="10"/>
      <c r="GK47" s="1"/>
      <c r="GL47" s="1"/>
      <c r="GM47" s="13"/>
      <c r="GN47" s="10"/>
      <c r="GO47" s="1"/>
      <c r="GP47" s="1"/>
      <c r="GQ47" s="15"/>
      <c r="GR47" s="10"/>
      <c r="GS47" s="6"/>
      <c r="GT47" s="29"/>
      <c r="GU47" s="30"/>
      <c r="GV47" s="30"/>
      <c r="GW47" s="45"/>
      <c r="GX47" s="46"/>
      <c r="GY47" s="30"/>
      <c r="GZ47" s="30"/>
      <c r="HA47" s="30"/>
      <c r="HB47" s="30"/>
      <c r="HC47" s="30"/>
      <c r="HD47" s="30"/>
      <c r="HE47" s="30"/>
      <c r="HF47" s="30"/>
      <c r="HG47" s="30"/>
      <c r="HH47" s="45"/>
      <c r="HI47" s="46"/>
      <c r="HJ47" s="30"/>
      <c r="HK47" s="30"/>
      <c r="HL47" s="47"/>
      <c r="HM47" s="46"/>
      <c r="HN47" s="30"/>
      <c r="HO47" s="30"/>
      <c r="HP47" s="45"/>
      <c r="HQ47" s="46"/>
      <c r="HR47" s="31"/>
      <c r="HS47" s="5"/>
      <c r="HT47" s="1"/>
      <c r="HU47" s="1"/>
      <c r="HV47" s="15"/>
      <c r="HW47" s="10"/>
      <c r="HX47" s="1"/>
      <c r="HY47" s="1"/>
      <c r="HZ47" s="1"/>
      <c r="IA47" s="1"/>
      <c r="IB47" s="1"/>
      <c r="IC47" s="1"/>
      <c r="ID47" s="1"/>
      <c r="IE47" s="1"/>
      <c r="IF47" s="1"/>
      <c r="IG47" s="15"/>
      <c r="IH47" s="10"/>
      <c r="II47" s="1"/>
      <c r="IJ47" s="1"/>
      <c r="IK47" s="13"/>
      <c r="IL47" s="10"/>
      <c r="IM47" s="1"/>
      <c r="IN47" s="1"/>
      <c r="IO47" s="15"/>
      <c r="IP47" s="10"/>
      <c r="IQ47" s="6"/>
    </row>
    <row r="48" spans="1:251" x14ac:dyDescent="0.25">
      <c r="A48" s="2">
        <v>4657</v>
      </c>
      <c r="B48" s="29"/>
      <c r="C48" s="30"/>
      <c r="D48" s="30"/>
      <c r="E48" s="45"/>
      <c r="F48" s="46"/>
      <c r="G48" s="30"/>
      <c r="H48" s="30"/>
      <c r="I48" s="30"/>
      <c r="J48" s="30"/>
      <c r="K48" s="30"/>
      <c r="L48" s="30"/>
      <c r="M48" s="30"/>
      <c r="N48" s="30"/>
      <c r="O48" s="30"/>
      <c r="P48" s="45"/>
      <c r="Q48" s="46"/>
      <c r="R48" s="30"/>
      <c r="S48" s="30"/>
      <c r="T48" s="47"/>
      <c r="U48" s="46"/>
      <c r="V48" s="30"/>
      <c r="W48" s="30"/>
      <c r="X48" s="45"/>
      <c r="Y48" s="46"/>
      <c r="Z48" s="31"/>
      <c r="AA48" s="5"/>
      <c r="AB48" s="1"/>
      <c r="AC48" s="1"/>
      <c r="AD48" s="15"/>
      <c r="AE48" s="10"/>
      <c r="AF48" s="1"/>
      <c r="AG48" s="1"/>
      <c r="AH48" s="1"/>
      <c r="AI48" s="1"/>
      <c r="AJ48" s="1"/>
      <c r="AK48" s="1"/>
      <c r="AL48" s="1"/>
      <c r="AM48" s="1"/>
      <c r="AN48" s="1"/>
      <c r="AO48" s="15"/>
      <c r="AP48" s="10"/>
      <c r="AQ48" s="1"/>
      <c r="AR48" s="1"/>
      <c r="AS48" s="13"/>
      <c r="AT48" s="10"/>
      <c r="AU48" s="1"/>
      <c r="AV48" s="1"/>
      <c r="AW48" s="15"/>
      <c r="AX48" s="10"/>
      <c r="AY48" s="6"/>
      <c r="AZ48" s="29"/>
      <c r="BA48" s="30"/>
      <c r="BB48" s="30"/>
      <c r="BC48" s="45"/>
      <c r="BD48" s="46"/>
      <c r="BE48" s="30"/>
      <c r="BF48" s="30"/>
      <c r="BG48" s="30"/>
      <c r="BH48" s="30"/>
      <c r="BI48" s="30"/>
      <c r="BJ48" s="30"/>
      <c r="BK48" s="30"/>
      <c r="BL48" s="30"/>
      <c r="BM48" s="30"/>
      <c r="BN48" s="45"/>
      <c r="BO48" s="46"/>
      <c r="BP48" s="30"/>
      <c r="BQ48" s="30"/>
      <c r="BR48" s="47"/>
      <c r="BS48" s="46"/>
      <c r="BT48" s="30"/>
      <c r="BU48" s="30"/>
      <c r="BV48" s="45"/>
      <c r="BW48" s="46"/>
      <c r="BX48" s="31"/>
      <c r="BY48" s="5"/>
      <c r="BZ48" s="1"/>
      <c r="CA48" s="1"/>
      <c r="CB48" s="15"/>
      <c r="CC48" s="10"/>
      <c r="CD48" s="1"/>
      <c r="CE48" s="1"/>
      <c r="CF48" s="1"/>
      <c r="CG48" s="1"/>
      <c r="CH48" s="1"/>
      <c r="CI48" s="1"/>
      <c r="CJ48" s="1"/>
      <c r="CK48" s="1"/>
      <c r="CL48" s="1"/>
      <c r="CM48" s="15"/>
      <c r="CN48" s="10"/>
      <c r="CO48" s="1"/>
      <c r="CP48" s="1"/>
      <c r="CQ48" s="13"/>
      <c r="CR48" s="10"/>
      <c r="CS48" s="1"/>
      <c r="CT48" s="1"/>
      <c r="CU48" s="15"/>
      <c r="CV48" s="10"/>
      <c r="CW48" s="6"/>
      <c r="CX48" s="29"/>
      <c r="CY48" s="30"/>
      <c r="CZ48" s="30"/>
      <c r="DA48" s="45"/>
      <c r="DB48" s="46"/>
      <c r="DC48" s="30"/>
      <c r="DD48" s="30"/>
      <c r="DE48" s="30"/>
      <c r="DF48" s="30"/>
      <c r="DG48" s="30"/>
      <c r="DH48" s="30"/>
      <c r="DI48" s="30"/>
      <c r="DJ48" s="30"/>
      <c r="DK48" s="30"/>
      <c r="DL48" s="45"/>
      <c r="DM48" s="46"/>
      <c r="DN48" s="30"/>
      <c r="DO48" s="30"/>
      <c r="DP48" s="47"/>
      <c r="DQ48" s="46"/>
      <c r="DR48" s="30"/>
      <c r="DS48" s="30"/>
      <c r="DT48" s="45"/>
      <c r="DU48" s="46"/>
      <c r="DV48" s="31"/>
      <c r="DW48" s="60"/>
      <c r="DX48" s="61"/>
      <c r="DY48" s="61"/>
      <c r="DZ48" s="62"/>
      <c r="EA48" s="63"/>
      <c r="EB48" s="61"/>
      <c r="EC48" s="61"/>
      <c r="ED48" s="61"/>
      <c r="EE48" s="61"/>
      <c r="EF48" s="61"/>
      <c r="EG48" s="61"/>
      <c r="EH48" s="61"/>
      <c r="EI48" s="61"/>
      <c r="EJ48" s="61"/>
      <c r="EK48" s="62"/>
      <c r="EL48" s="63"/>
      <c r="EM48" s="61"/>
      <c r="EN48" s="61"/>
      <c r="EO48" s="65"/>
      <c r="EP48" s="63"/>
      <c r="EQ48" s="61"/>
      <c r="ER48" s="61"/>
      <c r="ES48" s="62"/>
      <c r="ET48" s="63"/>
      <c r="EU48" s="64"/>
      <c r="EV48" s="29"/>
      <c r="EW48" s="30"/>
      <c r="EX48" s="30"/>
      <c r="EY48" s="45"/>
      <c r="EZ48" s="46"/>
      <c r="FA48" s="30"/>
      <c r="FB48" s="30"/>
      <c r="FC48" s="30"/>
      <c r="FD48" s="30"/>
      <c r="FE48" s="30"/>
      <c r="FF48" s="30"/>
      <c r="FG48" s="30"/>
      <c r="FH48" s="30"/>
      <c r="FI48" s="30"/>
      <c r="FJ48" s="45"/>
      <c r="FK48" s="46"/>
      <c r="FL48" s="30"/>
      <c r="FM48" s="30"/>
      <c r="FN48" s="47"/>
      <c r="FO48" s="46"/>
      <c r="FP48" s="30"/>
      <c r="FQ48" s="30"/>
      <c r="FR48" s="45"/>
      <c r="FS48" s="46"/>
      <c r="FT48" s="31"/>
      <c r="FU48" s="5"/>
      <c r="FV48" s="1"/>
      <c r="FW48" s="1"/>
      <c r="FX48" s="15"/>
      <c r="FY48" s="10"/>
      <c r="FZ48" s="1"/>
      <c r="GA48" s="1"/>
      <c r="GB48" s="1"/>
      <c r="GC48" s="1"/>
      <c r="GD48" s="1"/>
      <c r="GE48" s="1"/>
      <c r="GF48" s="1"/>
      <c r="GG48" s="1"/>
      <c r="GH48" s="1"/>
      <c r="GI48" s="15"/>
      <c r="GJ48" s="10"/>
      <c r="GK48" s="1"/>
      <c r="GL48" s="1"/>
      <c r="GM48" s="13"/>
      <c r="GN48" s="10"/>
      <c r="GO48" s="1"/>
      <c r="GP48" s="1"/>
      <c r="GQ48" s="15"/>
      <c r="GR48" s="10"/>
      <c r="GS48" s="6"/>
      <c r="GT48" s="29"/>
      <c r="GU48" s="30"/>
      <c r="GV48" s="30"/>
      <c r="GW48" s="45"/>
      <c r="GX48" s="46"/>
      <c r="GY48" s="30"/>
      <c r="GZ48" s="30"/>
      <c r="HA48" s="30"/>
      <c r="HB48" s="30"/>
      <c r="HC48" s="30"/>
      <c r="HD48" s="30"/>
      <c r="HE48" s="30"/>
      <c r="HF48" s="30"/>
      <c r="HG48" s="30"/>
      <c r="HH48" s="45"/>
      <c r="HI48" s="46"/>
      <c r="HJ48" s="30"/>
      <c r="HK48" s="30"/>
      <c r="HL48" s="47"/>
      <c r="HM48" s="46"/>
      <c r="HN48" s="30"/>
      <c r="HO48" s="30"/>
      <c r="HP48" s="45"/>
      <c r="HQ48" s="46"/>
      <c r="HR48" s="31"/>
      <c r="HS48" s="5"/>
      <c r="HT48" s="1"/>
      <c r="HU48" s="1"/>
      <c r="HV48" s="15"/>
      <c r="HW48" s="10"/>
      <c r="HX48" s="1"/>
      <c r="HY48" s="1"/>
      <c r="HZ48" s="1"/>
      <c r="IA48" s="1"/>
      <c r="IB48" s="1"/>
      <c r="IC48" s="1"/>
      <c r="ID48" s="1"/>
      <c r="IE48" s="1"/>
      <c r="IF48" s="1"/>
      <c r="IG48" s="15"/>
      <c r="IH48" s="10"/>
      <c r="II48" s="1"/>
      <c r="IJ48" s="1"/>
      <c r="IK48" s="13"/>
      <c r="IL48" s="10"/>
      <c r="IM48" s="1"/>
      <c r="IN48" s="1"/>
      <c r="IO48" s="15"/>
      <c r="IP48" s="10"/>
      <c r="IQ48" s="6"/>
    </row>
    <row r="49" spans="1:251" x14ac:dyDescent="0.25">
      <c r="A49" s="2">
        <v>4671</v>
      </c>
      <c r="B49" s="29"/>
      <c r="C49" s="30"/>
      <c r="D49" s="30"/>
      <c r="E49" s="45"/>
      <c r="F49" s="46"/>
      <c r="G49" s="30"/>
      <c r="H49" s="30"/>
      <c r="I49" s="30"/>
      <c r="J49" s="30"/>
      <c r="K49" s="30"/>
      <c r="L49" s="30"/>
      <c r="M49" s="30"/>
      <c r="N49" s="30"/>
      <c r="O49" s="30"/>
      <c r="P49" s="45"/>
      <c r="Q49" s="46"/>
      <c r="R49" s="30"/>
      <c r="S49" s="30"/>
      <c r="T49" s="47"/>
      <c r="U49" s="46"/>
      <c r="V49" s="30"/>
      <c r="W49" s="30"/>
      <c r="X49" s="45"/>
      <c r="Y49" s="46"/>
      <c r="Z49" s="31"/>
      <c r="AA49" s="5"/>
      <c r="AB49" s="1"/>
      <c r="AC49" s="1"/>
      <c r="AD49" s="15"/>
      <c r="AE49" s="10"/>
      <c r="AF49" s="1"/>
      <c r="AG49" s="1"/>
      <c r="AH49" s="1"/>
      <c r="AI49" s="1"/>
      <c r="AJ49" s="1"/>
      <c r="AK49" s="1"/>
      <c r="AL49" s="1"/>
      <c r="AM49" s="1"/>
      <c r="AN49" s="1"/>
      <c r="AO49" s="15"/>
      <c r="AP49" s="10"/>
      <c r="AQ49" s="1"/>
      <c r="AR49" s="1"/>
      <c r="AS49" s="13"/>
      <c r="AT49" s="10"/>
      <c r="AU49" s="1"/>
      <c r="AV49" s="1"/>
      <c r="AW49" s="15"/>
      <c r="AX49" s="10"/>
      <c r="AY49" s="6"/>
      <c r="AZ49" s="29"/>
      <c r="BA49" s="30"/>
      <c r="BB49" s="30"/>
      <c r="BC49" s="45"/>
      <c r="BD49" s="46"/>
      <c r="BE49" s="30"/>
      <c r="BF49" s="30"/>
      <c r="BG49" s="30"/>
      <c r="BH49" s="30"/>
      <c r="BI49" s="30"/>
      <c r="BJ49" s="30"/>
      <c r="BK49" s="30"/>
      <c r="BL49" s="30"/>
      <c r="BM49" s="30"/>
      <c r="BN49" s="45"/>
      <c r="BO49" s="46"/>
      <c r="BP49" s="30"/>
      <c r="BQ49" s="30"/>
      <c r="BR49" s="47"/>
      <c r="BS49" s="46"/>
      <c r="BT49" s="30"/>
      <c r="BU49" s="30"/>
      <c r="BV49" s="45"/>
      <c r="BW49" s="46"/>
      <c r="BX49" s="31"/>
      <c r="BY49" s="5"/>
      <c r="BZ49" s="1"/>
      <c r="CA49" s="1"/>
      <c r="CB49" s="15"/>
      <c r="CC49" s="10"/>
      <c r="CD49" s="1"/>
      <c r="CE49" s="1"/>
      <c r="CF49" s="1"/>
      <c r="CG49" s="1"/>
      <c r="CH49" s="1"/>
      <c r="CI49" s="1"/>
      <c r="CJ49" s="1"/>
      <c r="CK49" s="1"/>
      <c r="CL49" s="1"/>
      <c r="CM49" s="15"/>
      <c r="CN49" s="10"/>
      <c r="CO49" s="1"/>
      <c r="CP49" s="1"/>
      <c r="CQ49" s="13"/>
      <c r="CR49" s="10"/>
      <c r="CS49" s="1"/>
      <c r="CT49" s="1"/>
      <c r="CU49" s="15"/>
      <c r="CV49" s="10"/>
      <c r="CW49" s="6"/>
      <c r="CX49" s="29"/>
      <c r="CY49" s="30"/>
      <c r="CZ49" s="30"/>
      <c r="DA49" s="45"/>
      <c r="DB49" s="46"/>
      <c r="DC49" s="30"/>
      <c r="DD49" s="30"/>
      <c r="DE49" s="30"/>
      <c r="DF49" s="30"/>
      <c r="DG49" s="30"/>
      <c r="DH49" s="30"/>
      <c r="DI49" s="30"/>
      <c r="DJ49" s="30"/>
      <c r="DK49" s="30"/>
      <c r="DL49" s="45"/>
      <c r="DM49" s="46"/>
      <c r="DN49" s="30"/>
      <c r="DO49" s="30"/>
      <c r="DP49" s="47"/>
      <c r="DQ49" s="46"/>
      <c r="DR49" s="30"/>
      <c r="DS49" s="30"/>
      <c r="DT49" s="45"/>
      <c r="DU49" s="46"/>
      <c r="DV49" s="31"/>
      <c r="DW49" s="60"/>
      <c r="DX49" s="61"/>
      <c r="DY49" s="61"/>
      <c r="DZ49" s="62"/>
      <c r="EA49" s="63"/>
      <c r="EB49" s="61"/>
      <c r="EC49" s="61"/>
      <c r="ED49" s="61"/>
      <c r="EE49" s="61"/>
      <c r="EF49" s="61"/>
      <c r="EG49" s="61"/>
      <c r="EH49" s="61"/>
      <c r="EI49" s="61"/>
      <c r="EJ49" s="61"/>
      <c r="EK49" s="62"/>
      <c r="EL49" s="63"/>
      <c r="EM49" s="61"/>
      <c r="EN49" s="61"/>
      <c r="EO49" s="65"/>
      <c r="EP49" s="63"/>
      <c r="EQ49" s="61"/>
      <c r="ER49" s="61"/>
      <c r="ES49" s="62"/>
      <c r="ET49" s="63"/>
      <c r="EU49" s="64"/>
      <c r="EV49" s="29"/>
      <c r="EW49" s="30"/>
      <c r="EX49" s="30"/>
      <c r="EY49" s="45"/>
      <c r="EZ49" s="46"/>
      <c r="FA49" s="30"/>
      <c r="FB49" s="30"/>
      <c r="FC49" s="30"/>
      <c r="FD49" s="30"/>
      <c r="FE49" s="30"/>
      <c r="FF49" s="30"/>
      <c r="FG49" s="30"/>
      <c r="FH49" s="30"/>
      <c r="FI49" s="30"/>
      <c r="FJ49" s="45"/>
      <c r="FK49" s="46"/>
      <c r="FL49" s="30"/>
      <c r="FM49" s="30"/>
      <c r="FN49" s="47"/>
      <c r="FO49" s="46"/>
      <c r="FP49" s="30"/>
      <c r="FQ49" s="30"/>
      <c r="FR49" s="45"/>
      <c r="FS49" s="46"/>
      <c r="FT49" s="31"/>
      <c r="FU49" s="5"/>
      <c r="FV49" s="1"/>
      <c r="FW49" s="1"/>
      <c r="FX49" s="15"/>
      <c r="FY49" s="10"/>
      <c r="FZ49" s="1"/>
      <c r="GA49" s="1"/>
      <c r="GB49" s="1"/>
      <c r="GC49" s="1"/>
      <c r="GD49" s="1"/>
      <c r="GE49" s="1"/>
      <c r="GF49" s="1"/>
      <c r="GG49" s="1"/>
      <c r="GH49" s="1"/>
      <c r="GI49" s="15"/>
      <c r="GJ49" s="10"/>
      <c r="GK49" s="1"/>
      <c r="GL49" s="1"/>
      <c r="GM49" s="13"/>
      <c r="GN49" s="10"/>
      <c r="GO49" s="1"/>
      <c r="GP49" s="1"/>
      <c r="GQ49" s="15"/>
      <c r="GR49" s="10"/>
      <c r="GS49" s="6"/>
      <c r="GT49" s="29"/>
      <c r="GU49" s="30"/>
      <c r="GV49" s="30"/>
      <c r="GW49" s="45"/>
      <c r="GX49" s="46"/>
      <c r="GY49" s="30"/>
      <c r="GZ49" s="30"/>
      <c r="HA49" s="30"/>
      <c r="HB49" s="30"/>
      <c r="HC49" s="30"/>
      <c r="HD49" s="30"/>
      <c r="HE49" s="30"/>
      <c r="HF49" s="30"/>
      <c r="HG49" s="30"/>
      <c r="HH49" s="45"/>
      <c r="HI49" s="46"/>
      <c r="HJ49" s="30"/>
      <c r="HK49" s="30"/>
      <c r="HL49" s="47"/>
      <c r="HM49" s="46"/>
      <c r="HN49" s="30"/>
      <c r="HO49" s="30"/>
      <c r="HP49" s="45"/>
      <c r="HQ49" s="46"/>
      <c r="HR49" s="31"/>
      <c r="HS49" s="5"/>
      <c r="HT49" s="1"/>
      <c r="HU49" s="1"/>
      <c r="HV49" s="15"/>
      <c r="HW49" s="10"/>
      <c r="HX49" s="1"/>
      <c r="HY49" s="1"/>
      <c r="HZ49" s="1"/>
      <c r="IA49" s="1"/>
      <c r="IB49" s="1"/>
      <c r="IC49" s="1"/>
      <c r="ID49" s="1"/>
      <c r="IE49" s="1"/>
      <c r="IF49" s="1"/>
      <c r="IG49" s="15"/>
      <c r="IH49" s="10"/>
      <c r="II49" s="1"/>
      <c r="IJ49" s="1"/>
      <c r="IK49" s="13"/>
      <c r="IL49" s="10"/>
      <c r="IM49" s="1"/>
      <c r="IN49" s="1"/>
      <c r="IO49" s="15"/>
      <c r="IP49" s="10"/>
      <c r="IQ49" s="6"/>
    </row>
    <row r="50" spans="1:251" x14ac:dyDescent="0.25">
      <c r="A50" s="2">
        <v>4674</v>
      </c>
      <c r="B50" s="29"/>
      <c r="C50" s="30"/>
      <c r="D50" s="30"/>
      <c r="E50" s="45"/>
      <c r="F50" s="46"/>
      <c r="G50" s="30"/>
      <c r="H50" s="30"/>
      <c r="I50" s="30"/>
      <c r="J50" s="30"/>
      <c r="K50" s="30"/>
      <c r="L50" s="30"/>
      <c r="M50" s="30"/>
      <c r="N50" s="30"/>
      <c r="O50" s="30"/>
      <c r="P50" s="45"/>
      <c r="Q50" s="46"/>
      <c r="R50" s="30"/>
      <c r="S50" s="30"/>
      <c r="T50" s="47"/>
      <c r="U50" s="46"/>
      <c r="V50" s="30"/>
      <c r="W50" s="30"/>
      <c r="X50" s="45"/>
      <c r="Y50" s="46"/>
      <c r="Z50" s="31"/>
      <c r="AA50" s="5"/>
      <c r="AB50" s="1"/>
      <c r="AC50" s="1"/>
      <c r="AD50" s="15"/>
      <c r="AE50" s="10"/>
      <c r="AF50" s="1"/>
      <c r="AG50" s="1"/>
      <c r="AH50" s="1"/>
      <c r="AI50" s="1"/>
      <c r="AJ50" s="1"/>
      <c r="AK50" s="1"/>
      <c r="AL50" s="1"/>
      <c r="AM50" s="1"/>
      <c r="AN50" s="1"/>
      <c r="AO50" s="15"/>
      <c r="AP50" s="10"/>
      <c r="AQ50" s="1"/>
      <c r="AR50" s="1"/>
      <c r="AS50" s="13"/>
      <c r="AT50" s="10"/>
      <c r="AU50" s="1"/>
      <c r="AV50" s="1"/>
      <c r="AW50" s="15"/>
      <c r="AX50" s="10"/>
      <c r="AY50" s="6"/>
      <c r="AZ50" s="29"/>
      <c r="BA50" s="30"/>
      <c r="BB50" s="30"/>
      <c r="BC50" s="45"/>
      <c r="BD50" s="46"/>
      <c r="BE50" s="30"/>
      <c r="BF50" s="30"/>
      <c r="BG50" s="30"/>
      <c r="BH50" s="30"/>
      <c r="BI50" s="30"/>
      <c r="BJ50" s="30"/>
      <c r="BK50" s="30"/>
      <c r="BL50" s="30"/>
      <c r="BM50" s="30"/>
      <c r="BN50" s="45"/>
      <c r="BO50" s="46"/>
      <c r="BP50" s="30"/>
      <c r="BQ50" s="30"/>
      <c r="BR50" s="47"/>
      <c r="BS50" s="46"/>
      <c r="BT50" s="30"/>
      <c r="BU50" s="30"/>
      <c r="BV50" s="45"/>
      <c r="BW50" s="46"/>
      <c r="BX50" s="31"/>
      <c r="BY50" s="5"/>
      <c r="BZ50" s="1"/>
      <c r="CA50" s="1"/>
      <c r="CB50" s="15"/>
      <c r="CC50" s="10"/>
      <c r="CD50" s="1"/>
      <c r="CE50" s="1"/>
      <c r="CF50" s="1"/>
      <c r="CG50" s="1"/>
      <c r="CH50" s="1"/>
      <c r="CI50" s="1"/>
      <c r="CJ50" s="1"/>
      <c r="CK50" s="1"/>
      <c r="CL50" s="1"/>
      <c r="CM50" s="15"/>
      <c r="CN50" s="10"/>
      <c r="CO50" s="1"/>
      <c r="CP50" s="1"/>
      <c r="CQ50" s="13"/>
      <c r="CR50" s="10"/>
      <c r="CS50" s="1"/>
      <c r="CT50" s="1"/>
      <c r="CU50" s="15"/>
      <c r="CV50" s="10"/>
      <c r="CW50" s="6"/>
      <c r="CX50" s="29"/>
      <c r="CY50" s="30"/>
      <c r="CZ50" s="30"/>
      <c r="DA50" s="45"/>
      <c r="DB50" s="46"/>
      <c r="DC50" s="30"/>
      <c r="DD50" s="30"/>
      <c r="DE50" s="30"/>
      <c r="DF50" s="30"/>
      <c r="DG50" s="30"/>
      <c r="DH50" s="30"/>
      <c r="DI50" s="30"/>
      <c r="DJ50" s="30"/>
      <c r="DK50" s="30"/>
      <c r="DL50" s="45"/>
      <c r="DM50" s="46"/>
      <c r="DN50" s="30"/>
      <c r="DO50" s="30"/>
      <c r="DP50" s="47"/>
      <c r="DQ50" s="46"/>
      <c r="DR50" s="30"/>
      <c r="DS50" s="30"/>
      <c r="DT50" s="45"/>
      <c r="DU50" s="46"/>
      <c r="DV50" s="31"/>
      <c r="DW50" s="60"/>
      <c r="DX50" s="61"/>
      <c r="DY50" s="61"/>
      <c r="DZ50" s="62"/>
      <c r="EA50" s="63"/>
      <c r="EB50" s="61"/>
      <c r="EC50" s="61"/>
      <c r="ED50" s="61"/>
      <c r="EE50" s="61"/>
      <c r="EF50" s="61"/>
      <c r="EG50" s="61"/>
      <c r="EH50" s="61"/>
      <c r="EI50" s="61"/>
      <c r="EJ50" s="61"/>
      <c r="EK50" s="62"/>
      <c r="EL50" s="63"/>
      <c r="EM50" s="61"/>
      <c r="EN50" s="61"/>
      <c r="EO50" s="65"/>
      <c r="EP50" s="63"/>
      <c r="EQ50" s="61"/>
      <c r="ER50" s="61"/>
      <c r="ES50" s="62"/>
      <c r="ET50" s="63"/>
      <c r="EU50" s="64"/>
      <c r="EV50" s="29"/>
      <c r="EW50" s="30"/>
      <c r="EX50" s="30"/>
      <c r="EY50" s="45"/>
      <c r="EZ50" s="46"/>
      <c r="FA50" s="30"/>
      <c r="FB50" s="30"/>
      <c r="FC50" s="30"/>
      <c r="FD50" s="30"/>
      <c r="FE50" s="30"/>
      <c r="FF50" s="30"/>
      <c r="FG50" s="30"/>
      <c r="FH50" s="30"/>
      <c r="FI50" s="30"/>
      <c r="FJ50" s="45"/>
      <c r="FK50" s="46"/>
      <c r="FL50" s="30"/>
      <c r="FM50" s="30"/>
      <c r="FN50" s="47"/>
      <c r="FO50" s="46"/>
      <c r="FP50" s="30"/>
      <c r="FQ50" s="30"/>
      <c r="FR50" s="45"/>
      <c r="FS50" s="46"/>
      <c r="FT50" s="31"/>
      <c r="FU50" s="5"/>
      <c r="FV50" s="1"/>
      <c r="FW50" s="1"/>
      <c r="FX50" s="15"/>
      <c r="FY50" s="10"/>
      <c r="FZ50" s="1"/>
      <c r="GA50" s="1"/>
      <c r="GB50" s="1"/>
      <c r="GC50" s="1"/>
      <c r="GD50" s="1"/>
      <c r="GE50" s="1"/>
      <c r="GF50" s="1"/>
      <c r="GG50" s="1"/>
      <c r="GH50" s="1"/>
      <c r="GI50" s="15"/>
      <c r="GJ50" s="10"/>
      <c r="GK50" s="1"/>
      <c r="GL50" s="1"/>
      <c r="GM50" s="13"/>
      <c r="GN50" s="10"/>
      <c r="GO50" s="1"/>
      <c r="GP50" s="1"/>
      <c r="GQ50" s="15"/>
      <c r="GR50" s="10"/>
      <c r="GS50" s="6"/>
      <c r="GT50" s="29"/>
      <c r="GU50" s="30"/>
      <c r="GV50" s="30"/>
      <c r="GW50" s="45"/>
      <c r="GX50" s="46"/>
      <c r="GY50" s="30"/>
      <c r="GZ50" s="30"/>
      <c r="HA50" s="30"/>
      <c r="HB50" s="30"/>
      <c r="HC50" s="30"/>
      <c r="HD50" s="30"/>
      <c r="HE50" s="30"/>
      <c r="HF50" s="30"/>
      <c r="HG50" s="30"/>
      <c r="HH50" s="45"/>
      <c r="HI50" s="46"/>
      <c r="HJ50" s="30"/>
      <c r="HK50" s="30"/>
      <c r="HL50" s="47"/>
      <c r="HM50" s="46"/>
      <c r="HN50" s="30"/>
      <c r="HO50" s="30"/>
      <c r="HP50" s="45"/>
      <c r="HQ50" s="46"/>
      <c r="HR50" s="31"/>
      <c r="HS50" s="5"/>
      <c r="HT50" s="1"/>
      <c r="HU50" s="1"/>
      <c r="HV50" s="15"/>
      <c r="HW50" s="10"/>
      <c r="HX50" s="1"/>
      <c r="HY50" s="1"/>
      <c r="HZ50" s="1"/>
      <c r="IA50" s="1"/>
      <c r="IB50" s="1"/>
      <c r="IC50" s="1"/>
      <c r="ID50" s="1"/>
      <c r="IE50" s="1"/>
      <c r="IF50" s="1"/>
      <c r="IG50" s="15"/>
      <c r="IH50" s="10"/>
      <c r="II50" s="1"/>
      <c r="IJ50" s="1"/>
      <c r="IK50" s="13"/>
      <c r="IL50" s="10"/>
      <c r="IM50" s="1"/>
      <c r="IN50" s="1"/>
      <c r="IO50" s="15"/>
      <c r="IP50" s="10"/>
      <c r="IQ50" s="6"/>
    </row>
    <row r="51" spans="1:251" x14ac:dyDescent="0.25">
      <c r="A51" s="2">
        <v>4693</v>
      </c>
      <c r="B51" s="29"/>
      <c r="C51" s="30"/>
      <c r="D51" s="30"/>
      <c r="E51" s="45"/>
      <c r="F51" s="46"/>
      <c r="G51" s="30"/>
      <c r="H51" s="30"/>
      <c r="I51" s="30"/>
      <c r="J51" s="30"/>
      <c r="K51" s="30"/>
      <c r="L51" s="30"/>
      <c r="M51" s="30"/>
      <c r="N51" s="30"/>
      <c r="O51" s="30"/>
      <c r="P51" s="45"/>
      <c r="Q51" s="46"/>
      <c r="R51" s="30"/>
      <c r="S51" s="30"/>
      <c r="T51" s="47"/>
      <c r="U51" s="46"/>
      <c r="V51" s="30"/>
      <c r="W51" s="30"/>
      <c r="X51" s="45"/>
      <c r="Y51" s="46"/>
      <c r="Z51" s="31"/>
      <c r="AA51" s="5"/>
      <c r="AB51" s="1"/>
      <c r="AC51" s="1"/>
      <c r="AD51" s="15"/>
      <c r="AE51" s="10"/>
      <c r="AF51" s="1"/>
      <c r="AG51" s="1"/>
      <c r="AH51" s="1"/>
      <c r="AI51" s="1"/>
      <c r="AJ51" s="1"/>
      <c r="AK51" s="1"/>
      <c r="AL51" s="1"/>
      <c r="AM51" s="1"/>
      <c r="AN51" s="1"/>
      <c r="AO51" s="15"/>
      <c r="AP51" s="10"/>
      <c r="AQ51" s="1"/>
      <c r="AR51" s="1"/>
      <c r="AS51" s="13"/>
      <c r="AT51" s="10"/>
      <c r="AU51" s="1"/>
      <c r="AV51" s="1"/>
      <c r="AW51" s="15"/>
      <c r="AX51" s="10"/>
      <c r="AY51" s="6"/>
      <c r="AZ51" s="29"/>
      <c r="BA51" s="30"/>
      <c r="BB51" s="30"/>
      <c r="BC51" s="45"/>
      <c r="BD51" s="46"/>
      <c r="BE51" s="30"/>
      <c r="BF51" s="30"/>
      <c r="BG51" s="30"/>
      <c r="BH51" s="30"/>
      <c r="BI51" s="30"/>
      <c r="BJ51" s="30"/>
      <c r="BK51" s="30"/>
      <c r="BL51" s="30"/>
      <c r="BM51" s="30"/>
      <c r="BN51" s="45"/>
      <c r="BO51" s="46"/>
      <c r="BP51" s="30"/>
      <c r="BQ51" s="30"/>
      <c r="BR51" s="47"/>
      <c r="BS51" s="46"/>
      <c r="BT51" s="30"/>
      <c r="BU51" s="30"/>
      <c r="BV51" s="45"/>
      <c r="BW51" s="46"/>
      <c r="BX51" s="31"/>
      <c r="BY51" s="5"/>
      <c r="BZ51" s="1"/>
      <c r="CA51" s="1"/>
      <c r="CB51" s="15"/>
      <c r="CC51" s="10"/>
      <c r="CD51" s="1"/>
      <c r="CE51" s="1"/>
      <c r="CF51" s="1"/>
      <c r="CG51" s="1"/>
      <c r="CH51" s="1"/>
      <c r="CI51" s="1"/>
      <c r="CJ51" s="1"/>
      <c r="CK51" s="1"/>
      <c r="CL51" s="1"/>
      <c r="CM51" s="15"/>
      <c r="CN51" s="10"/>
      <c r="CO51" s="1"/>
      <c r="CP51" s="1"/>
      <c r="CQ51" s="13"/>
      <c r="CR51" s="10"/>
      <c r="CS51" s="1"/>
      <c r="CT51" s="1"/>
      <c r="CU51" s="15"/>
      <c r="CV51" s="10"/>
      <c r="CW51" s="6"/>
      <c r="CX51" s="29"/>
      <c r="CY51" s="30"/>
      <c r="CZ51" s="30"/>
      <c r="DA51" s="45"/>
      <c r="DB51" s="46"/>
      <c r="DC51" s="30"/>
      <c r="DD51" s="30"/>
      <c r="DE51" s="30"/>
      <c r="DF51" s="30"/>
      <c r="DG51" s="30"/>
      <c r="DH51" s="30"/>
      <c r="DI51" s="30"/>
      <c r="DJ51" s="30"/>
      <c r="DK51" s="30"/>
      <c r="DL51" s="45"/>
      <c r="DM51" s="46"/>
      <c r="DN51" s="30"/>
      <c r="DO51" s="30"/>
      <c r="DP51" s="47"/>
      <c r="DQ51" s="46"/>
      <c r="DR51" s="30"/>
      <c r="DS51" s="30"/>
      <c r="DT51" s="45"/>
      <c r="DU51" s="46"/>
      <c r="DV51" s="31"/>
      <c r="DW51" s="60"/>
      <c r="DX51" s="61"/>
      <c r="DY51" s="61"/>
      <c r="DZ51" s="62"/>
      <c r="EA51" s="63"/>
      <c r="EB51" s="61"/>
      <c r="EC51" s="61"/>
      <c r="ED51" s="61"/>
      <c r="EE51" s="61"/>
      <c r="EF51" s="61"/>
      <c r="EG51" s="61"/>
      <c r="EH51" s="61"/>
      <c r="EI51" s="61"/>
      <c r="EJ51" s="61"/>
      <c r="EK51" s="62"/>
      <c r="EL51" s="63"/>
      <c r="EM51" s="61"/>
      <c r="EN51" s="61"/>
      <c r="EO51" s="65"/>
      <c r="EP51" s="63"/>
      <c r="EQ51" s="61"/>
      <c r="ER51" s="61"/>
      <c r="ES51" s="62"/>
      <c r="ET51" s="63"/>
      <c r="EU51" s="64"/>
      <c r="EV51" s="29"/>
      <c r="EW51" s="30"/>
      <c r="EX51" s="30"/>
      <c r="EY51" s="45"/>
      <c r="EZ51" s="46"/>
      <c r="FA51" s="30"/>
      <c r="FB51" s="30"/>
      <c r="FC51" s="30"/>
      <c r="FD51" s="30"/>
      <c r="FE51" s="30"/>
      <c r="FF51" s="30"/>
      <c r="FG51" s="30"/>
      <c r="FH51" s="30"/>
      <c r="FI51" s="30"/>
      <c r="FJ51" s="45"/>
      <c r="FK51" s="46"/>
      <c r="FL51" s="30"/>
      <c r="FM51" s="30"/>
      <c r="FN51" s="47"/>
      <c r="FO51" s="46"/>
      <c r="FP51" s="30"/>
      <c r="FQ51" s="30"/>
      <c r="FR51" s="45"/>
      <c r="FS51" s="46"/>
      <c r="FT51" s="31"/>
      <c r="FU51" s="5"/>
      <c r="FV51" s="1"/>
      <c r="FW51" s="1"/>
      <c r="FX51" s="15"/>
      <c r="FY51" s="10"/>
      <c r="FZ51" s="1"/>
      <c r="GA51" s="1"/>
      <c r="GB51" s="1"/>
      <c r="GC51" s="1"/>
      <c r="GD51" s="1"/>
      <c r="GE51" s="1"/>
      <c r="GF51" s="1"/>
      <c r="GG51" s="1"/>
      <c r="GH51" s="1"/>
      <c r="GI51" s="15"/>
      <c r="GJ51" s="10"/>
      <c r="GK51" s="1"/>
      <c r="GL51" s="1"/>
      <c r="GM51" s="13"/>
      <c r="GN51" s="10"/>
      <c r="GO51" s="1"/>
      <c r="GP51" s="1"/>
      <c r="GQ51" s="15"/>
      <c r="GR51" s="10"/>
      <c r="GS51" s="6"/>
      <c r="GT51" s="29"/>
      <c r="GU51" s="30"/>
      <c r="GV51" s="30"/>
      <c r="GW51" s="45"/>
      <c r="GX51" s="46"/>
      <c r="GY51" s="30"/>
      <c r="GZ51" s="30"/>
      <c r="HA51" s="30"/>
      <c r="HB51" s="30"/>
      <c r="HC51" s="30"/>
      <c r="HD51" s="30"/>
      <c r="HE51" s="30"/>
      <c r="HF51" s="30"/>
      <c r="HG51" s="30"/>
      <c r="HH51" s="45"/>
      <c r="HI51" s="46"/>
      <c r="HJ51" s="30"/>
      <c r="HK51" s="30"/>
      <c r="HL51" s="47"/>
      <c r="HM51" s="46"/>
      <c r="HN51" s="30"/>
      <c r="HO51" s="30"/>
      <c r="HP51" s="45"/>
      <c r="HQ51" s="46"/>
      <c r="HR51" s="31"/>
      <c r="HS51" s="5"/>
      <c r="HT51" s="1"/>
      <c r="HU51" s="1"/>
      <c r="HV51" s="15"/>
      <c r="HW51" s="10"/>
      <c r="HX51" s="1"/>
      <c r="HY51" s="1"/>
      <c r="HZ51" s="1"/>
      <c r="IA51" s="1"/>
      <c r="IB51" s="1"/>
      <c r="IC51" s="1"/>
      <c r="ID51" s="1"/>
      <c r="IE51" s="1"/>
      <c r="IF51" s="1"/>
      <c r="IG51" s="15"/>
      <c r="IH51" s="10"/>
      <c r="II51" s="1"/>
      <c r="IJ51" s="1"/>
      <c r="IK51" s="13"/>
      <c r="IL51" s="10"/>
      <c r="IM51" s="1"/>
      <c r="IN51" s="1"/>
      <c r="IO51" s="15"/>
      <c r="IP51" s="10"/>
      <c r="IQ51" s="6"/>
    </row>
    <row r="52" spans="1:251" x14ac:dyDescent="0.25">
      <c r="A52" s="2">
        <v>4703</v>
      </c>
      <c r="B52" s="29"/>
      <c r="C52" s="30"/>
      <c r="D52" s="30"/>
      <c r="E52" s="45"/>
      <c r="F52" s="46"/>
      <c r="G52" s="30"/>
      <c r="H52" s="30"/>
      <c r="I52" s="30"/>
      <c r="J52" s="30"/>
      <c r="K52" s="30"/>
      <c r="L52" s="30"/>
      <c r="M52" s="30"/>
      <c r="N52" s="30"/>
      <c r="O52" s="30"/>
      <c r="P52" s="45"/>
      <c r="Q52" s="46"/>
      <c r="R52" s="30"/>
      <c r="S52" s="30"/>
      <c r="T52" s="47"/>
      <c r="U52" s="46"/>
      <c r="V52" s="30"/>
      <c r="W52" s="30"/>
      <c r="X52" s="45"/>
      <c r="Y52" s="46"/>
      <c r="Z52" s="31"/>
      <c r="AA52" s="5"/>
      <c r="AB52" s="1"/>
      <c r="AC52" s="1"/>
      <c r="AD52" s="15"/>
      <c r="AE52" s="10"/>
      <c r="AF52" s="1"/>
      <c r="AG52" s="1"/>
      <c r="AH52" s="1"/>
      <c r="AI52" s="1"/>
      <c r="AJ52" s="1"/>
      <c r="AK52" s="1"/>
      <c r="AL52" s="1"/>
      <c r="AM52" s="1"/>
      <c r="AN52" s="1"/>
      <c r="AO52" s="15"/>
      <c r="AP52" s="10"/>
      <c r="AQ52" s="1"/>
      <c r="AR52" s="1"/>
      <c r="AS52" s="13"/>
      <c r="AT52" s="10"/>
      <c r="AU52" s="1"/>
      <c r="AV52" s="1"/>
      <c r="AW52" s="15"/>
      <c r="AX52" s="10"/>
      <c r="AY52" s="6"/>
      <c r="AZ52" s="29"/>
      <c r="BA52" s="30"/>
      <c r="BB52" s="30"/>
      <c r="BC52" s="45"/>
      <c r="BD52" s="46"/>
      <c r="BE52" s="30"/>
      <c r="BF52" s="30"/>
      <c r="BG52" s="30"/>
      <c r="BH52" s="30"/>
      <c r="BI52" s="30"/>
      <c r="BJ52" s="30"/>
      <c r="BK52" s="30"/>
      <c r="BL52" s="30"/>
      <c r="BM52" s="30"/>
      <c r="BN52" s="45"/>
      <c r="BO52" s="46"/>
      <c r="BP52" s="30"/>
      <c r="BQ52" s="30"/>
      <c r="BR52" s="47"/>
      <c r="BS52" s="46"/>
      <c r="BT52" s="30"/>
      <c r="BU52" s="30"/>
      <c r="BV52" s="45"/>
      <c r="BW52" s="46"/>
      <c r="BX52" s="31"/>
      <c r="BY52" s="5"/>
      <c r="BZ52" s="1"/>
      <c r="CA52" s="1"/>
      <c r="CB52" s="15"/>
      <c r="CC52" s="10"/>
      <c r="CD52" s="1"/>
      <c r="CE52" s="1"/>
      <c r="CF52" s="1"/>
      <c r="CG52" s="1"/>
      <c r="CH52" s="1"/>
      <c r="CI52" s="1"/>
      <c r="CJ52" s="1"/>
      <c r="CK52" s="1"/>
      <c r="CL52" s="1"/>
      <c r="CM52" s="15"/>
      <c r="CN52" s="10"/>
      <c r="CO52" s="1"/>
      <c r="CP52" s="1"/>
      <c r="CQ52" s="13"/>
      <c r="CR52" s="10"/>
      <c r="CS52" s="1"/>
      <c r="CT52" s="1"/>
      <c r="CU52" s="15"/>
      <c r="CV52" s="10"/>
      <c r="CW52" s="6"/>
      <c r="CX52" s="29"/>
      <c r="CY52" s="30"/>
      <c r="CZ52" s="30"/>
      <c r="DA52" s="45"/>
      <c r="DB52" s="46"/>
      <c r="DC52" s="30"/>
      <c r="DD52" s="30"/>
      <c r="DE52" s="30"/>
      <c r="DF52" s="30"/>
      <c r="DG52" s="30"/>
      <c r="DH52" s="30"/>
      <c r="DI52" s="30"/>
      <c r="DJ52" s="30"/>
      <c r="DK52" s="30"/>
      <c r="DL52" s="45"/>
      <c r="DM52" s="46"/>
      <c r="DN52" s="30"/>
      <c r="DO52" s="30"/>
      <c r="DP52" s="47"/>
      <c r="DQ52" s="46"/>
      <c r="DR52" s="30"/>
      <c r="DS52" s="30"/>
      <c r="DT52" s="45"/>
      <c r="DU52" s="46"/>
      <c r="DV52" s="31"/>
      <c r="DW52" s="60"/>
      <c r="DX52" s="61"/>
      <c r="DY52" s="61"/>
      <c r="DZ52" s="62"/>
      <c r="EA52" s="63"/>
      <c r="EB52" s="61"/>
      <c r="EC52" s="61"/>
      <c r="ED52" s="61"/>
      <c r="EE52" s="61"/>
      <c r="EF52" s="61"/>
      <c r="EG52" s="61"/>
      <c r="EH52" s="61"/>
      <c r="EI52" s="61"/>
      <c r="EJ52" s="61"/>
      <c r="EK52" s="62"/>
      <c r="EL52" s="63"/>
      <c r="EM52" s="61"/>
      <c r="EN52" s="61"/>
      <c r="EO52" s="65"/>
      <c r="EP52" s="63"/>
      <c r="EQ52" s="61"/>
      <c r="ER52" s="61"/>
      <c r="ES52" s="62"/>
      <c r="ET52" s="63"/>
      <c r="EU52" s="64"/>
      <c r="EV52" s="29"/>
      <c r="EW52" s="30"/>
      <c r="EX52" s="30"/>
      <c r="EY52" s="45"/>
      <c r="EZ52" s="46"/>
      <c r="FA52" s="30"/>
      <c r="FB52" s="30"/>
      <c r="FC52" s="30"/>
      <c r="FD52" s="30"/>
      <c r="FE52" s="30"/>
      <c r="FF52" s="30"/>
      <c r="FG52" s="30"/>
      <c r="FH52" s="30"/>
      <c r="FI52" s="30"/>
      <c r="FJ52" s="45"/>
      <c r="FK52" s="46"/>
      <c r="FL52" s="30"/>
      <c r="FM52" s="30"/>
      <c r="FN52" s="47"/>
      <c r="FO52" s="46"/>
      <c r="FP52" s="30"/>
      <c r="FQ52" s="30"/>
      <c r="FR52" s="45"/>
      <c r="FS52" s="46"/>
      <c r="FT52" s="31"/>
      <c r="FU52" s="5"/>
      <c r="FV52" s="1"/>
      <c r="FW52" s="1"/>
      <c r="FX52" s="15"/>
      <c r="FY52" s="10"/>
      <c r="FZ52" s="1"/>
      <c r="GA52" s="1"/>
      <c r="GB52" s="1"/>
      <c r="GC52" s="1"/>
      <c r="GD52" s="1"/>
      <c r="GE52" s="1"/>
      <c r="GF52" s="1"/>
      <c r="GG52" s="1"/>
      <c r="GH52" s="1"/>
      <c r="GI52" s="15"/>
      <c r="GJ52" s="10"/>
      <c r="GK52" s="1"/>
      <c r="GL52" s="1"/>
      <c r="GM52" s="13"/>
      <c r="GN52" s="10"/>
      <c r="GO52" s="1"/>
      <c r="GP52" s="1"/>
      <c r="GQ52" s="15"/>
      <c r="GR52" s="10"/>
      <c r="GS52" s="6"/>
      <c r="GT52" s="29"/>
      <c r="GU52" s="30"/>
      <c r="GV52" s="30"/>
      <c r="GW52" s="45"/>
      <c r="GX52" s="46"/>
      <c r="GY52" s="30"/>
      <c r="GZ52" s="30"/>
      <c r="HA52" s="30"/>
      <c r="HB52" s="30"/>
      <c r="HC52" s="30"/>
      <c r="HD52" s="30"/>
      <c r="HE52" s="30"/>
      <c r="HF52" s="30"/>
      <c r="HG52" s="30"/>
      <c r="HH52" s="45"/>
      <c r="HI52" s="46"/>
      <c r="HJ52" s="30"/>
      <c r="HK52" s="30"/>
      <c r="HL52" s="47"/>
      <c r="HM52" s="46"/>
      <c r="HN52" s="30"/>
      <c r="HO52" s="30"/>
      <c r="HP52" s="45"/>
      <c r="HQ52" s="46"/>
      <c r="HR52" s="31"/>
      <c r="HS52" s="5"/>
      <c r="HT52" s="1"/>
      <c r="HU52" s="1"/>
      <c r="HV52" s="15"/>
      <c r="HW52" s="10"/>
      <c r="HX52" s="1"/>
      <c r="HY52" s="1"/>
      <c r="HZ52" s="1"/>
      <c r="IA52" s="1"/>
      <c r="IB52" s="1"/>
      <c r="IC52" s="1"/>
      <c r="ID52" s="1"/>
      <c r="IE52" s="1"/>
      <c r="IF52" s="1"/>
      <c r="IG52" s="15"/>
      <c r="IH52" s="10"/>
      <c r="II52" s="1"/>
      <c r="IJ52" s="1"/>
      <c r="IK52" s="13"/>
      <c r="IL52" s="10"/>
      <c r="IM52" s="1"/>
      <c r="IN52" s="1"/>
      <c r="IO52" s="15"/>
      <c r="IP52" s="10"/>
      <c r="IQ52" s="6"/>
    </row>
    <row r="53" spans="1:251" x14ac:dyDescent="0.25">
      <c r="A53" s="2">
        <v>4728</v>
      </c>
      <c r="B53" s="29"/>
      <c r="C53" s="30"/>
      <c r="D53" s="30"/>
      <c r="E53" s="45"/>
      <c r="F53" s="46"/>
      <c r="G53" s="30"/>
      <c r="H53" s="30"/>
      <c r="I53" s="30"/>
      <c r="J53" s="30"/>
      <c r="K53" s="30"/>
      <c r="L53" s="30"/>
      <c r="M53" s="30"/>
      <c r="N53" s="30"/>
      <c r="O53" s="30"/>
      <c r="P53" s="45"/>
      <c r="Q53" s="46"/>
      <c r="R53" s="30"/>
      <c r="S53" s="30"/>
      <c r="T53" s="47"/>
      <c r="U53" s="46"/>
      <c r="V53" s="30"/>
      <c r="W53" s="30"/>
      <c r="X53" s="45"/>
      <c r="Y53" s="46"/>
      <c r="Z53" s="31"/>
      <c r="AA53" s="5"/>
      <c r="AB53" s="1"/>
      <c r="AC53" s="1"/>
      <c r="AD53" s="15"/>
      <c r="AE53" s="10"/>
      <c r="AF53" s="1"/>
      <c r="AG53" s="1"/>
      <c r="AH53" s="1"/>
      <c r="AI53" s="1"/>
      <c r="AJ53" s="1"/>
      <c r="AK53" s="1"/>
      <c r="AL53" s="1"/>
      <c r="AM53" s="1"/>
      <c r="AN53" s="1"/>
      <c r="AO53" s="15"/>
      <c r="AP53" s="10"/>
      <c r="AQ53" s="1"/>
      <c r="AR53" s="1"/>
      <c r="AS53" s="13"/>
      <c r="AT53" s="10"/>
      <c r="AU53" s="1"/>
      <c r="AV53" s="1"/>
      <c r="AW53" s="15"/>
      <c r="AX53" s="10"/>
      <c r="AY53" s="6"/>
      <c r="AZ53" s="29"/>
      <c r="BA53" s="30"/>
      <c r="BB53" s="30"/>
      <c r="BC53" s="45"/>
      <c r="BD53" s="46"/>
      <c r="BE53" s="30"/>
      <c r="BF53" s="30"/>
      <c r="BG53" s="30"/>
      <c r="BH53" s="30"/>
      <c r="BI53" s="30"/>
      <c r="BJ53" s="30"/>
      <c r="BK53" s="30"/>
      <c r="BL53" s="30"/>
      <c r="BM53" s="30"/>
      <c r="BN53" s="45"/>
      <c r="BO53" s="46"/>
      <c r="BP53" s="30"/>
      <c r="BQ53" s="30"/>
      <c r="BR53" s="47"/>
      <c r="BS53" s="46"/>
      <c r="BT53" s="30"/>
      <c r="BU53" s="30"/>
      <c r="BV53" s="45"/>
      <c r="BW53" s="46"/>
      <c r="BX53" s="31"/>
      <c r="BY53" s="5"/>
      <c r="BZ53" s="1"/>
      <c r="CA53" s="1"/>
      <c r="CB53" s="15"/>
      <c r="CC53" s="10"/>
      <c r="CD53" s="1"/>
      <c r="CE53" s="1"/>
      <c r="CF53" s="1"/>
      <c r="CG53" s="1"/>
      <c r="CH53" s="1"/>
      <c r="CI53" s="1"/>
      <c r="CJ53" s="1"/>
      <c r="CK53" s="1"/>
      <c r="CL53" s="1"/>
      <c r="CM53" s="15"/>
      <c r="CN53" s="10"/>
      <c r="CO53" s="1"/>
      <c r="CP53" s="1"/>
      <c r="CQ53" s="13"/>
      <c r="CR53" s="10"/>
      <c r="CS53" s="1"/>
      <c r="CT53" s="1"/>
      <c r="CU53" s="15"/>
      <c r="CV53" s="10"/>
      <c r="CW53" s="6"/>
      <c r="CX53" s="29"/>
      <c r="CY53" s="30"/>
      <c r="CZ53" s="30"/>
      <c r="DA53" s="45"/>
      <c r="DB53" s="46"/>
      <c r="DC53" s="30"/>
      <c r="DD53" s="30"/>
      <c r="DE53" s="30"/>
      <c r="DF53" s="30"/>
      <c r="DG53" s="30"/>
      <c r="DH53" s="30"/>
      <c r="DI53" s="30"/>
      <c r="DJ53" s="30"/>
      <c r="DK53" s="30"/>
      <c r="DL53" s="45"/>
      <c r="DM53" s="46"/>
      <c r="DN53" s="30"/>
      <c r="DO53" s="30"/>
      <c r="DP53" s="47"/>
      <c r="DQ53" s="46"/>
      <c r="DR53" s="30"/>
      <c r="DS53" s="30"/>
      <c r="DT53" s="45"/>
      <c r="DU53" s="46"/>
      <c r="DV53" s="31"/>
      <c r="DW53" s="60"/>
      <c r="DX53" s="61"/>
      <c r="DY53" s="61"/>
      <c r="DZ53" s="62"/>
      <c r="EA53" s="63"/>
      <c r="EB53" s="61"/>
      <c r="EC53" s="61"/>
      <c r="ED53" s="61"/>
      <c r="EE53" s="61"/>
      <c r="EF53" s="61"/>
      <c r="EG53" s="61"/>
      <c r="EH53" s="61"/>
      <c r="EI53" s="61"/>
      <c r="EJ53" s="61"/>
      <c r="EK53" s="62"/>
      <c r="EL53" s="63"/>
      <c r="EM53" s="61"/>
      <c r="EN53" s="61"/>
      <c r="EO53" s="65"/>
      <c r="EP53" s="63"/>
      <c r="EQ53" s="61"/>
      <c r="ER53" s="61"/>
      <c r="ES53" s="62"/>
      <c r="ET53" s="63"/>
      <c r="EU53" s="64"/>
      <c r="EV53" s="29"/>
      <c r="EW53" s="30"/>
      <c r="EX53" s="30"/>
      <c r="EY53" s="45"/>
      <c r="EZ53" s="46"/>
      <c r="FA53" s="30"/>
      <c r="FB53" s="30"/>
      <c r="FC53" s="30"/>
      <c r="FD53" s="30"/>
      <c r="FE53" s="30"/>
      <c r="FF53" s="30"/>
      <c r="FG53" s="30"/>
      <c r="FH53" s="30"/>
      <c r="FI53" s="30"/>
      <c r="FJ53" s="45"/>
      <c r="FK53" s="46"/>
      <c r="FL53" s="30"/>
      <c r="FM53" s="30"/>
      <c r="FN53" s="47"/>
      <c r="FO53" s="46"/>
      <c r="FP53" s="30"/>
      <c r="FQ53" s="30"/>
      <c r="FR53" s="45"/>
      <c r="FS53" s="46"/>
      <c r="FT53" s="31"/>
      <c r="FU53" s="5"/>
      <c r="FV53" s="1"/>
      <c r="FW53" s="1"/>
      <c r="FX53" s="15"/>
      <c r="FY53" s="10"/>
      <c r="FZ53" s="1"/>
      <c r="GA53" s="1"/>
      <c r="GB53" s="1"/>
      <c r="GC53" s="1"/>
      <c r="GD53" s="1"/>
      <c r="GE53" s="1"/>
      <c r="GF53" s="1"/>
      <c r="GG53" s="1"/>
      <c r="GH53" s="1"/>
      <c r="GI53" s="15"/>
      <c r="GJ53" s="10"/>
      <c r="GK53" s="1"/>
      <c r="GL53" s="1"/>
      <c r="GM53" s="13"/>
      <c r="GN53" s="10"/>
      <c r="GO53" s="1"/>
      <c r="GP53" s="1"/>
      <c r="GQ53" s="15"/>
      <c r="GR53" s="10"/>
      <c r="GS53" s="6"/>
      <c r="GT53" s="29"/>
      <c r="GU53" s="30"/>
      <c r="GV53" s="30"/>
      <c r="GW53" s="45"/>
      <c r="GX53" s="46"/>
      <c r="GY53" s="30"/>
      <c r="GZ53" s="30"/>
      <c r="HA53" s="30"/>
      <c r="HB53" s="30"/>
      <c r="HC53" s="30"/>
      <c r="HD53" s="30"/>
      <c r="HE53" s="30"/>
      <c r="HF53" s="30"/>
      <c r="HG53" s="30"/>
      <c r="HH53" s="45"/>
      <c r="HI53" s="46"/>
      <c r="HJ53" s="30"/>
      <c r="HK53" s="30"/>
      <c r="HL53" s="47"/>
      <c r="HM53" s="46"/>
      <c r="HN53" s="30"/>
      <c r="HO53" s="30"/>
      <c r="HP53" s="45"/>
      <c r="HQ53" s="46"/>
      <c r="HR53" s="31"/>
      <c r="HS53" s="5"/>
      <c r="HT53" s="1"/>
      <c r="HU53" s="1"/>
      <c r="HV53" s="15"/>
      <c r="HW53" s="10"/>
      <c r="HX53" s="1"/>
      <c r="HY53" s="1"/>
      <c r="HZ53" s="1"/>
      <c r="IA53" s="1"/>
      <c r="IB53" s="1"/>
      <c r="IC53" s="1"/>
      <c r="ID53" s="1"/>
      <c r="IE53" s="1"/>
      <c r="IF53" s="1"/>
      <c r="IG53" s="15"/>
      <c r="IH53" s="10"/>
      <c r="II53" s="1"/>
      <c r="IJ53" s="1"/>
      <c r="IK53" s="13"/>
      <c r="IL53" s="10"/>
      <c r="IM53" s="1"/>
      <c r="IN53" s="1"/>
      <c r="IO53" s="15"/>
      <c r="IP53" s="10"/>
      <c r="IQ53" s="6"/>
    </row>
    <row r="54" spans="1:251" x14ac:dyDescent="0.25">
      <c r="A54" s="2">
        <v>5172</v>
      </c>
      <c r="B54" s="29"/>
      <c r="C54" s="30"/>
      <c r="D54" s="30"/>
      <c r="E54" s="45"/>
      <c r="F54" s="46"/>
      <c r="G54" s="30"/>
      <c r="H54" s="30"/>
      <c r="I54" s="30"/>
      <c r="J54" s="30"/>
      <c r="K54" s="30"/>
      <c r="L54" s="30"/>
      <c r="M54" s="30"/>
      <c r="N54" s="30"/>
      <c r="O54" s="30"/>
      <c r="P54" s="45"/>
      <c r="Q54" s="46"/>
      <c r="R54" s="30"/>
      <c r="S54" s="30"/>
      <c r="T54" s="47"/>
      <c r="U54" s="46"/>
      <c r="V54" s="30"/>
      <c r="W54" s="30"/>
      <c r="X54" s="45"/>
      <c r="Y54" s="46"/>
      <c r="Z54" s="31"/>
      <c r="AA54" s="5"/>
      <c r="AB54" s="1"/>
      <c r="AC54" s="1"/>
      <c r="AD54" s="15"/>
      <c r="AE54" s="10"/>
      <c r="AF54" s="1"/>
      <c r="AG54" s="1"/>
      <c r="AH54" s="1"/>
      <c r="AI54" s="1"/>
      <c r="AJ54" s="1"/>
      <c r="AK54" s="1"/>
      <c r="AL54" s="1"/>
      <c r="AM54" s="1"/>
      <c r="AN54" s="1"/>
      <c r="AO54" s="15"/>
      <c r="AP54" s="10"/>
      <c r="AQ54" s="1"/>
      <c r="AR54" s="1"/>
      <c r="AS54" s="13"/>
      <c r="AT54" s="10"/>
      <c r="AU54" s="1"/>
      <c r="AV54" s="1"/>
      <c r="AW54" s="15"/>
      <c r="AX54" s="10"/>
      <c r="AY54" s="6"/>
      <c r="AZ54" s="29"/>
      <c r="BA54" s="30"/>
      <c r="BB54" s="30"/>
      <c r="BC54" s="45"/>
      <c r="BD54" s="46"/>
      <c r="BE54" s="30"/>
      <c r="BF54" s="30"/>
      <c r="BG54" s="30"/>
      <c r="BH54" s="30"/>
      <c r="BI54" s="30"/>
      <c r="BJ54" s="30"/>
      <c r="BK54" s="30"/>
      <c r="BL54" s="30"/>
      <c r="BM54" s="30"/>
      <c r="BN54" s="45"/>
      <c r="BO54" s="46"/>
      <c r="BP54" s="30"/>
      <c r="BQ54" s="30"/>
      <c r="BR54" s="47"/>
      <c r="BS54" s="46"/>
      <c r="BT54" s="30"/>
      <c r="BU54" s="30"/>
      <c r="BV54" s="45"/>
      <c r="BW54" s="46"/>
      <c r="BX54" s="31"/>
      <c r="BY54" s="5"/>
      <c r="BZ54" s="1"/>
      <c r="CA54" s="1"/>
      <c r="CB54" s="15"/>
      <c r="CC54" s="10"/>
      <c r="CD54" s="1"/>
      <c r="CE54" s="1"/>
      <c r="CF54" s="1"/>
      <c r="CG54" s="1"/>
      <c r="CH54" s="1"/>
      <c r="CI54" s="1"/>
      <c r="CJ54" s="1"/>
      <c r="CK54" s="1"/>
      <c r="CL54" s="1"/>
      <c r="CM54" s="15"/>
      <c r="CN54" s="10"/>
      <c r="CO54" s="1"/>
      <c r="CP54" s="1"/>
      <c r="CQ54" s="13"/>
      <c r="CR54" s="10"/>
      <c r="CS54" s="1"/>
      <c r="CT54" s="1"/>
      <c r="CU54" s="15"/>
      <c r="CV54" s="10"/>
      <c r="CW54" s="6"/>
      <c r="CX54" s="29"/>
      <c r="CY54" s="30"/>
      <c r="CZ54" s="30"/>
      <c r="DA54" s="45"/>
      <c r="DB54" s="46"/>
      <c r="DC54" s="30"/>
      <c r="DD54" s="30"/>
      <c r="DE54" s="30"/>
      <c r="DF54" s="30"/>
      <c r="DG54" s="30"/>
      <c r="DH54" s="30"/>
      <c r="DI54" s="30"/>
      <c r="DJ54" s="30"/>
      <c r="DK54" s="30"/>
      <c r="DL54" s="45"/>
      <c r="DM54" s="46"/>
      <c r="DN54" s="30"/>
      <c r="DO54" s="30"/>
      <c r="DP54" s="47"/>
      <c r="DQ54" s="46"/>
      <c r="DR54" s="30"/>
      <c r="DS54" s="30"/>
      <c r="DT54" s="45"/>
      <c r="DU54" s="46"/>
      <c r="DV54" s="31"/>
      <c r="DW54" s="60"/>
      <c r="DX54" s="61"/>
      <c r="DY54" s="61"/>
      <c r="DZ54" s="62"/>
      <c r="EA54" s="63"/>
      <c r="EB54" s="61"/>
      <c r="EC54" s="61"/>
      <c r="ED54" s="61"/>
      <c r="EE54" s="61"/>
      <c r="EF54" s="61"/>
      <c r="EG54" s="61"/>
      <c r="EH54" s="61"/>
      <c r="EI54" s="61"/>
      <c r="EJ54" s="61"/>
      <c r="EK54" s="62"/>
      <c r="EL54" s="63"/>
      <c r="EM54" s="61"/>
      <c r="EN54" s="61"/>
      <c r="EO54" s="65"/>
      <c r="EP54" s="63"/>
      <c r="EQ54" s="61"/>
      <c r="ER54" s="61"/>
      <c r="ES54" s="62"/>
      <c r="ET54" s="63"/>
      <c r="EU54" s="64"/>
      <c r="EV54" s="29"/>
      <c r="EW54" s="30"/>
      <c r="EX54" s="30"/>
      <c r="EY54" s="45"/>
      <c r="EZ54" s="46"/>
      <c r="FA54" s="30"/>
      <c r="FB54" s="30"/>
      <c r="FC54" s="30"/>
      <c r="FD54" s="30"/>
      <c r="FE54" s="30"/>
      <c r="FF54" s="30"/>
      <c r="FG54" s="30"/>
      <c r="FH54" s="30"/>
      <c r="FI54" s="30"/>
      <c r="FJ54" s="45"/>
      <c r="FK54" s="46"/>
      <c r="FL54" s="30"/>
      <c r="FM54" s="30"/>
      <c r="FN54" s="47"/>
      <c r="FO54" s="46"/>
      <c r="FP54" s="30"/>
      <c r="FQ54" s="30"/>
      <c r="FR54" s="45"/>
      <c r="FS54" s="46"/>
      <c r="FT54" s="31"/>
      <c r="FU54" s="5"/>
      <c r="FV54" s="1"/>
      <c r="FW54" s="1"/>
      <c r="FX54" s="15"/>
      <c r="FY54" s="10"/>
      <c r="FZ54" s="1"/>
      <c r="GA54" s="1"/>
      <c r="GB54" s="1"/>
      <c r="GC54" s="1"/>
      <c r="GD54" s="1"/>
      <c r="GE54" s="1"/>
      <c r="GF54" s="1"/>
      <c r="GG54" s="1"/>
      <c r="GH54" s="1"/>
      <c r="GI54" s="15"/>
      <c r="GJ54" s="10"/>
      <c r="GK54" s="1"/>
      <c r="GL54" s="1"/>
      <c r="GM54" s="13"/>
      <c r="GN54" s="10"/>
      <c r="GO54" s="1"/>
      <c r="GP54" s="1"/>
      <c r="GQ54" s="15"/>
      <c r="GR54" s="10"/>
      <c r="GS54" s="6"/>
      <c r="GT54" s="29"/>
      <c r="GU54" s="30"/>
      <c r="GV54" s="30"/>
      <c r="GW54" s="45"/>
      <c r="GX54" s="46"/>
      <c r="GY54" s="30"/>
      <c r="GZ54" s="30"/>
      <c r="HA54" s="30"/>
      <c r="HB54" s="30"/>
      <c r="HC54" s="30"/>
      <c r="HD54" s="30"/>
      <c r="HE54" s="30"/>
      <c r="HF54" s="30"/>
      <c r="HG54" s="30"/>
      <c r="HH54" s="45"/>
      <c r="HI54" s="46"/>
      <c r="HJ54" s="30"/>
      <c r="HK54" s="30"/>
      <c r="HL54" s="47"/>
      <c r="HM54" s="46"/>
      <c r="HN54" s="30"/>
      <c r="HO54" s="30"/>
      <c r="HP54" s="45"/>
      <c r="HQ54" s="46"/>
      <c r="HR54" s="31"/>
      <c r="HS54" s="5"/>
      <c r="HT54" s="1"/>
      <c r="HU54" s="1"/>
      <c r="HV54" s="15"/>
      <c r="HW54" s="10"/>
      <c r="HX54" s="1"/>
      <c r="HY54" s="1"/>
      <c r="HZ54" s="1"/>
      <c r="IA54" s="1"/>
      <c r="IB54" s="1"/>
      <c r="IC54" s="1"/>
      <c r="ID54" s="1"/>
      <c r="IE54" s="1"/>
      <c r="IF54" s="1"/>
      <c r="IG54" s="15"/>
      <c r="IH54" s="10"/>
      <c r="II54" s="1"/>
      <c r="IJ54" s="1"/>
      <c r="IK54" s="13"/>
      <c r="IL54" s="10"/>
      <c r="IM54" s="1"/>
      <c r="IN54" s="1"/>
      <c r="IO54" s="15"/>
      <c r="IP54" s="10"/>
      <c r="IQ54" s="6"/>
    </row>
    <row r="55" spans="1:251" x14ac:dyDescent="0.25">
      <c r="A55" s="2">
        <v>5232</v>
      </c>
      <c r="B55" s="29"/>
      <c r="C55" s="30"/>
      <c r="D55" s="30"/>
      <c r="E55" s="45"/>
      <c r="F55" s="46"/>
      <c r="G55" s="30"/>
      <c r="H55" s="30"/>
      <c r="I55" s="30"/>
      <c r="J55" s="30"/>
      <c r="K55" s="30"/>
      <c r="L55" s="30"/>
      <c r="M55" s="30"/>
      <c r="N55" s="30"/>
      <c r="O55" s="30"/>
      <c r="P55" s="45"/>
      <c r="Q55" s="46"/>
      <c r="R55" s="30"/>
      <c r="S55" s="30"/>
      <c r="T55" s="47"/>
      <c r="U55" s="46"/>
      <c r="V55" s="30"/>
      <c r="W55" s="30"/>
      <c r="X55" s="45"/>
      <c r="Y55" s="31"/>
      <c r="Z55" s="31"/>
      <c r="AA55" s="5"/>
      <c r="AB55" s="1"/>
      <c r="AC55" s="1"/>
      <c r="AD55" s="15"/>
      <c r="AE55" s="10"/>
      <c r="AF55" s="1"/>
      <c r="AG55" s="1"/>
      <c r="AH55" s="1"/>
      <c r="AI55" s="1"/>
      <c r="AJ55" s="1"/>
      <c r="AK55" s="1"/>
      <c r="AL55" s="1"/>
      <c r="AM55" s="1"/>
      <c r="AN55" s="1"/>
      <c r="AO55" s="15"/>
      <c r="AP55" s="10"/>
      <c r="AQ55" s="1"/>
      <c r="AR55" s="1"/>
      <c r="AS55" s="13"/>
      <c r="AT55" s="10"/>
      <c r="AU55" s="1"/>
      <c r="AV55" s="1"/>
      <c r="AW55" s="15"/>
      <c r="AX55" s="10"/>
      <c r="AY55" s="6"/>
      <c r="AZ55" s="29"/>
      <c r="BA55" s="30"/>
      <c r="BB55" s="30"/>
      <c r="BC55" s="45"/>
      <c r="BD55" s="46"/>
      <c r="BE55" s="30"/>
      <c r="BF55" s="30"/>
      <c r="BG55" s="30"/>
      <c r="BH55" s="30"/>
      <c r="BI55" s="30"/>
      <c r="BJ55" s="30"/>
      <c r="BK55" s="30"/>
      <c r="BL55" s="30"/>
      <c r="BM55" s="30"/>
      <c r="BN55" s="45"/>
      <c r="BO55" s="46"/>
      <c r="BP55" s="30"/>
      <c r="BQ55" s="30"/>
      <c r="BR55" s="47"/>
      <c r="BS55" s="46"/>
      <c r="BT55" s="30"/>
      <c r="BU55" s="30"/>
      <c r="BV55" s="45"/>
      <c r="BW55" s="46"/>
      <c r="BX55" s="31"/>
      <c r="BY55" s="5"/>
      <c r="BZ55" s="1"/>
      <c r="CA55" s="1"/>
      <c r="CB55" s="15"/>
      <c r="CC55" s="10"/>
      <c r="CD55" s="1"/>
      <c r="CE55" s="1"/>
      <c r="CF55" s="1"/>
      <c r="CG55" s="1"/>
      <c r="CH55" s="1"/>
      <c r="CI55" s="1"/>
      <c r="CJ55" s="1"/>
      <c r="CK55" s="1"/>
      <c r="CL55" s="1"/>
      <c r="CM55" s="15"/>
      <c r="CN55" s="10"/>
      <c r="CO55" s="1"/>
      <c r="CP55" s="1"/>
      <c r="CQ55" s="13"/>
      <c r="CR55" s="10"/>
      <c r="CS55" s="1"/>
      <c r="CT55" s="1"/>
      <c r="CU55" s="15"/>
      <c r="CV55" s="10"/>
      <c r="CW55" s="6"/>
      <c r="CX55" s="29"/>
      <c r="CY55" s="30"/>
      <c r="CZ55" s="30"/>
      <c r="DA55" s="45"/>
      <c r="DB55" s="46"/>
      <c r="DC55" s="30"/>
      <c r="DD55" s="30"/>
      <c r="DE55" s="30"/>
      <c r="DF55" s="30"/>
      <c r="DG55" s="30"/>
      <c r="DH55" s="30"/>
      <c r="DI55" s="30"/>
      <c r="DJ55" s="30"/>
      <c r="DK55" s="30"/>
      <c r="DL55" s="45"/>
      <c r="DM55" s="46"/>
      <c r="DN55" s="30"/>
      <c r="DO55" s="30"/>
      <c r="DP55" s="47"/>
      <c r="DQ55" s="46"/>
      <c r="DR55" s="30"/>
      <c r="DS55" s="30"/>
      <c r="DT55" s="45"/>
      <c r="DU55" s="46"/>
      <c r="DV55" s="31"/>
      <c r="DW55" s="60"/>
      <c r="DX55" s="61"/>
      <c r="DY55" s="61"/>
      <c r="DZ55" s="62"/>
      <c r="EA55" s="63"/>
      <c r="EB55" s="61"/>
      <c r="EC55" s="61"/>
      <c r="ED55" s="61"/>
      <c r="EE55" s="61"/>
      <c r="EF55" s="61"/>
      <c r="EG55" s="61"/>
      <c r="EH55" s="61"/>
      <c r="EI55" s="61"/>
      <c r="EJ55" s="61"/>
      <c r="EK55" s="62"/>
      <c r="EL55" s="63"/>
      <c r="EM55" s="61"/>
      <c r="EN55" s="61"/>
      <c r="EO55" s="65"/>
      <c r="EP55" s="63"/>
      <c r="EQ55" s="61"/>
      <c r="ER55" s="61"/>
      <c r="ES55" s="62"/>
      <c r="ET55" s="63"/>
      <c r="EU55" s="64"/>
      <c r="EV55" s="29"/>
      <c r="EW55" s="30"/>
      <c r="EX55" s="30"/>
      <c r="EY55" s="45"/>
      <c r="EZ55" s="46"/>
      <c r="FA55" s="30"/>
      <c r="FB55" s="30"/>
      <c r="FC55" s="30"/>
      <c r="FD55" s="30"/>
      <c r="FE55" s="30"/>
      <c r="FF55" s="30"/>
      <c r="FG55" s="30"/>
      <c r="FH55" s="30"/>
      <c r="FI55" s="30"/>
      <c r="FJ55" s="45"/>
      <c r="FK55" s="46"/>
      <c r="FL55" s="30"/>
      <c r="FM55" s="30"/>
      <c r="FN55" s="47"/>
      <c r="FO55" s="46"/>
      <c r="FP55" s="30"/>
      <c r="FQ55" s="30"/>
      <c r="FR55" s="45"/>
      <c r="FS55" s="46"/>
      <c r="FT55" s="31"/>
      <c r="FU55" s="5"/>
      <c r="FV55" s="1"/>
      <c r="FW55" s="1"/>
      <c r="FX55" s="15"/>
      <c r="FY55" s="10"/>
      <c r="FZ55" s="1"/>
      <c r="GA55" s="1"/>
      <c r="GB55" s="1"/>
      <c r="GC55" s="1"/>
      <c r="GD55" s="1"/>
      <c r="GE55" s="1"/>
      <c r="GF55" s="1"/>
      <c r="GG55" s="1"/>
      <c r="GH55" s="1"/>
      <c r="GI55" s="15"/>
      <c r="GJ55" s="10"/>
      <c r="GK55" s="1"/>
      <c r="GL55" s="1"/>
      <c r="GM55" s="13"/>
      <c r="GN55" s="10"/>
      <c r="GO55" s="1"/>
      <c r="GP55" s="1"/>
      <c r="GQ55" s="15"/>
      <c r="GR55" s="10"/>
      <c r="GS55" s="6"/>
      <c r="GT55" s="29"/>
      <c r="GU55" s="30"/>
      <c r="GV55" s="30"/>
      <c r="GW55" s="45"/>
      <c r="GX55" s="46"/>
      <c r="GY55" s="30"/>
      <c r="GZ55" s="30"/>
      <c r="HA55" s="30"/>
      <c r="HB55" s="30"/>
      <c r="HC55" s="30"/>
      <c r="HD55" s="30"/>
      <c r="HE55" s="30"/>
      <c r="HF55" s="30"/>
      <c r="HG55" s="30"/>
      <c r="HH55" s="45"/>
      <c r="HI55" s="46"/>
      <c r="HJ55" s="30"/>
      <c r="HK55" s="30"/>
      <c r="HL55" s="47"/>
      <c r="HM55" s="46"/>
      <c r="HN55" s="30"/>
      <c r="HO55" s="30"/>
      <c r="HP55" s="45"/>
      <c r="HQ55" s="46"/>
      <c r="HR55" s="31"/>
      <c r="HS55" s="5"/>
      <c r="HT55" s="1"/>
      <c r="HU55" s="1"/>
      <c r="HV55" s="15"/>
      <c r="HW55" s="10"/>
      <c r="HX55" s="1"/>
      <c r="HY55" s="1"/>
      <c r="HZ55" s="1"/>
      <c r="IA55" s="1"/>
      <c r="IB55" s="1"/>
      <c r="IC55" s="1"/>
      <c r="ID55" s="1"/>
      <c r="IE55" s="1"/>
      <c r="IF55" s="1"/>
      <c r="IG55" s="15"/>
      <c r="IH55" s="10"/>
      <c r="II55" s="1"/>
      <c r="IJ55" s="1"/>
      <c r="IK55" s="13"/>
      <c r="IL55" s="10"/>
      <c r="IM55" s="1"/>
      <c r="IN55" s="1"/>
      <c r="IO55" s="15"/>
      <c r="IP55" s="10"/>
      <c r="IQ55" s="6"/>
    </row>
    <row r="56" spans="1:251" x14ac:dyDescent="0.25">
      <c r="A56" s="2">
        <v>5253</v>
      </c>
      <c r="B56" s="29"/>
      <c r="C56" s="30"/>
      <c r="D56" s="30"/>
      <c r="E56" s="45"/>
      <c r="F56" s="46"/>
      <c r="G56" s="30"/>
      <c r="H56" s="30"/>
      <c r="I56" s="30"/>
      <c r="J56" s="30"/>
      <c r="K56" s="30"/>
      <c r="L56" s="30"/>
      <c r="M56" s="30"/>
      <c r="N56" s="30"/>
      <c r="O56" s="30"/>
      <c r="P56" s="45"/>
      <c r="Q56" s="46"/>
      <c r="R56" s="30"/>
      <c r="S56" s="30"/>
      <c r="T56" s="47"/>
      <c r="U56" s="46"/>
      <c r="V56" s="30"/>
      <c r="W56" s="30"/>
      <c r="X56" s="45"/>
      <c r="Y56" s="46"/>
      <c r="Z56" s="31"/>
      <c r="AA56" s="5"/>
      <c r="AB56" s="1"/>
      <c r="AC56" s="1"/>
      <c r="AD56" s="15"/>
      <c r="AE56" s="10"/>
      <c r="AF56" s="1"/>
      <c r="AG56" s="1"/>
      <c r="AH56" s="1"/>
      <c r="AI56" s="1"/>
      <c r="AJ56" s="1"/>
      <c r="AK56" s="1"/>
      <c r="AL56" s="1"/>
      <c r="AM56" s="1"/>
      <c r="AN56" s="1"/>
      <c r="AO56" s="15"/>
      <c r="AP56" s="10"/>
      <c r="AQ56" s="1"/>
      <c r="AR56" s="1"/>
      <c r="AS56" s="13"/>
      <c r="AT56" s="10"/>
      <c r="AU56" s="1"/>
      <c r="AV56" s="1"/>
      <c r="AW56" s="15"/>
      <c r="AX56" s="10"/>
      <c r="AY56" s="6"/>
      <c r="AZ56" s="29"/>
      <c r="BA56" s="30"/>
      <c r="BB56" s="30"/>
      <c r="BC56" s="45"/>
      <c r="BD56" s="46"/>
      <c r="BE56" s="30"/>
      <c r="BF56" s="30"/>
      <c r="BG56" s="30"/>
      <c r="BH56" s="30"/>
      <c r="BI56" s="30"/>
      <c r="BJ56" s="30"/>
      <c r="BK56" s="30"/>
      <c r="BL56" s="30"/>
      <c r="BM56" s="30"/>
      <c r="BN56" s="45"/>
      <c r="BO56" s="46"/>
      <c r="BP56" s="30"/>
      <c r="BQ56" s="30"/>
      <c r="BR56" s="47"/>
      <c r="BS56" s="46"/>
      <c r="BT56" s="30"/>
      <c r="BU56" s="30"/>
      <c r="BV56" s="45"/>
      <c r="BW56" s="46"/>
      <c r="BX56" s="31"/>
      <c r="BY56" s="5"/>
      <c r="BZ56" s="1"/>
      <c r="CA56" s="1"/>
      <c r="CB56" s="15"/>
      <c r="CC56" s="10"/>
      <c r="CD56" s="1"/>
      <c r="CE56" s="1"/>
      <c r="CF56" s="1"/>
      <c r="CG56" s="1"/>
      <c r="CH56" s="1"/>
      <c r="CI56" s="1"/>
      <c r="CJ56" s="1"/>
      <c r="CK56" s="1"/>
      <c r="CL56" s="1"/>
      <c r="CM56" s="15"/>
      <c r="CN56" s="10"/>
      <c r="CO56" s="1"/>
      <c r="CP56" s="1"/>
      <c r="CQ56" s="13"/>
      <c r="CR56" s="10"/>
      <c r="CS56" s="1"/>
      <c r="CT56" s="1"/>
      <c r="CU56" s="15"/>
      <c r="CV56" s="10"/>
      <c r="CW56" s="6"/>
      <c r="CX56" s="29"/>
      <c r="CY56" s="30"/>
      <c r="CZ56" s="30"/>
      <c r="DA56" s="45"/>
      <c r="DB56" s="46"/>
      <c r="DC56" s="30"/>
      <c r="DD56" s="30"/>
      <c r="DE56" s="30"/>
      <c r="DF56" s="30"/>
      <c r="DG56" s="30"/>
      <c r="DH56" s="30"/>
      <c r="DI56" s="30"/>
      <c r="DJ56" s="30"/>
      <c r="DK56" s="30"/>
      <c r="DL56" s="45"/>
      <c r="DM56" s="46"/>
      <c r="DN56" s="30"/>
      <c r="DO56" s="30"/>
      <c r="DP56" s="47"/>
      <c r="DQ56" s="46"/>
      <c r="DR56" s="30"/>
      <c r="DS56" s="30"/>
      <c r="DT56" s="45"/>
      <c r="DU56" s="46"/>
      <c r="DV56" s="31"/>
      <c r="DW56" s="60"/>
      <c r="DX56" s="61"/>
      <c r="DY56" s="61"/>
      <c r="DZ56" s="62"/>
      <c r="EA56" s="63"/>
      <c r="EB56" s="61"/>
      <c r="EC56" s="61"/>
      <c r="ED56" s="61"/>
      <c r="EE56" s="61"/>
      <c r="EF56" s="61"/>
      <c r="EG56" s="61"/>
      <c r="EH56" s="61"/>
      <c r="EI56" s="61"/>
      <c r="EJ56" s="61"/>
      <c r="EK56" s="62"/>
      <c r="EL56" s="63"/>
      <c r="EM56" s="61"/>
      <c r="EN56" s="61"/>
      <c r="EO56" s="65"/>
      <c r="EP56" s="63"/>
      <c r="EQ56" s="61"/>
      <c r="ER56" s="61"/>
      <c r="ES56" s="62"/>
      <c r="ET56" s="63"/>
      <c r="EU56" s="64"/>
      <c r="EV56" s="29"/>
      <c r="EW56" s="30"/>
      <c r="EX56" s="30"/>
      <c r="EY56" s="45"/>
      <c r="EZ56" s="46"/>
      <c r="FA56" s="30"/>
      <c r="FB56" s="30"/>
      <c r="FC56" s="30"/>
      <c r="FD56" s="30"/>
      <c r="FE56" s="30"/>
      <c r="FF56" s="30"/>
      <c r="FG56" s="30"/>
      <c r="FH56" s="30"/>
      <c r="FI56" s="30"/>
      <c r="FJ56" s="45"/>
      <c r="FK56" s="46"/>
      <c r="FL56" s="30"/>
      <c r="FM56" s="30"/>
      <c r="FN56" s="47"/>
      <c r="FO56" s="46"/>
      <c r="FP56" s="30"/>
      <c r="FQ56" s="30"/>
      <c r="FR56" s="45"/>
      <c r="FS56" s="46"/>
      <c r="FT56" s="31"/>
      <c r="FU56" s="5"/>
      <c r="FV56" s="1"/>
      <c r="FW56" s="1"/>
      <c r="FX56" s="15"/>
      <c r="FY56" s="10"/>
      <c r="FZ56" s="1"/>
      <c r="GA56" s="1"/>
      <c r="GB56" s="1"/>
      <c r="GC56" s="1"/>
      <c r="GD56" s="1"/>
      <c r="GE56" s="1"/>
      <c r="GF56" s="1"/>
      <c r="GG56" s="1"/>
      <c r="GH56" s="1"/>
      <c r="GI56" s="15"/>
      <c r="GJ56" s="10"/>
      <c r="GK56" s="1"/>
      <c r="GL56" s="1"/>
      <c r="GM56" s="13"/>
      <c r="GN56" s="10"/>
      <c r="GO56" s="1"/>
      <c r="GP56" s="1"/>
      <c r="GQ56" s="15"/>
      <c r="GR56" s="10"/>
      <c r="GS56" s="6"/>
      <c r="GT56" s="29"/>
      <c r="GU56" s="30"/>
      <c r="GV56" s="30"/>
      <c r="GW56" s="45"/>
      <c r="GX56" s="46"/>
      <c r="GY56" s="30"/>
      <c r="GZ56" s="30"/>
      <c r="HA56" s="30"/>
      <c r="HB56" s="30"/>
      <c r="HC56" s="30"/>
      <c r="HD56" s="30"/>
      <c r="HE56" s="30"/>
      <c r="HF56" s="30"/>
      <c r="HG56" s="30"/>
      <c r="HH56" s="45"/>
      <c r="HI56" s="46"/>
      <c r="HJ56" s="30"/>
      <c r="HK56" s="30"/>
      <c r="HL56" s="47"/>
      <c r="HM56" s="46"/>
      <c r="HN56" s="30"/>
      <c r="HO56" s="30"/>
      <c r="HP56" s="45"/>
      <c r="HQ56" s="46"/>
      <c r="HR56" s="31"/>
      <c r="HS56" s="5"/>
      <c r="HT56" s="1"/>
      <c r="HU56" s="1"/>
      <c r="HV56" s="15"/>
      <c r="HW56" s="10"/>
      <c r="HX56" s="1"/>
      <c r="HY56" s="1"/>
      <c r="HZ56" s="1"/>
      <c r="IA56" s="1"/>
      <c r="IB56" s="1"/>
      <c r="IC56" s="1"/>
      <c r="ID56" s="1"/>
      <c r="IE56" s="1"/>
      <c r="IF56" s="1"/>
      <c r="IG56" s="15"/>
      <c r="IH56" s="10"/>
      <c r="II56" s="1"/>
      <c r="IJ56" s="1"/>
      <c r="IK56" s="13"/>
      <c r="IL56" s="10"/>
      <c r="IM56" s="1"/>
      <c r="IN56" s="1"/>
      <c r="IO56" s="15"/>
      <c r="IP56" s="10"/>
      <c r="IQ56" s="6"/>
    </row>
    <row r="57" spans="1:251" x14ac:dyDescent="0.25">
      <c r="A57" s="2">
        <v>5278</v>
      </c>
      <c r="B57" s="29"/>
      <c r="C57" s="30"/>
      <c r="D57" s="30"/>
      <c r="E57" s="45"/>
      <c r="F57" s="46"/>
      <c r="G57" s="30"/>
      <c r="H57" s="30"/>
      <c r="I57" s="30"/>
      <c r="J57" s="30"/>
      <c r="K57" s="30"/>
      <c r="L57" s="30"/>
      <c r="M57" s="30"/>
      <c r="N57" s="30"/>
      <c r="O57" s="30"/>
      <c r="P57" s="45"/>
      <c r="Q57" s="46"/>
      <c r="R57" s="30"/>
      <c r="S57" s="30"/>
      <c r="T57" s="47"/>
      <c r="U57" s="46"/>
      <c r="V57" s="30"/>
      <c r="W57" s="30"/>
      <c r="X57" s="45"/>
      <c r="Y57" s="46"/>
      <c r="Z57" s="31"/>
      <c r="AA57" s="5"/>
      <c r="AB57" s="1"/>
      <c r="AC57" s="1"/>
      <c r="AD57" s="15"/>
      <c r="AE57" s="10"/>
      <c r="AF57" s="1"/>
      <c r="AG57" s="1"/>
      <c r="AH57" s="1"/>
      <c r="AI57" s="1"/>
      <c r="AJ57" s="1"/>
      <c r="AK57" s="1"/>
      <c r="AL57" s="1"/>
      <c r="AM57" s="1"/>
      <c r="AN57" s="1"/>
      <c r="AO57" s="15"/>
      <c r="AP57" s="10"/>
      <c r="AQ57" s="1"/>
      <c r="AR57" s="1"/>
      <c r="AS57" s="13"/>
      <c r="AT57" s="10"/>
      <c r="AU57" s="1"/>
      <c r="AV57" s="1"/>
      <c r="AW57" s="15"/>
      <c r="AX57" s="10"/>
      <c r="AY57" s="6"/>
      <c r="AZ57" s="29"/>
      <c r="BA57" s="30"/>
      <c r="BB57" s="30"/>
      <c r="BC57" s="45"/>
      <c r="BD57" s="46"/>
      <c r="BE57" s="30"/>
      <c r="BF57" s="30"/>
      <c r="BG57" s="30"/>
      <c r="BH57" s="30"/>
      <c r="BI57" s="30"/>
      <c r="BJ57" s="30"/>
      <c r="BK57" s="30"/>
      <c r="BL57" s="30"/>
      <c r="BM57" s="30"/>
      <c r="BN57" s="45"/>
      <c r="BO57" s="46"/>
      <c r="BP57" s="30"/>
      <c r="BQ57" s="30"/>
      <c r="BR57" s="47"/>
      <c r="BS57" s="46"/>
      <c r="BT57" s="30"/>
      <c r="BU57" s="30"/>
      <c r="BV57" s="45"/>
      <c r="BW57" s="46"/>
      <c r="BX57" s="31"/>
      <c r="BY57" s="5"/>
      <c r="BZ57" s="1"/>
      <c r="CA57" s="1"/>
      <c r="CB57" s="15"/>
      <c r="CC57" s="10"/>
      <c r="CD57" s="1"/>
      <c r="CE57" s="1"/>
      <c r="CF57" s="1"/>
      <c r="CG57" s="1"/>
      <c r="CH57" s="1"/>
      <c r="CI57" s="1"/>
      <c r="CJ57" s="1"/>
      <c r="CK57" s="1"/>
      <c r="CL57" s="1"/>
      <c r="CM57" s="15"/>
      <c r="CN57" s="10"/>
      <c r="CO57" s="1"/>
      <c r="CP57" s="1"/>
      <c r="CQ57" s="13"/>
      <c r="CR57" s="10"/>
      <c r="CS57" s="1"/>
      <c r="CT57" s="1"/>
      <c r="CU57" s="15"/>
      <c r="CV57" s="10"/>
      <c r="CW57" s="6"/>
      <c r="CX57" s="29"/>
      <c r="CY57" s="30"/>
      <c r="CZ57" s="30"/>
      <c r="DA57" s="45"/>
      <c r="DB57" s="46"/>
      <c r="DC57" s="30"/>
      <c r="DD57" s="30"/>
      <c r="DE57" s="30"/>
      <c r="DF57" s="30"/>
      <c r="DG57" s="30"/>
      <c r="DH57" s="30"/>
      <c r="DI57" s="30"/>
      <c r="DJ57" s="30"/>
      <c r="DK57" s="30"/>
      <c r="DL57" s="45"/>
      <c r="DM57" s="46"/>
      <c r="DN57" s="30"/>
      <c r="DO57" s="30"/>
      <c r="DP57" s="47"/>
      <c r="DQ57" s="46"/>
      <c r="DR57" s="30"/>
      <c r="DS57" s="30"/>
      <c r="DT57" s="45"/>
      <c r="DU57" s="46"/>
      <c r="DV57" s="31"/>
      <c r="DW57" s="60"/>
      <c r="DX57" s="61"/>
      <c r="DY57" s="61"/>
      <c r="DZ57" s="62"/>
      <c r="EA57" s="63"/>
      <c r="EB57" s="61"/>
      <c r="EC57" s="61"/>
      <c r="ED57" s="61"/>
      <c r="EE57" s="61"/>
      <c r="EF57" s="61"/>
      <c r="EG57" s="61"/>
      <c r="EH57" s="61"/>
      <c r="EI57" s="61"/>
      <c r="EJ57" s="61"/>
      <c r="EK57" s="62"/>
      <c r="EL57" s="63"/>
      <c r="EM57" s="61"/>
      <c r="EN57" s="61"/>
      <c r="EO57" s="65"/>
      <c r="EP57" s="63"/>
      <c r="EQ57" s="61"/>
      <c r="ER57" s="61"/>
      <c r="ES57" s="62"/>
      <c r="ET57" s="63"/>
      <c r="EU57" s="64"/>
      <c r="EV57" s="29"/>
      <c r="EW57" s="30"/>
      <c r="EX57" s="30"/>
      <c r="EY57" s="45"/>
      <c r="EZ57" s="46"/>
      <c r="FA57" s="30"/>
      <c r="FB57" s="30"/>
      <c r="FC57" s="30"/>
      <c r="FD57" s="30"/>
      <c r="FE57" s="30"/>
      <c r="FF57" s="30"/>
      <c r="FG57" s="30"/>
      <c r="FH57" s="30"/>
      <c r="FI57" s="30"/>
      <c r="FJ57" s="45"/>
      <c r="FK57" s="46"/>
      <c r="FL57" s="30"/>
      <c r="FM57" s="30"/>
      <c r="FN57" s="47"/>
      <c r="FO57" s="46"/>
      <c r="FP57" s="30"/>
      <c r="FQ57" s="30"/>
      <c r="FR57" s="45"/>
      <c r="FS57" s="46"/>
      <c r="FT57" s="31"/>
      <c r="FU57" s="5"/>
      <c r="FV57" s="1"/>
      <c r="FW57" s="1"/>
      <c r="FX57" s="15"/>
      <c r="FY57" s="10"/>
      <c r="FZ57" s="1"/>
      <c r="GA57" s="1"/>
      <c r="GB57" s="1"/>
      <c r="GC57" s="1"/>
      <c r="GD57" s="1"/>
      <c r="GE57" s="1"/>
      <c r="GF57" s="1"/>
      <c r="GG57" s="1"/>
      <c r="GH57" s="1"/>
      <c r="GI57" s="15"/>
      <c r="GJ57" s="10"/>
      <c r="GK57" s="1"/>
      <c r="GL57" s="1"/>
      <c r="GM57" s="13"/>
      <c r="GN57" s="10"/>
      <c r="GO57" s="1"/>
      <c r="GP57" s="1"/>
      <c r="GQ57" s="15"/>
      <c r="GR57" s="10"/>
      <c r="GS57" s="6"/>
      <c r="GT57" s="29"/>
      <c r="GU57" s="30"/>
      <c r="GV57" s="30"/>
      <c r="GW57" s="45"/>
      <c r="GX57" s="46"/>
      <c r="GY57" s="30"/>
      <c r="GZ57" s="30"/>
      <c r="HA57" s="30"/>
      <c r="HB57" s="30"/>
      <c r="HC57" s="30"/>
      <c r="HD57" s="30"/>
      <c r="HE57" s="30"/>
      <c r="HF57" s="30"/>
      <c r="HG57" s="30"/>
      <c r="HH57" s="45"/>
      <c r="HI57" s="46"/>
      <c r="HJ57" s="30"/>
      <c r="HK57" s="30"/>
      <c r="HL57" s="47"/>
      <c r="HM57" s="46"/>
      <c r="HN57" s="30"/>
      <c r="HO57" s="30"/>
      <c r="HP57" s="45"/>
      <c r="HQ57" s="46"/>
      <c r="HR57" s="31"/>
      <c r="HS57" s="5"/>
      <c r="HT57" s="1"/>
      <c r="HU57" s="1"/>
      <c r="HV57" s="15"/>
      <c r="HW57" s="10"/>
      <c r="HX57" s="1"/>
      <c r="HY57" s="1"/>
      <c r="HZ57" s="1"/>
      <c r="IA57" s="1"/>
      <c r="IB57" s="1"/>
      <c r="IC57" s="1"/>
      <c r="ID57" s="1"/>
      <c r="IE57" s="1"/>
      <c r="IF57" s="1"/>
      <c r="IG57" s="15"/>
      <c r="IH57" s="10"/>
      <c r="II57" s="1"/>
      <c r="IJ57" s="1"/>
      <c r="IK57" s="13"/>
      <c r="IL57" s="10"/>
      <c r="IM57" s="1"/>
      <c r="IN57" s="1"/>
      <c r="IO57" s="15"/>
      <c r="IP57" s="10"/>
      <c r="IQ57" s="6"/>
    </row>
    <row r="58" spans="1:251" ht="15.75" thickBot="1" x14ac:dyDescent="0.3">
      <c r="A58" s="2">
        <v>5348</v>
      </c>
      <c r="B58" s="32"/>
      <c r="C58" s="33"/>
      <c r="D58" s="33"/>
      <c r="E58" s="36"/>
      <c r="F58" s="37"/>
      <c r="G58" s="33"/>
      <c r="H58" s="33"/>
      <c r="I58" s="33"/>
      <c r="J58" s="33"/>
      <c r="K58" s="33"/>
      <c r="L58" s="33"/>
      <c r="M58" s="33"/>
      <c r="N58" s="33"/>
      <c r="O58" s="33"/>
      <c r="P58" s="36"/>
      <c r="Q58" s="37"/>
      <c r="R58" s="33"/>
      <c r="S58" s="33"/>
      <c r="T58" s="48"/>
      <c r="U58" s="37"/>
      <c r="V58" s="33"/>
      <c r="W58" s="33"/>
      <c r="X58" s="36"/>
      <c r="Y58" s="37"/>
      <c r="Z58" s="34"/>
      <c r="AA58" s="7"/>
      <c r="AB58" s="8"/>
      <c r="AC58" s="8"/>
      <c r="AD58" s="14"/>
      <c r="AE58" s="11"/>
      <c r="AF58" s="8"/>
      <c r="AG58" s="8"/>
      <c r="AH58" s="8"/>
      <c r="AI58" s="8"/>
      <c r="AJ58" s="8"/>
      <c r="AK58" s="8"/>
      <c r="AL58" s="8"/>
      <c r="AM58" s="8"/>
      <c r="AN58" s="8"/>
      <c r="AO58" s="14"/>
      <c r="AP58" s="11"/>
      <c r="AQ58" s="8"/>
      <c r="AR58" s="8"/>
      <c r="AS58" s="12"/>
      <c r="AT58" s="11"/>
      <c r="AU58" s="8"/>
      <c r="AV58" s="8"/>
      <c r="AW58" s="14"/>
      <c r="AX58" s="11"/>
      <c r="AY58" s="9"/>
      <c r="AZ58" s="32"/>
      <c r="BA58" s="33"/>
      <c r="BB58" s="33"/>
      <c r="BC58" s="36"/>
      <c r="BD58" s="37"/>
      <c r="BE58" s="33"/>
      <c r="BF58" s="33"/>
      <c r="BG58" s="33"/>
      <c r="BH58" s="33"/>
      <c r="BI58" s="33"/>
      <c r="BJ58" s="33"/>
      <c r="BK58" s="33"/>
      <c r="BL58" s="33"/>
      <c r="BM58" s="33"/>
      <c r="BN58" s="36"/>
      <c r="BO58" s="37"/>
      <c r="BP58" s="33"/>
      <c r="BQ58" s="33"/>
      <c r="BR58" s="48"/>
      <c r="BS58" s="37"/>
      <c r="BT58" s="33"/>
      <c r="BU58" s="33"/>
      <c r="BV58" s="36"/>
      <c r="BW58" s="37"/>
      <c r="BX58" s="34"/>
      <c r="BY58" s="7"/>
      <c r="BZ58" s="8"/>
      <c r="CA58" s="8"/>
      <c r="CB58" s="14"/>
      <c r="CC58" s="11"/>
      <c r="CD58" s="8"/>
      <c r="CE58" s="8"/>
      <c r="CF58" s="8"/>
      <c r="CG58" s="8"/>
      <c r="CH58" s="8"/>
      <c r="CI58" s="8"/>
      <c r="CJ58" s="8"/>
      <c r="CK58" s="8"/>
      <c r="CL58" s="8"/>
      <c r="CM58" s="14"/>
      <c r="CN58" s="11"/>
      <c r="CO58" s="8"/>
      <c r="CP58" s="8"/>
      <c r="CQ58" s="12"/>
      <c r="CR58" s="11"/>
      <c r="CS58" s="8"/>
      <c r="CT58" s="8"/>
      <c r="CU58" s="14"/>
      <c r="CV58" s="11"/>
      <c r="CW58" s="9"/>
      <c r="CX58" s="32"/>
      <c r="CY58" s="33"/>
      <c r="CZ58" s="33"/>
      <c r="DA58" s="36"/>
      <c r="DB58" s="37"/>
      <c r="DC58" s="33"/>
      <c r="DD58" s="33"/>
      <c r="DE58" s="33"/>
      <c r="DF58" s="33"/>
      <c r="DG58" s="33"/>
      <c r="DH58" s="33"/>
      <c r="DI58" s="33"/>
      <c r="DJ58" s="33"/>
      <c r="DK58" s="33"/>
      <c r="DL58" s="36"/>
      <c r="DM58" s="37"/>
      <c r="DN58" s="33"/>
      <c r="DO58" s="33"/>
      <c r="DP58" s="48"/>
      <c r="DQ58" s="37"/>
      <c r="DR58" s="33"/>
      <c r="DS58" s="33"/>
      <c r="DT58" s="36"/>
      <c r="DU58" s="37"/>
      <c r="DV58" s="34"/>
      <c r="DW58" s="49"/>
      <c r="DX58" s="50"/>
      <c r="DY58" s="50"/>
      <c r="DZ58" s="51"/>
      <c r="EA58" s="52"/>
      <c r="EB58" s="50"/>
      <c r="EC58" s="50"/>
      <c r="ED58" s="50"/>
      <c r="EE58" s="50"/>
      <c r="EF58" s="50"/>
      <c r="EG58" s="50"/>
      <c r="EH58" s="50"/>
      <c r="EI58" s="50"/>
      <c r="EJ58" s="50"/>
      <c r="EK58" s="51"/>
      <c r="EL58" s="52"/>
      <c r="EM58" s="50"/>
      <c r="EN58" s="50"/>
      <c r="EO58" s="66"/>
      <c r="EP58" s="52"/>
      <c r="EQ58" s="50"/>
      <c r="ER58" s="50"/>
      <c r="ES58" s="51"/>
      <c r="ET58" s="52"/>
      <c r="EU58" s="67"/>
      <c r="EV58" s="32"/>
      <c r="EW58" s="33"/>
      <c r="EX58" s="33"/>
      <c r="EY58" s="36"/>
      <c r="EZ58" s="37"/>
      <c r="FA58" s="33"/>
      <c r="FB58" s="33"/>
      <c r="FC58" s="33"/>
      <c r="FD58" s="33"/>
      <c r="FE58" s="33"/>
      <c r="FF58" s="33"/>
      <c r="FG58" s="33"/>
      <c r="FH58" s="33"/>
      <c r="FI58" s="33"/>
      <c r="FJ58" s="36"/>
      <c r="FK58" s="37"/>
      <c r="FL58" s="33"/>
      <c r="FM58" s="33"/>
      <c r="FN58" s="48"/>
      <c r="FO58" s="37"/>
      <c r="FP58" s="33"/>
      <c r="FQ58" s="33"/>
      <c r="FR58" s="36"/>
      <c r="FS58" s="37"/>
      <c r="FT58" s="34"/>
      <c r="FU58" s="7"/>
      <c r="FV58" s="8"/>
      <c r="FW58" s="8"/>
      <c r="FX58" s="14"/>
      <c r="FY58" s="11"/>
      <c r="FZ58" s="8"/>
      <c r="GA58" s="8"/>
      <c r="GB58" s="8"/>
      <c r="GC58" s="8"/>
      <c r="GD58" s="8"/>
      <c r="GE58" s="8"/>
      <c r="GF58" s="8"/>
      <c r="GG58" s="8"/>
      <c r="GH58" s="8"/>
      <c r="GI58" s="14"/>
      <c r="GJ58" s="11"/>
      <c r="GK58" s="8"/>
      <c r="GL58" s="8"/>
      <c r="GM58" s="12"/>
      <c r="GN58" s="11"/>
      <c r="GO58" s="8"/>
      <c r="GP58" s="8"/>
      <c r="GQ58" s="14"/>
      <c r="GR58" s="11"/>
      <c r="GS58" s="9"/>
      <c r="GT58" s="32"/>
      <c r="GU58" s="33"/>
      <c r="GV58" s="33"/>
      <c r="GW58" s="36"/>
      <c r="GX58" s="37"/>
      <c r="GY58" s="33"/>
      <c r="GZ58" s="33"/>
      <c r="HA58" s="33"/>
      <c r="HB58" s="33"/>
      <c r="HC58" s="33"/>
      <c r="HD58" s="33"/>
      <c r="HE58" s="33"/>
      <c r="HF58" s="33"/>
      <c r="HG58" s="33"/>
      <c r="HH58" s="36"/>
      <c r="HI58" s="37"/>
      <c r="HJ58" s="33"/>
      <c r="HK58" s="33"/>
      <c r="HL58" s="48"/>
      <c r="HM58" s="37"/>
      <c r="HN58" s="33"/>
      <c r="HO58" s="33"/>
      <c r="HP58" s="36"/>
      <c r="HQ58" s="37"/>
      <c r="HR58" s="34"/>
      <c r="HS58" s="7"/>
      <c r="HT58" s="8"/>
      <c r="HU58" s="8"/>
      <c r="HV58" s="14"/>
      <c r="HW58" s="11"/>
      <c r="HX58" s="8"/>
      <c r="HY58" s="8"/>
      <c r="HZ58" s="8"/>
      <c r="IA58" s="8"/>
      <c r="IB58" s="8"/>
      <c r="IC58" s="8"/>
      <c r="ID58" s="8"/>
      <c r="IE58" s="8"/>
      <c r="IF58" s="8"/>
      <c r="IG58" s="14"/>
      <c r="IH58" s="11"/>
      <c r="II58" s="8"/>
      <c r="IJ58" s="8"/>
      <c r="IK58" s="12"/>
      <c r="IL58" s="11"/>
      <c r="IM58" s="8"/>
      <c r="IN58" s="8"/>
      <c r="IO58" s="14"/>
      <c r="IP58" s="11"/>
      <c r="IQ58" s="9"/>
    </row>
    <row r="59" spans="1:251" s="68" customFormat="1" x14ac:dyDescent="0.25">
      <c r="A59" s="69"/>
    </row>
    <row r="60" spans="1:251" hidden="1" x14ac:dyDescent="0.25">
      <c r="A60" s="2"/>
    </row>
    <row r="61" spans="1:251" hidden="1" x14ac:dyDescent="0.25">
      <c r="A61" s="2"/>
    </row>
    <row r="62" spans="1:251" hidden="1" x14ac:dyDescent="0.25">
      <c r="A62" s="2"/>
    </row>
    <row r="63" spans="1:251" hidden="1" x14ac:dyDescent="0.25">
      <c r="A63" s="2"/>
    </row>
    <row r="64" spans="1:251" hidden="1" x14ac:dyDescent="0.25">
      <c r="A64" s="2"/>
    </row>
    <row r="65" spans="1:1" hidden="1" x14ac:dyDescent="0.25">
      <c r="A65" s="2"/>
    </row>
    <row r="66" spans="1:1" hidden="1" x14ac:dyDescent="0.25">
      <c r="A66" s="2"/>
    </row>
    <row r="67" spans="1:1" hidden="1" x14ac:dyDescent="0.25">
      <c r="A67" s="2"/>
    </row>
    <row r="68" spans="1:1" hidden="1" x14ac:dyDescent="0.25">
      <c r="A68" s="2"/>
    </row>
    <row r="69" spans="1:1" hidden="1" x14ac:dyDescent="0.25">
      <c r="A69" s="2"/>
    </row>
    <row r="70" spans="1:1" hidden="1" x14ac:dyDescent="0.25">
      <c r="A70" s="2"/>
    </row>
    <row r="71" spans="1:1" hidden="1" x14ac:dyDescent="0.25">
      <c r="A71" s="2"/>
    </row>
    <row r="72" spans="1:1" hidden="1" x14ac:dyDescent="0.25">
      <c r="A72" s="2"/>
    </row>
    <row r="73" spans="1:1" hidden="1" x14ac:dyDescent="0.25">
      <c r="A73" s="2"/>
    </row>
    <row r="74" spans="1:1" hidden="1" x14ac:dyDescent="0.25">
      <c r="A74" s="2"/>
    </row>
    <row r="75" spans="1:1" hidden="1" x14ac:dyDescent="0.25">
      <c r="A75" s="2"/>
    </row>
    <row r="76" spans="1:1" hidden="1" x14ac:dyDescent="0.25">
      <c r="A76" s="2"/>
    </row>
    <row r="77" spans="1:1" hidden="1" x14ac:dyDescent="0.25">
      <c r="A77" s="2"/>
    </row>
    <row r="78" spans="1:1" hidden="1" x14ac:dyDescent="0.25">
      <c r="A78" s="2"/>
    </row>
    <row r="79" spans="1:1" hidden="1" x14ac:dyDescent="0.25">
      <c r="A79" s="2"/>
    </row>
    <row r="80" spans="1:1" hidden="1" x14ac:dyDescent="0.25">
      <c r="A80" s="2"/>
    </row>
    <row r="81" spans="1:1" hidden="1" x14ac:dyDescent="0.25">
      <c r="A81" s="2"/>
    </row>
    <row r="82" spans="1:1" hidden="1" x14ac:dyDescent="0.25">
      <c r="A82" s="2"/>
    </row>
    <row r="83" spans="1:1" hidden="1" x14ac:dyDescent="0.25">
      <c r="A83" s="2"/>
    </row>
    <row r="84" spans="1:1" hidden="1" x14ac:dyDescent="0.25">
      <c r="A84" s="2"/>
    </row>
    <row r="85" spans="1:1" hidden="1" x14ac:dyDescent="0.25">
      <c r="A85" s="2"/>
    </row>
    <row r="86" spans="1:1" hidden="1" x14ac:dyDescent="0.25">
      <c r="A86" s="2"/>
    </row>
    <row r="87" spans="1:1" hidden="1" x14ac:dyDescent="0.25">
      <c r="A87" s="2"/>
    </row>
    <row r="88" spans="1:1" hidden="1" x14ac:dyDescent="0.25">
      <c r="A88" s="2"/>
    </row>
    <row r="89" spans="1:1" hidden="1" x14ac:dyDescent="0.25">
      <c r="A89" s="2"/>
    </row>
    <row r="90" spans="1:1" hidden="1" x14ac:dyDescent="0.25">
      <c r="A90" s="2"/>
    </row>
    <row r="91" spans="1:1" hidden="1" x14ac:dyDescent="0.25">
      <c r="A91" s="2"/>
    </row>
    <row r="92" spans="1:1" hidden="1" x14ac:dyDescent="0.25">
      <c r="A92" s="2"/>
    </row>
    <row r="93" spans="1:1" hidden="1" x14ac:dyDescent="0.25">
      <c r="A93" s="2"/>
    </row>
    <row r="94" spans="1:1" hidden="1" x14ac:dyDescent="0.25">
      <c r="A94" s="2"/>
    </row>
    <row r="95" spans="1:1" hidden="1" x14ac:dyDescent="0.25">
      <c r="A95" s="2"/>
    </row>
    <row r="96" spans="1:1" hidden="1" x14ac:dyDescent="0.25">
      <c r="A96" s="2"/>
    </row>
    <row r="97" spans="1:1" hidden="1" x14ac:dyDescent="0.25">
      <c r="A97" s="2"/>
    </row>
    <row r="98" spans="1:1" hidden="1" x14ac:dyDescent="0.25">
      <c r="A98" s="2"/>
    </row>
    <row r="99" spans="1:1" hidden="1" x14ac:dyDescent="0.25">
      <c r="A99" s="2"/>
    </row>
    <row r="100" spans="1:1" hidden="1" x14ac:dyDescent="0.25">
      <c r="A100" s="2"/>
    </row>
    <row r="101" spans="1:1" hidden="1" x14ac:dyDescent="0.25">
      <c r="A101" s="2"/>
    </row>
    <row r="102" spans="1:1" hidden="1" x14ac:dyDescent="0.25">
      <c r="A102" s="2"/>
    </row>
    <row r="103" spans="1:1" hidden="1" x14ac:dyDescent="0.25">
      <c r="A103" s="2"/>
    </row>
    <row r="104" spans="1:1" hidden="1" x14ac:dyDescent="0.25">
      <c r="A104" s="2"/>
    </row>
    <row r="105" spans="1:1" hidden="1" x14ac:dyDescent="0.25">
      <c r="A105" s="2"/>
    </row>
    <row r="106" spans="1:1" hidden="1" x14ac:dyDescent="0.25">
      <c r="A106" s="2"/>
    </row>
    <row r="107" spans="1:1" hidden="1" x14ac:dyDescent="0.25">
      <c r="A107" s="2"/>
    </row>
    <row r="108" spans="1:1" hidden="1" x14ac:dyDescent="0.25">
      <c r="A108" s="2"/>
    </row>
    <row r="109" spans="1:1" hidden="1" x14ac:dyDescent="0.25">
      <c r="A109" s="2"/>
    </row>
    <row r="110" spans="1:1" hidden="1" x14ac:dyDescent="0.25">
      <c r="A110" s="2"/>
    </row>
    <row r="111" spans="1:1" hidden="1" x14ac:dyDescent="0.25">
      <c r="A111" s="2"/>
    </row>
    <row r="112" spans="1:1" hidden="1" x14ac:dyDescent="0.25">
      <c r="A112" s="2"/>
    </row>
    <row r="113" spans="1:1" hidden="1" x14ac:dyDescent="0.25">
      <c r="A113" s="2"/>
    </row>
    <row r="114" spans="1:1" hidden="1" x14ac:dyDescent="0.25">
      <c r="A114" s="2"/>
    </row>
    <row r="115" spans="1:1" hidden="1" x14ac:dyDescent="0.25">
      <c r="A115" s="2"/>
    </row>
    <row r="116" spans="1:1" hidden="1" x14ac:dyDescent="0.25">
      <c r="A116" s="2"/>
    </row>
    <row r="117" spans="1:1" hidden="1" x14ac:dyDescent="0.25">
      <c r="A117" s="2"/>
    </row>
    <row r="118" spans="1:1" hidden="1" x14ac:dyDescent="0.25">
      <c r="A118" s="2"/>
    </row>
    <row r="119" spans="1:1" hidden="1" x14ac:dyDescent="0.25">
      <c r="A119" s="2"/>
    </row>
    <row r="120" spans="1:1" hidden="1" x14ac:dyDescent="0.25">
      <c r="A120" s="2"/>
    </row>
    <row r="121" spans="1:1" hidden="1" x14ac:dyDescent="0.25">
      <c r="A121" s="2"/>
    </row>
    <row r="122" spans="1:1" hidden="1" x14ac:dyDescent="0.25">
      <c r="A122" s="2"/>
    </row>
    <row r="123" spans="1:1" hidden="1" x14ac:dyDescent="0.25">
      <c r="A123" s="2"/>
    </row>
    <row r="124" spans="1:1" hidden="1" x14ac:dyDescent="0.25">
      <c r="A124" s="2"/>
    </row>
    <row r="125" spans="1:1" hidden="1" x14ac:dyDescent="0.25">
      <c r="A125" s="2"/>
    </row>
    <row r="126" spans="1:1" hidden="1" x14ac:dyDescent="0.25">
      <c r="A126" s="2"/>
    </row>
    <row r="127" spans="1:1" hidden="1" x14ac:dyDescent="0.25">
      <c r="A127" s="2"/>
    </row>
    <row r="128" spans="1:1" hidden="1" x14ac:dyDescent="0.25">
      <c r="A128" s="2"/>
    </row>
    <row r="129" spans="1:1" hidden="1" x14ac:dyDescent="0.25">
      <c r="A129" s="2"/>
    </row>
    <row r="130" spans="1:1" hidden="1" x14ac:dyDescent="0.25">
      <c r="A130" s="2"/>
    </row>
    <row r="131" spans="1:1" hidden="1" x14ac:dyDescent="0.25">
      <c r="A131" s="2"/>
    </row>
    <row r="132" spans="1:1" hidden="1" x14ac:dyDescent="0.25">
      <c r="A132" s="2"/>
    </row>
    <row r="133" spans="1:1" hidden="1" x14ac:dyDescent="0.25">
      <c r="A133" s="2"/>
    </row>
    <row r="134" spans="1:1" hidden="1" x14ac:dyDescent="0.25">
      <c r="A134" s="2"/>
    </row>
    <row r="135" spans="1:1" hidden="1" x14ac:dyDescent="0.25">
      <c r="A135" s="2"/>
    </row>
    <row r="136" spans="1:1" hidden="1" x14ac:dyDescent="0.25">
      <c r="A136" s="2"/>
    </row>
    <row r="137" spans="1:1" hidden="1" x14ac:dyDescent="0.25">
      <c r="A137" s="2"/>
    </row>
    <row r="138" spans="1:1" hidden="1" x14ac:dyDescent="0.25">
      <c r="A138" s="2"/>
    </row>
    <row r="139" spans="1:1" hidden="1" x14ac:dyDescent="0.25">
      <c r="A139" s="2"/>
    </row>
    <row r="140" spans="1:1" hidden="1" x14ac:dyDescent="0.25">
      <c r="A140" s="2"/>
    </row>
    <row r="141" spans="1:1" hidden="1" x14ac:dyDescent="0.25">
      <c r="A141" s="2"/>
    </row>
    <row r="142" spans="1:1" hidden="1" x14ac:dyDescent="0.25">
      <c r="A142" s="2"/>
    </row>
    <row r="143" spans="1:1" hidden="1" x14ac:dyDescent="0.25">
      <c r="A143" s="2"/>
    </row>
    <row r="144" spans="1:1" hidden="1" x14ac:dyDescent="0.25">
      <c r="A144" s="2"/>
    </row>
    <row r="145" spans="1:1" hidden="1" x14ac:dyDescent="0.25">
      <c r="A145" s="2"/>
    </row>
    <row r="146" spans="1:1" hidden="1" x14ac:dyDescent="0.25">
      <c r="A146" s="2"/>
    </row>
    <row r="147" spans="1:1" hidden="1" x14ac:dyDescent="0.25">
      <c r="A147" s="2"/>
    </row>
    <row r="148" spans="1:1" hidden="1" x14ac:dyDescent="0.25">
      <c r="A148" s="2"/>
    </row>
    <row r="149" spans="1:1" hidden="1" x14ac:dyDescent="0.25">
      <c r="A149" s="2"/>
    </row>
    <row r="150" spans="1:1" hidden="1" x14ac:dyDescent="0.25">
      <c r="A150" s="2"/>
    </row>
  </sheetData>
  <sortState ref="A4:A58">
    <sortCondition ref="A4"/>
  </sortState>
  <mergeCells count="60">
    <mergeCell ref="IL2:IO2"/>
    <mergeCell ref="IP2:IQ2"/>
    <mergeCell ref="HM2:HP2"/>
    <mergeCell ref="HQ2:HR2"/>
    <mergeCell ref="HS2:HV2"/>
    <mergeCell ref="HW2:IG2"/>
    <mergeCell ref="IH2:IK2"/>
    <mergeCell ref="EV1:FT1"/>
    <mergeCell ref="FU1:GS1"/>
    <mergeCell ref="GT1:HR1"/>
    <mergeCell ref="HS1:IQ1"/>
    <mergeCell ref="AX2:AY2"/>
    <mergeCell ref="AZ2:BC2"/>
    <mergeCell ref="BD2:BN2"/>
    <mergeCell ref="BO2:BR2"/>
    <mergeCell ref="BS2:BV2"/>
    <mergeCell ref="BW2:BX2"/>
    <mergeCell ref="BY2:CB2"/>
    <mergeCell ref="CC2:CM2"/>
    <mergeCell ref="CV2:CW2"/>
    <mergeCell ref="CX2:DA2"/>
    <mergeCell ref="DB2:DL2"/>
    <mergeCell ref="DM2:DP2"/>
    <mergeCell ref="GX2:HH2"/>
    <mergeCell ref="HI2:HL2"/>
    <mergeCell ref="EZ2:FJ2"/>
    <mergeCell ref="FK2:FN2"/>
    <mergeCell ref="FO2:FR2"/>
    <mergeCell ref="FS2:FT2"/>
    <mergeCell ref="FU2:FX2"/>
    <mergeCell ref="FY2:GI2"/>
    <mergeCell ref="GJ2:GM2"/>
    <mergeCell ref="GN2:GQ2"/>
    <mergeCell ref="GR2:GS2"/>
    <mergeCell ref="GT2:GW2"/>
    <mergeCell ref="EP2:ES2"/>
    <mergeCell ref="ET2:EU2"/>
    <mergeCell ref="EV2:EY2"/>
    <mergeCell ref="CR2:CU2"/>
    <mergeCell ref="AA2:AD2"/>
    <mergeCell ref="AE2:AO2"/>
    <mergeCell ref="AP2:AS2"/>
    <mergeCell ref="AT2:AW2"/>
    <mergeCell ref="CN2:CQ2"/>
    <mergeCell ref="EL2:EO2"/>
    <mergeCell ref="DQ2:DT2"/>
    <mergeCell ref="DU2:DV2"/>
    <mergeCell ref="DW2:DZ2"/>
    <mergeCell ref="EA2:EK2"/>
    <mergeCell ref="AA1:AY1"/>
    <mergeCell ref="AZ1:BX1"/>
    <mergeCell ref="BY1:CW1"/>
    <mergeCell ref="CX1:DV1"/>
    <mergeCell ref="DW1:EU1"/>
    <mergeCell ref="B2:E2"/>
    <mergeCell ref="F2:P2"/>
    <mergeCell ref="Q2:T2"/>
    <mergeCell ref="B1:Z1"/>
    <mergeCell ref="Y2:Z2"/>
    <mergeCell ref="U2:X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707"/>
  <sheetViews>
    <sheetView workbookViewId="0">
      <pane xSplit="1" ySplit="2" topLeftCell="BW3" activePane="bottomRight" state="frozen"/>
      <selection pane="topRight" activeCell="B1" sqref="B1"/>
      <selection pane="bottomLeft" activeCell="A3" sqref="A3"/>
      <selection pane="bottomRight" activeCell="BZ35" sqref="BZ35"/>
    </sheetView>
  </sheetViews>
  <sheetFormatPr defaultColWidth="0" defaultRowHeight="15" zeroHeight="1" x14ac:dyDescent="0.25"/>
  <cols>
    <col min="1" max="1" width="7.28515625" style="3" bestFit="1" customWidth="1"/>
    <col min="2" max="2" width="11.42578125" style="35" bestFit="1" customWidth="1"/>
    <col min="3" max="4" width="15.140625" style="35" bestFit="1" customWidth="1"/>
    <col min="5" max="5" width="15.85546875" style="35" bestFit="1" customWidth="1"/>
    <col min="6" max="6" width="15.140625" style="35" bestFit="1" customWidth="1"/>
    <col min="7" max="7" width="9.140625" style="35" customWidth="1"/>
    <col min="8" max="8" width="9.5703125" style="35" bestFit="1" customWidth="1"/>
    <col min="9" max="9" width="14.85546875" style="35" bestFit="1" customWidth="1"/>
    <col min="10" max="10" width="14.5703125" style="35" bestFit="1" customWidth="1"/>
    <col min="11" max="11" width="14.85546875" style="35" bestFit="1" customWidth="1"/>
    <col min="12" max="12" width="11.42578125" style="3" bestFit="1" customWidth="1"/>
    <col min="13" max="14" width="15.140625" style="3" bestFit="1" customWidth="1"/>
    <col min="15" max="15" width="15.85546875" style="3" bestFit="1" customWidth="1"/>
    <col min="16" max="16" width="15.140625" style="3" bestFit="1" customWidth="1"/>
    <col min="17" max="18" width="9.140625" style="3" customWidth="1"/>
    <col min="19" max="19" width="14.85546875" style="3" bestFit="1" customWidth="1"/>
    <col min="20" max="21" width="14.85546875" style="3" customWidth="1"/>
    <col min="22" max="22" width="11.42578125" style="35" bestFit="1" customWidth="1"/>
    <col min="23" max="24" width="15.140625" style="35" bestFit="1" customWidth="1"/>
    <col min="25" max="25" width="15.85546875" style="35" bestFit="1" customWidth="1"/>
    <col min="26" max="26" width="15.140625" style="35" bestFit="1" customWidth="1"/>
    <col min="27" max="27" width="9.140625" style="35" customWidth="1"/>
    <col min="28" max="28" width="9.5703125" style="35" bestFit="1" customWidth="1"/>
    <col min="29" max="29" width="14.85546875" style="35" bestFit="1" customWidth="1"/>
    <col min="30" max="30" width="14.5703125" style="35" bestFit="1" customWidth="1"/>
    <col min="31" max="31" width="14.85546875" style="35" bestFit="1" customWidth="1"/>
    <col min="32" max="32" width="11.42578125" style="3" bestFit="1" customWidth="1"/>
    <col min="33" max="34" width="15.140625" style="3" bestFit="1" customWidth="1"/>
    <col min="35" max="35" width="15.85546875" style="3" bestFit="1" customWidth="1"/>
    <col min="36" max="36" width="15.140625" style="3" bestFit="1" customWidth="1"/>
    <col min="37" max="38" width="9.140625" style="3" customWidth="1"/>
    <col min="39" max="39" width="14.85546875" style="3" bestFit="1" customWidth="1"/>
    <col min="40" max="41" width="14.85546875" style="3" customWidth="1"/>
    <col min="42" max="42" width="11.42578125" style="35" bestFit="1" customWidth="1"/>
    <col min="43" max="44" width="15.140625" style="35" bestFit="1" customWidth="1"/>
    <col min="45" max="45" width="15.85546875" style="35" bestFit="1" customWidth="1"/>
    <col min="46" max="46" width="15.140625" style="35" bestFit="1" customWidth="1"/>
    <col min="47" max="47" width="9.140625" style="35" customWidth="1"/>
    <col min="48" max="48" width="9.5703125" style="35" bestFit="1" customWidth="1"/>
    <col min="49" max="49" width="14.85546875" style="35" bestFit="1" customWidth="1"/>
    <col min="50" max="50" width="14.5703125" style="35" bestFit="1" customWidth="1"/>
    <col min="51" max="51" width="14.85546875" style="35" bestFit="1" customWidth="1"/>
    <col min="52" max="52" width="11.42578125" style="3" bestFit="1" customWidth="1"/>
    <col min="53" max="54" width="15.140625" style="3" bestFit="1" customWidth="1"/>
    <col min="55" max="55" width="15.85546875" style="3" bestFit="1" customWidth="1"/>
    <col min="56" max="56" width="15.140625" style="3" bestFit="1" customWidth="1"/>
    <col min="57" max="58" width="9.140625" style="3" customWidth="1"/>
    <col min="59" max="59" width="14.85546875" style="3" bestFit="1" customWidth="1"/>
    <col min="60" max="61" width="14.85546875" style="3" customWidth="1"/>
    <col min="62" max="62" width="11.42578125" style="35" bestFit="1" customWidth="1"/>
    <col min="63" max="64" width="15.140625" style="35" bestFit="1" customWidth="1"/>
    <col min="65" max="65" width="15.85546875" style="35" bestFit="1" customWidth="1"/>
    <col min="66" max="66" width="15.140625" style="35" bestFit="1" customWidth="1"/>
    <col min="67" max="67" width="9.140625" style="35" customWidth="1"/>
    <col min="68" max="68" width="9.5703125" style="35" bestFit="1" customWidth="1"/>
    <col min="69" max="69" width="14.85546875" style="35" bestFit="1" customWidth="1"/>
    <col min="70" max="70" width="14.5703125" style="35" bestFit="1" customWidth="1"/>
    <col min="71" max="71" width="14.85546875" style="35" bestFit="1" customWidth="1"/>
    <col min="72" max="72" width="11.42578125" style="3" bestFit="1" customWidth="1"/>
    <col min="73" max="74" width="15.140625" style="3" bestFit="1" customWidth="1"/>
    <col min="75" max="75" width="15.85546875" style="3" bestFit="1" customWidth="1"/>
    <col min="76" max="76" width="15.140625" style="3" bestFit="1" customWidth="1"/>
    <col min="77" max="78" width="9.140625" style="3" customWidth="1"/>
    <col min="79" max="79" width="14.85546875" style="3" bestFit="1" customWidth="1"/>
    <col min="80" max="81" width="14.85546875" style="3" customWidth="1"/>
    <col min="82" max="82" width="11.42578125" style="35" bestFit="1" customWidth="1"/>
    <col min="83" max="84" width="15.140625" style="35" bestFit="1" customWidth="1"/>
    <col min="85" max="85" width="15.85546875" style="35" bestFit="1" customWidth="1"/>
    <col min="86" max="86" width="15.140625" style="35" bestFit="1" customWidth="1"/>
    <col min="87" max="87" width="9.140625" style="35" customWidth="1"/>
    <col min="88" max="88" width="9.5703125" style="35" bestFit="1" customWidth="1"/>
    <col min="89" max="89" width="14.85546875" style="35" bestFit="1" customWidth="1"/>
    <col min="90" max="90" width="14.5703125" style="35" bestFit="1" customWidth="1"/>
    <col min="91" max="91" width="14.85546875" style="35" bestFit="1" customWidth="1"/>
    <col min="92" max="92" width="11.42578125" style="3" bestFit="1" customWidth="1"/>
    <col min="93" max="94" width="15.140625" style="3" bestFit="1" customWidth="1"/>
    <col min="95" max="95" width="15.85546875" style="3" bestFit="1" customWidth="1"/>
    <col min="96" max="96" width="15.140625" style="3" bestFit="1" customWidth="1"/>
    <col min="97" max="98" width="9.140625" style="3" customWidth="1"/>
    <col min="99" max="99" width="14.85546875" style="3" bestFit="1" customWidth="1"/>
    <col min="100" max="101" width="14.85546875" style="3" customWidth="1"/>
    <col min="102" max="108" width="0" style="3" hidden="1" customWidth="1"/>
    <col min="109" max="16384" width="9.140625" hidden="1"/>
  </cols>
  <sheetData>
    <row r="1" spans="1:16384" s="1" customFormat="1" x14ac:dyDescent="0.25">
      <c r="A1" s="113"/>
      <c r="B1" s="183" t="s">
        <v>29</v>
      </c>
      <c r="C1" s="184"/>
      <c r="D1" s="184"/>
      <c r="E1" s="184"/>
      <c r="F1" s="184"/>
      <c r="G1" s="184"/>
      <c r="H1" s="184"/>
      <c r="I1" s="184"/>
      <c r="J1" s="184"/>
      <c r="K1" s="185"/>
      <c r="L1" s="180" t="s">
        <v>30</v>
      </c>
      <c r="M1" s="181"/>
      <c r="N1" s="181"/>
      <c r="O1" s="181"/>
      <c r="P1" s="181"/>
      <c r="Q1" s="181"/>
      <c r="R1" s="181"/>
      <c r="S1" s="181"/>
      <c r="T1" s="181"/>
      <c r="U1" s="182"/>
      <c r="V1" s="183" t="s">
        <v>31</v>
      </c>
      <c r="W1" s="184"/>
      <c r="X1" s="184"/>
      <c r="Y1" s="184"/>
      <c r="Z1" s="184"/>
      <c r="AA1" s="184"/>
      <c r="AB1" s="184"/>
      <c r="AC1" s="184"/>
      <c r="AD1" s="184"/>
      <c r="AE1" s="185"/>
      <c r="AF1" s="180" t="s">
        <v>32</v>
      </c>
      <c r="AG1" s="181"/>
      <c r="AH1" s="181"/>
      <c r="AI1" s="181"/>
      <c r="AJ1" s="181"/>
      <c r="AK1" s="181"/>
      <c r="AL1" s="181"/>
      <c r="AM1" s="181"/>
      <c r="AN1" s="181"/>
      <c r="AO1" s="182"/>
      <c r="AP1" s="183" t="s">
        <v>33</v>
      </c>
      <c r="AQ1" s="184"/>
      <c r="AR1" s="184"/>
      <c r="AS1" s="184"/>
      <c r="AT1" s="184"/>
      <c r="AU1" s="184"/>
      <c r="AV1" s="184"/>
      <c r="AW1" s="184"/>
      <c r="AX1" s="184"/>
      <c r="AY1" s="185"/>
      <c r="AZ1" s="180" t="s">
        <v>34</v>
      </c>
      <c r="BA1" s="181"/>
      <c r="BB1" s="181"/>
      <c r="BC1" s="181"/>
      <c r="BD1" s="181"/>
      <c r="BE1" s="181"/>
      <c r="BF1" s="181"/>
      <c r="BG1" s="181"/>
      <c r="BH1" s="181"/>
      <c r="BI1" s="182"/>
      <c r="BJ1" s="183" t="s">
        <v>35</v>
      </c>
      <c r="BK1" s="184"/>
      <c r="BL1" s="184"/>
      <c r="BM1" s="184"/>
      <c r="BN1" s="184"/>
      <c r="BO1" s="184"/>
      <c r="BP1" s="184"/>
      <c r="BQ1" s="184"/>
      <c r="BR1" s="184"/>
      <c r="BS1" s="185"/>
      <c r="BT1" s="180" t="s">
        <v>36</v>
      </c>
      <c r="BU1" s="181"/>
      <c r="BV1" s="181"/>
      <c r="BW1" s="181"/>
      <c r="BX1" s="181"/>
      <c r="BY1" s="181"/>
      <c r="BZ1" s="181"/>
      <c r="CA1" s="181"/>
      <c r="CB1" s="181"/>
      <c r="CC1" s="182"/>
      <c r="CD1" s="183" t="s">
        <v>37</v>
      </c>
      <c r="CE1" s="184"/>
      <c r="CF1" s="184"/>
      <c r="CG1" s="184"/>
      <c r="CH1" s="184"/>
      <c r="CI1" s="184"/>
      <c r="CJ1" s="184"/>
      <c r="CK1" s="184"/>
      <c r="CL1" s="184"/>
      <c r="CM1" s="185"/>
      <c r="CN1" s="180" t="s">
        <v>38</v>
      </c>
      <c r="CO1" s="181"/>
      <c r="CP1" s="181"/>
      <c r="CQ1" s="181"/>
      <c r="CR1" s="181"/>
      <c r="CS1" s="181"/>
      <c r="CT1" s="181"/>
      <c r="CU1" s="181"/>
      <c r="CV1" s="181"/>
      <c r="CW1" s="182"/>
      <c r="CX1" s="183"/>
      <c r="CY1" s="184"/>
      <c r="CZ1" s="184"/>
      <c r="DA1" s="184"/>
      <c r="DB1" s="184"/>
      <c r="DC1" s="184"/>
      <c r="DD1" s="184"/>
      <c r="DE1" s="184"/>
      <c r="DF1" s="184"/>
      <c r="DG1" s="185"/>
      <c r="DH1" s="180"/>
      <c r="DI1" s="181"/>
      <c r="DJ1" s="181"/>
      <c r="DK1" s="181"/>
      <c r="DL1" s="181"/>
      <c r="DM1" s="181"/>
      <c r="DN1" s="181"/>
      <c r="DO1" s="181"/>
      <c r="DP1" s="181"/>
      <c r="DQ1" s="182"/>
      <c r="DR1" s="183"/>
      <c r="DS1" s="184"/>
      <c r="DT1" s="184"/>
      <c r="DU1" s="184"/>
      <c r="DV1" s="184"/>
      <c r="DW1" s="184"/>
      <c r="DX1" s="184"/>
      <c r="DY1" s="184"/>
      <c r="DZ1" s="184"/>
      <c r="EA1" s="185"/>
      <c r="EB1" s="180"/>
      <c r="EC1" s="181"/>
      <c r="ED1" s="181"/>
      <c r="EE1" s="181"/>
      <c r="EF1" s="181"/>
      <c r="EG1" s="181"/>
      <c r="EH1" s="181"/>
      <c r="EI1" s="181"/>
      <c r="EJ1" s="181"/>
      <c r="EK1" s="182"/>
      <c r="EL1" s="183"/>
      <c r="EM1" s="184"/>
      <c r="EN1" s="184"/>
      <c r="EO1" s="184"/>
      <c r="EP1" s="184"/>
      <c r="EQ1" s="184"/>
      <c r="ER1" s="184"/>
      <c r="ES1" s="184"/>
      <c r="ET1" s="184"/>
      <c r="EU1" s="185"/>
      <c r="EV1" s="180"/>
      <c r="EW1" s="181"/>
      <c r="EX1" s="181"/>
      <c r="EY1" s="181"/>
      <c r="EZ1" s="181"/>
      <c r="FA1" s="181"/>
      <c r="FB1" s="181"/>
      <c r="FC1" s="181"/>
      <c r="FD1" s="181"/>
      <c r="FE1" s="182"/>
      <c r="FF1" s="183"/>
      <c r="FG1" s="184"/>
      <c r="FH1" s="184"/>
      <c r="FI1" s="184"/>
      <c r="FJ1" s="184"/>
      <c r="FK1" s="184"/>
      <c r="FL1" s="184"/>
      <c r="FM1" s="184"/>
      <c r="FN1" s="184"/>
      <c r="FO1" s="185"/>
      <c r="FP1" s="180"/>
      <c r="FQ1" s="181"/>
      <c r="FR1" s="181"/>
      <c r="FS1" s="181"/>
      <c r="FT1" s="181"/>
      <c r="FU1" s="181"/>
      <c r="FV1" s="181"/>
      <c r="FW1" s="181"/>
      <c r="FX1" s="181"/>
      <c r="FY1" s="182"/>
      <c r="FZ1" s="183"/>
      <c r="GA1" s="184"/>
      <c r="GB1" s="184"/>
      <c r="GC1" s="184"/>
      <c r="GD1" s="184"/>
      <c r="GE1" s="184"/>
      <c r="GF1" s="184"/>
      <c r="GG1" s="184"/>
      <c r="GH1" s="184"/>
      <c r="GI1" s="185"/>
      <c r="GJ1" s="180"/>
      <c r="GK1" s="181"/>
      <c r="GL1" s="181"/>
      <c r="GM1" s="181"/>
      <c r="GN1" s="181"/>
      <c r="GO1" s="181"/>
      <c r="GP1" s="181"/>
      <c r="GQ1" s="181"/>
      <c r="GR1" s="181"/>
      <c r="GS1" s="182"/>
      <c r="GT1" s="183"/>
      <c r="GU1" s="184"/>
      <c r="GV1" s="184"/>
      <c r="GW1" s="184"/>
      <c r="GX1" s="184"/>
      <c r="GY1" s="184"/>
      <c r="GZ1" s="184"/>
      <c r="HA1" s="184"/>
      <c r="HB1" s="184"/>
      <c r="HC1" s="185"/>
      <c r="HD1" s="180"/>
      <c r="HE1" s="181"/>
      <c r="HF1" s="181"/>
      <c r="HG1" s="181"/>
      <c r="HH1" s="181"/>
      <c r="HI1" s="181"/>
      <c r="HJ1" s="181"/>
      <c r="HK1" s="181"/>
      <c r="HL1" s="181"/>
      <c r="HM1" s="182"/>
      <c r="HN1" s="183"/>
      <c r="HO1" s="184"/>
      <c r="HP1" s="184"/>
      <c r="HQ1" s="184"/>
      <c r="HR1" s="184"/>
      <c r="HS1" s="184"/>
      <c r="HT1" s="184"/>
      <c r="HU1" s="184"/>
      <c r="HV1" s="184"/>
      <c r="HW1" s="185"/>
      <c r="HX1" s="180"/>
      <c r="HY1" s="181"/>
      <c r="HZ1" s="181"/>
      <c r="IA1" s="181"/>
      <c r="IB1" s="181"/>
      <c r="IC1" s="181"/>
      <c r="ID1" s="181"/>
      <c r="IE1" s="181"/>
      <c r="IF1" s="181"/>
      <c r="IG1" s="182"/>
      <c r="IH1" s="183"/>
      <c r="II1" s="184"/>
      <c r="IJ1" s="184"/>
      <c r="IK1" s="184"/>
      <c r="IL1" s="184"/>
      <c r="IM1" s="184"/>
      <c r="IN1" s="184"/>
      <c r="IO1" s="184"/>
      <c r="IP1" s="184"/>
      <c r="IQ1" s="185"/>
      <c r="IR1" s="180"/>
      <c r="IS1" s="181"/>
      <c r="IT1" s="181"/>
      <c r="IU1" s="181"/>
      <c r="IV1" s="181"/>
      <c r="IW1" s="181"/>
      <c r="IX1" s="181"/>
      <c r="IY1" s="181"/>
      <c r="IZ1" s="181"/>
      <c r="JA1" s="182"/>
      <c r="JB1" s="183"/>
      <c r="JC1" s="184"/>
      <c r="JD1" s="184"/>
      <c r="JE1" s="184"/>
      <c r="JF1" s="184"/>
      <c r="JG1" s="184"/>
      <c r="JH1" s="184"/>
      <c r="JI1" s="184"/>
      <c r="JJ1" s="184"/>
      <c r="JK1" s="185"/>
      <c r="JL1" s="180"/>
      <c r="JM1" s="181"/>
      <c r="JN1" s="181"/>
      <c r="JO1" s="181"/>
      <c r="JP1" s="181"/>
      <c r="JQ1" s="181"/>
      <c r="JR1" s="181"/>
      <c r="JS1" s="181"/>
      <c r="JT1" s="181"/>
      <c r="JU1" s="182"/>
      <c r="JV1" s="183"/>
      <c r="JW1" s="184"/>
      <c r="JX1" s="184"/>
      <c r="JY1" s="184"/>
      <c r="JZ1" s="184"/>
      <c r="KA1" s="184"/>
      <c r="KB1" s="184"/>
      <c r="KC1" s="184"/>
      <c r="KD1" s="184"/>
      <c r="KE1" s="185"/>
      <c r="KF1" s="180"/>
      <c r="KG1" s="181"/>
      <c r="KH1" s="181"/>
      <c r="KI1" s="181"/>
      <c r="KJ1" s="181"/>
      <c r="KK1" s="181"/>
      <c r="KL1" s="181"/>
      <c r="KM1" s="181"/>
      <c r="KN1" s="181"/>
      <c r="KO1" s="182"/>
      <c r="KP1" s="183"/>
      <c r="KQ1" s="184"/>
      <c r="KR1" s="184"/>
      <c r="KS1" s="184"/>
      <c r="KT1" s="184"/>
      <c r="KU1" s="184"/>
      <c r="KV1" s="184"/>
      <c r="KW1" s="184"/>
      <c r="KX1" s="184"/>
      <c r="KY1" s="185"/>
      <c r="KZ1" s="180"/>
      <c r="LA1" s="181"/>
      <c r="LB1" s="181"/>
      <c r="LC1" s="181"/>
      <c r="LD1" s="181"/>
      <c r="LE1" s="181"/>
      <c r="LF1" s="181"/>
      <c r="LG1" s="181"/>
      <c r="LH1" s="181"/>
      <c r="LI1" s="182"/>
      <c r="LJ1" s="183"/>
      <c r="LK1" s="184"/>
      <c r="LL1" s="184"/>
      <c r="LM1" s="184"/>
      <c r="LN1" s="184"/>
      <c r="LO1" s="184"/>
      <c r="LP1" s="184"/>
      <c r="LQ1" s="184"/>
      <c r="LR1" s="184"/>
      <c r="LS1" s="185"/>
      <c r="LT1" s="180"/>
      <c r="LU1" s="181"/>
      <c r="LV1" s="181"/>
      <c r="LW1" s="181"/>
      <c r="LX1" s="181"/>
      <c r="LY1" s="181"/>
      <c r="LZ1" s="181"/>
      <c r="MA1" s="181"/>
      <c r="MB1" s="181"/>
      <c r="MC1" s="182"/>
      <c r="MD1" s="183"/>
      <c r="ME1" s="184"/>
      <c r="MF1" s="184"/>
      <c r="MG1" s="184"/>
      <c r="MH1" s="184"/>
      <c r="MI1" s="184"/>
      <c r="MJ1" s="184"/>
      <c r="MK1" s="184"/>
      <c r="ML1" s="184"/>
      <c r="MM1" s="185"/>
      <c r="MN1" s="180"/>
      <c r="MO1" s="181"/>
      <c r="MP1" s="181"/>
      <c r="MQ1" s="181"/>
      <c r="MR1" s="181"/>
      <c r="MS1" s="181"/>
      <c r="MT1" s="181"/>
      <c r="MU1" s="181"/>
      <c r="MV1" s="181"/>
      <c r="MW1" s="182"/>
      <c r="MX1" s="183"/>
      <c r="MY1" s="184"/>
      <c r="MZ1" s="184"/>
      <c r="NA1" s="184"/>
      <c r="NB1" s="184"/>
      <c r="NC1" s="184"/>
      <c r="ND1" s="184"/>
      <c r="NE1" s="184"/>
      <c r="NF1" s="184"/>
      <c r="NG1" s="185"/>
      <c r="NH1" s="180"/>
      <c r="NI1" s="181"/>
      <c r="NJ1" s="181"/>
      <c r="NK1" s="181"/>
      <c r="NL1" s="181"/>
      <c r="NM1" s="181"/>
      <c r="NN1" s="181"/>
      <c r="NO1" s="181"/>
      <c r="NP1" s="181"/>
      <c r="NQ1" s="182"/>
      <c r="NR1" s="183"/>
      <c r="NS1" s="184"/>
      <c r="NT1" s="184"/>
      <c r="NU1" s="184"/>
      <c r="NV1" s="184"/>
      <c r="NW1" s="184"/>
      <c r="NX1" s="184"/>
      <c r="NY1" s="184"/>
      <c r="NZ1" s="184"/>
      <c r="OA1" s="185"/>
      <c r="OB1" s="180"/>
      <c r="OC1" s="181"/>
      <c r="OD1" s="181"/>
      <c r="OE1" s="181"/>
      <c r="OF1" s="181"/>
      <c r="OG1" s="181"/>
      <c r="OH1" s="181"/>
      <c r="OI1" s="181"/>
      <c r="OJ1" s="181"/>
      <c r="OK1" s="182"/>
      <c r="OL1" s="183"/>
      <c r="OM1" s="184"/>
      <c r="ON1" s="184"/>
      <c r="OO1" s="184"/>
      <c r="OP1" s="184"/>
      <c r="OQ1" s="184"/>
      <c r="OR1" s="184"/>
      <c r="OS1" s="184"/>
      <c r="OT1" s="184"/>
      <c r="OU1" s="185"/>
      <c r="OV1" s="180"/>
      <c r="OW1" s="181"/>
      <c r="OX1" s="181"/>
      <c r="OY1" s="181"/>
      <c r="OZ1" s="181"/>
      <c r="PA1" s="181"/>
      <c r="PB1" s="181"/>
      <c r="PC1" s="181"/>
      <c r="PD1" s="181"/>
      <c r="PE1" s="182"/>
      <c r="PF1" s="183"/>
      <c r="PG1" s="184"/>
      <c r="PH1" s="184"/>
      <c r="PI1" s="184"/>
      <c r="PJ1" s="184"/>
      <c r="PK1" s="184"/>
      <c r="PL1" s="184"/>
      <c r="PM1" s="184"/>
      <c r="PN1" s="184"/>
      <c r="PO1" s="185"/>
      <c r="PP1" s="180"/>
      <c r="PQ1" s="181"/>
      <c r="PR1" s="181"/>
      <c r="PS1" s="181"/>
      <c r="PT1" s="181"/>
      <c r="PU1" s="181"/>
      <c r="PV1" s="181"/>
      <c r="PW1" s="181"/>
      <c r="PX1" s="181"/>
      <c r="PY1" s="182"/>
      <c r="PZ1" s="183"/>
      <c r="QA1" s="184"/>
      <c r="QB1" s="184"/>
      <c r="QC1" s="184"/>
      <c r="QD1" s="184"/>
      <c r="QE1" s="184"/>
      <c r="QF1" s="184"/>
      <c r="QG1" s="184"/>
      <c r="QH1" s="184"/>
      <c r="QI1" s="185"/>
      <c r="QJ1" s="180"/>
      <c r="QK1" s="181"/>
      <c r="QL1" s="181"/>
      <c r="QM1" s="181"/>
      <c r="QN1" s="181"/>
      <c r="QO1" s="181"/>
      <c r="QP1" s="181"/>
      <c r="QQ1" s="181"/>
      <c r="QR1" s="181"/>
      <c r="QS1" s="182"/>
      <c r="QT1" s="183"/>
      <c r="QU1" s="184"/>
      <c r="QV1" s="184"/>
      <c r="QW1" s="184"/>
      <c r="QX1" s="184"/>
      <c r="QY1" s="184"/>
      <c r="QZ1" s="184"/>
      <c r="RA1" s="184"/>
      <c r="RB1" s="184"/>
      <c r="RC1" s="185"/>
      <c r="RD1" s="180"/>
      <c r="RE1" s="181"/>
      <c r="RF1" s="181"/>
      <c r="RG1" s="181"/>
      <c r="RH1" s="181"/>
      <c r="RI1" s="181"/>
      <c r="RJ1" s="181"/>
      <c r="RK1" s="181"/>
      <c r="RL1" s="181"/>
      <c r="RM1" s="182"/>
      <c r="RN1" s="183"/>
      <c r="RO1" s="184"/>
      <c r="RP1" s="184"/>
      <c r="RQ1" s="184"/>
      <c r="RR1" s="184"/>
      <c r="RS1" s="184"/>
      <c r="RT1" s="184"/>
      <c r="RU1" s="184"/>
      <c r="RV1" s="184"/>
      <c r="RW1" s="185"/>
      <c r="RX1" s="180"/>
      <c r="RY1" s="181"/>
      <c r="RZ1" s="181"/>
      <c r="SA1" s="181"/>
      <c r="SB1" s="181"/>
      <c r="SC1" s="181"/>
      <c r="SD1" s="181"/>
      <c r="SE1" s="181"/>
      <c r="SF1" s="181"/>
      <c r="SG1" s="182"/>
      <c r="SH1" s="183"/>
      <c r="SI1" s="184"/>
      <c r="SJ1" s="184"/>
      <c r="SK1" s="184"/>
      <c r="SL1" s="184"/>
      <c r="SM1" s="184"/>
      <c r="SN1" s="184"/>
      <c r="SO1" s="184"/>
      <c r="SP1" s="184"/>
      <c r="SQ1" s="185"/>
      <c r="SR1" s="180"/>
      <c r="SS1" s="181"/>
      <c r="ST1" s="181"/>
      <c r="SU1" s="181"/>
      <c r="SV1" s="181"/>
      <c r="SW1" s="181"/>
      <c r="SX1" s="181"/>
      <c r="SY1" s="181"/>
      <c r="SZ1" s="181"/>
      <c r="TA1" s="182"/>
      <c r="TB1" s="183"/>
      <c r="TC1" s="184"/>
      <c r="TD1" s="184"/>
      <c r="TE1" s="184"/>
      <c r="TF1" s="184"/>
      <c r="TG1" s="184"/>
      <c r="TH1" s="184"/>
      <c r="TI1" s="184"/>
      <c r="TJ1" s="184"/>
      <c r="TK1" s="185"/>
      <c r="TL1" s="180"/>
      <c r="TM1" s="181"/>
      <c r="TN1" s="181"/>
      <c r="TO1" s="181"/>
      <c r="TP1" s="181"/>
      <c r="TQ1" s="181"/>
      <c r="TR1" s="181"/>
      <c r="TS1" s="181"/>
      <c r="TT1" s="181"/>
      <c r="TU1" s="182"/>
      <c r="TV1" s="183"/>
      <c r="TW1" s="184"/>
      <c r="TX1" s="184"/>
      <c r="TY1" s="184"/>
      <c r="TZ1" s="184"/>
      <c r="UA1" s="184"/>
      <c r="UB1" s="184"/>
      <c r="UC1" s="184"/>
      <c r="UD1" s="184"/>
      <c r="UE1" s="185"/>
      <c r="UF1" s="180"/>
      <c r="UG1" s="181"/>
      <c r="UH1" s="181"/>
      <c r="UI1" s="181"/>
      <c r="UJ1" s="181"/>
      <c r="UK1" s="181"/>
      <c r="UL1" s="181"/>
      <c r="UM1" s="181"/>
      <c r="UN1" s="181"/>
      <c r="UO1" s="182"/>
      <c r="UP1" s="183"/>
      <c r="UQ1" s="184"/>
      <c r="UR1" s="184"/>
      <c r="US1" s="184"/>
      <c r="UT1" s="184"/>
      <c r="UU1" s="184"/>
      <c r="UV1" s="184"/>
      <c r="UW1" s="184"/>
      <c r="UX1" s="184"/>
      <c r="UY1" s="185"/>
      <c r="UZ1" s="180"/>
      <c r="VA1" s="181"/>
      <c r="VB1" s="181"/>
      <c r="VC1" s="181"/>
      <c r="VD1" s="181"/>
      <c r="VE1" s="181"/>
      <c r="VF1" s="181"/>
      <c r="VG1" s="181"/>
      <c r="VH1" s="181"/>
      <c r="VI1" s="182"/>
      <c r="VJ1" s="183"/>
      <c r="VK1" s="184"/>
      <c r="VL1" s="184"/>
      <c r="VM1" s="184"/>
      <c r="VN1" s="184"/>
      <c r="VO1" s="184"/>
      <c r="VP1" s="184"/>
      <c r="VQ1" s="184"/>
      <c r="VR1" s="184"/>
      <c r="VS1" s="185"/>
      <c r="VT1" s="180"/>
      <c r="VU1" s="181"/>
      <c r="VV1" s="181"/>
      <c r="VW1" s="181"/>
      <c r="VX1" s="181"/>
      <c r="VY1" s="181"/>
      <c r="VZ1" s="181"/>
      <c r="WA1" s="181"/>
      <c r="WB1" s="181"/>
      <c r="WC1" s="182"/>
      <c r="WD1" s="183"/>
      <c r="WE1" s="184"/>
      <c r="WF1" s="184"/>
      <c r="WG1" s="184"/>
      <c r="WH1" s="184"/>
      <c r="WI1" s="184"/>
      <c r="WJ1" s="184"/>
      <c r="WK1" s="184"/>
      <c r="WL1" s="184"/>
      <c r="WM1" s="185"/>
      <c r="WN1" s="180"/>
      <c r="WO1" s="181"/>
      <c r="WP1" s="181"/>
      <c r="WQ1" s="181"/>
      <c r="WR1" s="181"/>
      <c r="WS1" s="181"/>
      <c r="WT1" s="181"/>
      <c r="WU1" s="181"/>
      <c r="WV1" s="181"/>
      <c r="WW1" s="182"/>
      <c r="WX1" s="183"/>
      <c r="WY1" s="184"/>
      <c r="WZ1" s="184"/>
      <c r="XA1" s="184"/>
      <c r="XB1" s="184"/>
      <c r="XC1" s="184"/>
      <c r="XD1" s="184"/>
      <c r="XE1" s="184"/>
      <c r="XF1" s="184"/>
      <c r="XG1" s="185"/>
      <c r="XH1" s="180"/>
      <c r="XI1" s="181"/>
      <c r="XJ1" s="181"/>
      <c r="XK1" s="181"/>
      <c r="XL1" s="181"/>
      <c r="XM1" s="181"/>
      <c r="XN1" s="181"/>
      <c r="XO1" s="181"/>
      <c r="XP1" s="181"/>
      <c r="XQ1" s="182"/>
      <c r="XR1" s="183"/>
      <c r="XS1" s="184"/>
      <c r="XT1" s="184"/>
      <c r="XU1" s="184"/>
      <c r="XV1" s="184"/>
      <c r="XW1" s="184"/>
      <c r="XX1" s="184"/>
      <c r="XY1" s="184"/>
      <c r="XZ1" s="184"/>
      <c r="YA1" s="185"/>
      <c r="YB1" s="180"/>
      <c r="YC1" s="181"/>
      <c r="YD1" s="181"/>
      <c r="YE1" s="181"/>
      <c r="YF1" s="181"/>
      <c r="YG1" s="181"/>
      <c r="YH1" s="181"/>
      <c r="YI1" s="181"/>
      <c r="YJ1" s="181"/>
      <c r="YK1" s="182"/>
      <c r="YL1" s="183"/>
      <c r="YM1" s="184"/>
      <c r="YN1" s="184"/>
      <c r="YO1" s="184"/>
      <c r="YP1" s="184"/>
      <c r="YQ1" s="184"/>
      <c r="YR1" s="184"/>
      <c r="YS1" s="184"/>
      <c r="YT1" s="184"/>
      <c r="YU1" s="185"/>
      <c r="YV1" s="180"/>
      <c r="YW1" s="181"/>
      <c r="YX1" s="181"/>
      <c r="YY1" s="181"/>
      <c r="YZ1" s="181"/>
      <c r="ZA1" s="181"/>
      <c r="ZB1" s="181"/>
      <c r="ZC1" s="181"/>
      <c r="ZD1" s="181"/>
      <c r="ZE1" s="182"/>
      <c r="ZF1" s="183"/>
      <c r="ZG1" s="184"/>
      <c r="ZH1" s="184"/>
      <c r="ZI1" s="184"/>
      <c r="ZJ1" s="184"/>
      <c r="ZK1" s="184"/>
      <c r="ZL1" s="184"/>
      <c r="ZM1" s="184"/>
      <c r="ZN1" s="184"/>
      <c r="ZO1" s="185"/>
      <c r="ZP1" s="180"/>
      <c r="ZQ1" s="181"/>
      <c r="ZR1" s="181"/>
      <c r="ZS1" s="181"/>
      <c r="ZT1" s="181"/>
      <c r="ZU1" s="181"/>
      <c r="ZV1" s="181"/>
      <c r="ZW1" s="181"/>
      <c r="ZX1" s="181"/>
      <c r="ZY1" s="182"/>
      <c r="ZZ1" s="183"/>
      <c r="AAA1" s="184"/>
      <c r="AAB1" s="184"/>
      <c r="AAC1" s="184"/>
      <c r="AAD1" s="184"/>
      <c r="AAE1" s="184"/>
      <c r="AAF1" s="184"/>
      <c r="AAG1" s="184"/>
      <c r="AAH1" s="184"/>
      <c r="AAI1" s="185"/>
      <c r="AAJ1" s="180"/>
      <c r="AAK1" s="181"/>
      <c r="AAL1" s="181"/>
      <c r="AAM1" s="181"/>
      <c r="AAN1" s="181"/>
      <c r="AAO1" s="181"/>
      <c r="AAP1" s="181"/>
      <c r="AAQ1" s="181"/>
      <c r="AAR1" s="181"/>
      <c r="AAS1" s="182"/>
      <c r="AAT1" s="183"/>
      <c r="AAU1" s="184"/>
      <c r="AAV1" s="184"/>
      <c r="AAW1" s="184"/>
      <c r="AAX1" s="184"/>
      <c r="AAY1" s="184"/>
      <c r="AAZ1" s="184"/>
      <c r="ABA1" s="184"/>
      <c r="ABB1" s="184"/>
      <c r="ABC1" s="185"/>
      <c r="ABD1" s="180"/>
      <c r="ABE1" s="181"/>
      <c r="ABF1" s="181"/>
      <c r="ABG1" s="181"/>
      <c r="ABH1" s="181"/>
      <c r="ABI1" s="181"/>
      <c r="ABJ1" s="181"/>
      <c r="ABK1" s="181"/>
      <c r="ABL1" s="181"/>
      <c r="ABM1" s="182"/>
      <c r="ABN1" s="183"/>
      <c r="ABO1" s="184"/>
      <c r="ABP1" s="184"/>
      <c r="ABQ1" s="184"/>
      <c r="ABR1" s="184"/>
      <c r="ABS1" s="184"/>
      <c r="ABT1" s="184"/>
      <c r="ABU1" s="184"/>
      <c r="ABV1" s="184"/>
      <c r="ABW1" s="185"/>
      <c r="ABX1" s="180"/>
      <c r="ABY1" s="181"/>
      <c r="ABZ1" s="181"/>
      <c r="ACA1" s="181"/>
      <c r="ACB1" s="181"/>
      <c r="ACC1" s="181"/>
      <c r="ACD1" s="181"/>
      <c r="ACE1" s="181"/>
      <c r="ACF1" s="181"/>
      <c r="ACG1" s="182"/>
      <c r="ACH1" s="183"/>
      <c r="ACI1" s="184"/>
      <c r="ACJ1" s="184"/>
      <c r="ACK1" s="184"/>
      <c r="ACL1" s="184"/>
      <c r="ACM1" s="184"/>
      <c r="ACN1" s="184"/>
      <c r="ACO1" s="184"/>
      <c r="ACP1" s="184"/>
      <c r="ACQ1" s="185"/>
      <c r="ACR1" s="180"/>
      <c r="ACS1" s="181"/>
      <c r="ACT1" s="181"/>
      <c r="ACU1" s="181"/>
      <c r="ACV1" s="181"/>
      <c r="ACW1" s="181"/>
      <c r="ACX1" s="181"/>
      <c r="ACY1" s="181"/>
      <c r="ACZ1" s="181"/>
      <c r="ADA1" s="182"/>
      <c r="ADB1" s="183"/>
      <c r="ADC1" s="184"/>
      <c r="ADD1" s="184"/>
      <c r="ADE1" s="184"/>
      <c r="ADF1" s="184"/>
      <c r="ADG1" s="184"/>
      <c r="ADH1" s="184"/>
      <c r="ADI1" s="184"/>
      <c r="ADJ1" s="184"/>
      <c r="ADK1" s="185"/>
      <c r="ADL1" s="180"/>
      <c r="ADM1" s="181"/>
      <c r="ADN1" s="181"/>
      <c r="ADO1" s="181"/>
      <c r="ADP1" s="181"/>
      <c r="ADQ1" s="181"/>
      <c r="ADR1" s="181"/>
      <c r="ADS1" s="181"/>
      <c r="ADT1" s="181"/>
      <c r="ADU1" s="182"/>
      <c r="ADV1" s="183"/>
      <c r="ADW1" s="184"/>
      <c r="ADX1" s="184"/>
      <c r="ADY1" s="184"/>
      <c r="ADZ1" s="184"/>
      <c r="AEA1" s="184"/>
      <c r="AEB1" s="184"/>
      <c r="AEC1" s="184"/>
      <c r="AED1" s="184"/>
      <c r="AEE1" s="185"/>
      <c r="AEF1" s="180"/>
      <c r="AEG1" s="181"/>
      <c r="AEH1" s="181"/>
      <c r="AEI1" s="181"/>
      <c r="AEJ1" s="181"/>
      <c r="AEK1" s="181"/>
      <c r="AEL1" s="181"/>
      <c r="AEM1" s="181"/>
      <c r="AEN1" s="181"/>
      <c r="AEO1" s="182"/>
      <c r="AEP1" s="183"/>
      <c r="AEQ1" s="184"/>
      <c r="AER1" s="184"/>
      <c r="AES1" s="184"/>
      <c r="AET1" s="184"/>
      <c r="AEU1" s="184"/>
      <c r="AEV1" s="184"/>
      <c r="AEW1" s="184"/>
      <c r="AEX1" s="184"/>
      <c r="AEY1" s="185"/>
      <c r="AEZ1" s="180"/>
      <c r="AFA1" s="181"/>
      <c r="AFB1" s="181"/>
      <c r="AFC1" s="181"/>
      <c r="AFD1" s="181"/>
      <c r="AFE1" s="181"/>
      <c r="AFF1" s="181"/>
      <c r="AFG1" s="181"/>
      <c r="AFH1" s="181"/>
      <c r="AFI1" s="182"/>
      <c r="AFJ1" s="183"/>
      <c r="AFK1" s="184"/>
      <c r="AFL1" s="184"/>
      <c r="AFM1" s="184"/>
      <c r="AFN1" s="184"/>
      <c r="AFO1" s="184"/>
      <c r="AFP1" s="184"/>
      <c r="AFQ1" s="184"/>
      <c r="AFR1" s="184"/>
      <c r="AFS1" s="185"/>
      <c r="AFT1" s="180"/>
      <c r="AFU1" s="181"/>
      <c r="AFV1" s="181"/>
      <c r="AFW1" s="181"/>
      <c r="AFX1" s="181"/>
      <c r="AFY1" s="181"/>
      <c r="AFZ1" s="181"/>
      <c r="AGA1" s="181"/>
      <c r="AGB1" s="181"/>
      <c r="AGC1" s="182"/>
      <c r="AGD1" s="183"/>
      <c r="AGE1" s="184"/>
      <c r="AGF1" s="184"/>
      <c r="AGG1" s="184"/>
      <c r="AGH1" s="184"/>
      <c r="AGI1" s="184"/>
      <c r="AGJ1" s="184"/>
      <c r="AGK1" s="184"/>
      <c r="AGL1" s="184"/>
      <c r="AGM1" s="185"/>
      <c r="AGN1" s="180"/>
      <c r="AGO1" s="181"/>
      <c r="AGP1" s="181"/>
      <c r="AGQ1" s="181"/>
      <c r="AGR1" s="181"/>
      <c r="AGS1" s="181"/>
      <c r="AGT1" s="181"/>
      <c r="AGU1" s="181"/>
      <c r="AGV1" s="181"/>
      <c r="AGW1" s="182"/>
      <c r="AGX1" s="183"/>
      <c r="AGY1" s="184"/>
      <c r="AGZ1" s="184"/>
      <c r="AHA1" s="184"/>
      <c r="AHB1" s="184"/>
      <c r="AHC1" s="184"/>
      <c r="AHD1" s="184"/>
      <c r="AHE1" s="184"/>
      <c r="AHF1" s="184"/>
      <c r="AHG1" s="185"/>
      <c r="AHH1" s="180"/>
      <c r="AHI1" s="181"/>
      <c r="AHJ1" s="181"/>
      <c r="AHK1" s="181"/>
      <c r="AHL1" s="181"/>
      <c r="AHM1" s="181"/>
      <c r="AHN1" s="181"/>
      <c r="AHO1" s="181"/>
      <c r="AHP1" s="181"/>
      <c r="AHQ1" s="182"/>
      <c r="AHR1" s="183"/>
      <c r="AHS1" s="184"/>
      <c r="AHT1" s="184"/>
      <c r="AHU1" s="184"/>
      <c r="AHV1" s="184"/>
      <c r="AHW1" s="184"/>
      <c r="AHX1" s="184"/>
      <c r="AHY1" s="184"/>
      <c r="AHZ1" s="184"/>
      <c r="AIA1" s="185"/>
      <c r="AIB1" s="180"/>
      <c r="AIC1" s="181"/>
      <c r="AID1" s="181"/>
      <c r="AIE1" s="181"/>
      <c r="AIF1" s="181"/>
      <c r="AIG1" s="181"/>
      <c r="AIH1" s="181"/>
      <c r="AII1" s="181"/>
      <c r="AIJ1" s="181"/>
      <c r="AIK1" s="182"/>
      <c r="AIL1" s="183"/>
      <c r="AIM1" s="184"/>
      <c r="AIN1" s="184"/>
      <c r="AIO1" s="184"/>
      <c r="AIP1" s="184"/>
      <c r="AIQ1" s="184"/>
      <c r="AIR1" s="184"/>
      <c r="AIS1" s="184"/>
      <c r="AIT1" s="184"/>
      <c r="AIU1" s="185"/>
      <c r="AIV1" s="180"/>
      <c r="AIW1" s="181"/>
      <c r="AIX1" s="181"/>
      <c r="AIY1" s="181"/>
      <c r="AIZ1" s="181"/>
      <c r="AJA1" s="181"/>
      <c r="AJB1" s="181"/>
      <c r="AJC1" s="181"/>
      <c r="AJD1" s="181"/>
      <c r="AJE1" s="182"/>
      <c r="AJF1" s="183"/>
      <c r="AJG1" s="184"/>
      <c r="AJH1" s="184"/>
      <c r="AJI1" s="184"/>
      <c r="AJJ1" s="184"/>
      <c r="AJK1" s="184"/>
      <c r="AJL1" s="184"/>
      <c r="AJM1" s="184"/>
      <c r="AJN1" s="184"/>
      <c r="AJO1" s="185"/>
      <c r="AJP1" s="180"/>
      <c r="AJQ1" s="181"/>
      <c r="AJR1" s="181"/>
      <c r="AJS1" s="181"/>
      <c r="AJT1" s="181"/>
      <c r="AJU1" s="181"/>
      <c r="AJV1" s="181"/>
      <c r="AJW1" s="181"/>
      <c r="AJX1" s="181"/>
      <c r="AJY1" s="182"/>
      <c r="AJZ1" s="183"/>
      <c r="AKA1" s="184"/>
      <c r="AKB1" s="184"/>
      <c r="AKC1" s="184"/>
      <c r="AKD1" s="184"/>
      <c r="AKE1" s="184"/>
      <c r="AKF1" s="184"/>
      <c r="AKG1" s="184"/>
      <c r="AKH1" s="184"/>
      <c r="AKI1" s="185"/>
      <c r="AKJ1" s="180"/>
      <c r="AKK1" s="181"/>
      <c r="AKL1" s="181"/>
      <c r="AKM1" s="181"/>
      <c r="AKN1" s="181"/>
      <c r="AKO1" s="181"/>
      <c r="AKP1" s="181"/>
      <c r="AKQ1" s="181"/>
      <c r="AKR1" s="181"/>
      <c r="AKS1" s="182"/>
      <c r="AKT1" s="183"/>
      <c r="AKU1" s="184"/>
      <c r="AKV1" s="184"/>
      <c r="AKW1" s="184"/>
      <c r="AKX1" s="184"/>
      <c r="AKY1" s="184"/>
      <c r="AKZ1" s="184"/>
      <c r="ALA1" s="184"/>
      <c r="ALB1" s="184"/>
      <c r="ALC1" s="185"/>
      <c r="ALD1" s="180"/>
      <c r="ALE1" s="181"/>
      <c r="ALF1" s="181"/>
      <c r="ALG1" s="181"/>
      <c r="ALH1" s="181"/>
      <c r="ALI1" s="181"/>
      <c r="ALJ1" s="181"/>
      <c r="ALK1" s="181"/>
      <c r="ALL1" s="181"/>
      <c r="ALM1" s="182"/>
      <c r="ALN1" s="183"/>
      <c r="ALO1" s="184"/>
      <c r="ALP1" s="184"/>
      <c r="ALQ1" s="184"/>
      <c r="ALR1" s="184"/>
      <c r="ALS1" s="184"/>
      <c r="ALT1" s="184"/>
      <c r="ALU1" s="184"/>
      <c r="ALV1" s="184"/>
      <c r="ALW1" s="185"/>
      <c r="ALX1" s="180"/>
      <c r="ALY1" s="181"/>
      <c r="ALZ1" s="181"/>
      <c r="AMA1" s="181"/>
      <c r="AMB1" s="181"/>
      <c r="AMC1" s="181"/>
      <c r="AMD1" s="181"/>
      <c r="AME1" s="181"/>
      <c r="AMF1" s="181"/>
      <c r="AMG1" s="182"/>
      <c r="AMH1" s="183"/>
      <c r="AMI1" s="184"/>
      <c r="AMJ1" s="184"/>
      <c r="AMK1" s="184"/>
      <c r="AML1" s="184"/>
      <c r="AMM1" s="184"/>
      <c r="AMN1" s="184"/>
      <c r="AMO1" s="184"/>
      <c r="AMP1" s="184"/>
      <c r="AMQ1" s="185"/>
      <c r="AMR1" s="180"/>
      <c r="AMS1" s="181"/>
      <c r="AMT1" s="181"/>
      <c r="AMU1" s="181"/>
      <c r="AMV1" s="181"/>
      <c r="AMW1" s="181"/>
      <c r="AMX1" s="181"/>
      <c r="AMY1" s="181"/>
      <c r="AMZ1" s="181"/>
      <c r="ANA1" s="182"/>
      <c r="ANB1" s="183"/>
      <c r="ANC1" s="184"/>
      <c r="AND1" s="184"/>
      <c r="ANE1" s="184"/>
      <c r="ANF1" s="184"/>
      <c r="ANG1" s="184"/>
      <c r="ANH1" s="184"/>
      <c r="ANI1" s="184"/>
      <c r="ANJ1" s="184"/>
      <c r="ANK1" s="185"/>
      <c r="ANL1" s="180"/>
      <c r="ANM1" s="181"/>
      <c r="ANN1" s="181"/>
      <c r="ANO1" s="181"/>
      <c r="ANP1" s="181"/>
      <c r="ANQ1" s="181"/>
      <c r="ANR1" s="181"/>
      <c r="ANS1" s="181"/>
      <c r="ANT1" s="181"/>
      <c r="ANU1" s="182"/>
      <c r="ANV1" s="183"/>
      <c r="ANW1" s="184"/>
      <c r="ANX1" s="184"/>
      <c r="ANY1" s="184"/>
      <c r="ANZ1" s="184"/>
      <c r="AOA1" s="184"/>
      <c r="AOB1" s="184"/>
      <c r="AOC1" s="184"/>
      <c r="AOD1" s="184"/>
      <c r="AOE1" s="185"/>
      <c r="AOF1" s="180"/>
      <c r="AOG1" s="181"/>
      <c r="AOH1" s="181"/>
      <c r="AOI1" s="181"/>
      <c r="AOJ1" s="181"/>
      <c r="AOK1" s="181"/>
      <c r="AOL1" s="181"/>
      <c r="AOM1" s="181"/>
      <c r="AON1" s="181"/>
      <c r="AOO1" s="182"/>
      <c r="AOP1" s="183"/>
      <c r="AOQ1" s="184"/>
      <c r="AOR1" s="184"/>
      <c r="AOS1" s="184"/>
      <c r="AOT1" s="184"/>
      <c r="AOU1" s="184"/>
      <c r="AOV1" s="184"/>
      <c r="AOW1" s="184"/>
      <c r="AOX1" s="184"/>
      <c r="AOY1" s="185"/>
      <c r="AOZ1" s="180"/>
      <c r="APA1" s="181"/>
      <c r="APB1" s="181"/>
      <c r="APC1" s="181"/>
      <c r="APD1" s="181"/>
      <c r="APE1" s="181"/>
      <c r="APF1" s="181"/>
      <c r="APG1" s="181"/>
      <c r="APH1" s="181"/>
      <c r="API1" s="182"/>
      <c r="APJ1" s="183"/>
      <c r="APK1" s="184"/>
      <c r="APL1" s="184"/>
      <c r="APM1" s="184"/>
      <c r="APN1" s="184"/>
      <c r="APO1" s="184"/>
      <c r="APP1" s="184"/>
      <c r="APQ1" s="184"/>
      <c r="APR1" s="184"/>
      <c r="APS1" s="185"/>
      <c r="APT1" s="180"/>
      <c r="APU1" s="181"/>
      <c r="APV1" s="181"/>
      <c r="APW1" s="181"/>
      <c r="APX1" s="181"/>
      <c r="APY1" s="181"/>
      <c r="APZ1" s="181"/>
      <c r="AQA1" s="181"/>
      <c r="AQB1" s="181"/>
      <c r="AQC1" s="182"/>
      <c r="AQD1" s="183"/>
      <c r="AQE1" s="184"/>
      <c r="AQF1" s="184"/>
      <c r="AQG1" s="184"/>
      <c r="AQH1" s="184"/>
      <c r="AQI1" s="184"/>
      <c r="AQJ1" s="184"/>
      <c r="AQK1" s="184"/>
      <c r="AQL1" s="184"/>
      <c r="AQM1" s="185"/>
      <c r="AQN1" s="180"/>
      <c r="AQO1" s="181"/>
      <c r="AQP1" s="181"/>
      <c r="AQQ1" s="181"/>
      <c r="AQR1" s="181"/>
      <c r="AQS1" s="181"/>
      <c r="AQT1" s="181"/>
      <c r="AQU1" s="181"/>
      <c r="AQV1" s="181"/>
      <c r="AQW1" s="182"/>
      <c r="AQX1" s="183"/>
      <c r="AQY1" s="184"/>
      <c r="AQZ1" s="184"/>
      <c r="ARA1" s="184"/>
      <c r="ARB1" s="184"/>
      <c r="ARC1" s="184"/>
      <c r="ARD1" s="184"/>
      <c r="ARE1" s="184"/>
      <c r="ARF1" s="184"/>
      <c r="ARG1" s="185"/>
      <c r="ARH1" s="180"/>
      <c r="ARI1" s="181"/>
      <c r="ARJ1" s="181"/>
      <c r="ARK1" s="181"/>
      <c r="ARL1" s="181"/>
      <c r="ARM1" s="181"/>
      <c r="ARN1" s="181"/>
      <c r="ARO1" s="181"/>
      <c r="ARP1" s="181"/>
      <c r="ARQ1" s="182"/>
      <c r="ARR1" s="183"/>
      <c r="ARS1" s="184"/>
      <c r="ART1" s="184"/>
      <c r="ARU1" s="184"/>
      <c r="ARV1" s="184"/>
      <c r="ARW1" s="184"/>
      <c r="ARX1" s="184"/>
      <c r="ARY1" s="184"/>
      <c r="ARZ1" s="184"/>
      <c r="ASA1" s="185"/>
      <c r="ASB1" s="180"/>
      <c r="ASC1" s="181"/>
      <c r="ASD1" s="181"/>
      <c r="ASE1" s="181"/>
      <c r="ASF1" s="181"/>
      <c r="ASG1" s="181"/>
      <c r="ASH1" s="181"/>
      <c r="ASI1" s="181"/>
      <c r="ASJ1" s="181"/>
      <c r="ASK1" s="182"/>
      <c r="ASL1" s="183"/>
      <c r="ASM1" s="184"/>
      <c r="ASN1" s="184"/>
      <c r="ASO1" s="184"/>
      <c r="ASP1" s="184"/>
      <c r="ASQ1" s="184"/>
      <c r="ASR1" s="184"/>
      <c r="ASS1" s="184"/>
      <c r="AST1" s="184"/>
      <c r="ASU1" s="185"/>
      <c r="ASV1" s="180"/>
      <c r="ASW1" s="181"/>
      <c r="ASX1" s="181"/>
      <c r="ASY1" s="181"/>
      <c r="ASZ1" s="181"/>
      <c r="ATA1" s="181"/>
      <c r="ATB1" s="181"/>
      <c r="ATC1" s="181"/>
      <c r="ATD1" s="181"/>
      <c r="ATE1" s="182"/>
      <c r="ATF1" s="183"/>
      <c r="ATG1" s="184"/>
      <c r="ATH1" s="184"/>
      <c r="ATI1" s="184"/>
      <c r="ATJ1" s="184"/>
      <c r="ATK1" s="184"/>
      <c r="ATL1" s="184"/>
      <c r="ATM1" s="184"/>
      <c r="ATN1" s="184"/>
      <c r="ATO1" s="185"/>
      <c r="ATP1" s="180"/>
      <c r="ATQ1" s="181"/>
      <c r="ATR1" s="181"/>
      <c r="ATS1" s="181"/>
      <c r="ATT1" s="181"/>
      <c r="ATU1" s="181"/>
      <c r="ATV1" s="181"/>
      <c r="ATW1" s="181"/>
      <c r="ATX1" s="181"/>
      <c r="ATY1" s="182"/>
      <c r="ATZ1" s="183"/>
      <c r="AUA1" s="184"/>
      <c r="AUB1" s="184"/>
      <c r="AUC1" s="184"/>
      <c r="AUD1" s="184"/>
      <c r="AUE1" s="184"/>
      <c r="AUF1" s="184"/>
      <c r="AUG1" s="184"/>
      <c r="AUH1" s="184"/>
      <c r="AUI1" s="185"/>
      <c r="AUJ1" s="180"/>
      <c r="AUK1" s="181"/>
      <c r="AUL1" s="181"/>
      <c r="AUM1" s="181"/>
      <c r="AUN1" s="181"/>
      <c r="AUO1" s="181"/>
      <c r="AUP1" s="181"/>
      <c r="AUQ1" s="181"/>
      <c r="AUR1" s="181"/>
      <c r="AUS1" s="182"/>
      <c r="AUT1" s="183"/>
      <c r="AUU1" s="184"/>
      <c r="AUV1" s="184"/>
      <c r="AUW1" s="184"/>
      <c r="AUX1" s="184"/>
      <c r="AUY1" s="184"/>
      <c r="AUZ1" s="184"/>
      <c r="AVA1" s="184"/>
      <c r="AVB1" s="184"/>
      <c r="AVC1" s="185"/>
      <c r="AVD1" s="180"/>
      <c r="AVE1" s="181"/>
      <c r="AVF1" s="181"/>
      <c r="AVG1" s="181"/>
      <c r="AVH1" s="181"/>
      <c r="AVI1" s="181"/>
      <c r="AVJ1" s="181"/>
      <c r="AVK1" s="181"/>
      <c r="AVL1" s="181"/>
      <c r="AVM1" s="182"/>
      <c r="AVN1" s="183"/>
      <c r="AVO1" s="184"/>
      <c r="AVP1" s="184"/>
      <c r="AVQ1" s="184"/>
      <c r="AVR1" s="184"/>
      <c r="AVS1" s="184"/>
      <c r="AVT1" s="184"/>
      <c r="AVU1" s="184"/>
      <c r="AVV1" s="184"/>
      <c r="AVW1" s="185"/>
      <c r="AVX1" s="180"/>
      <c r="AVY1" s="181"/>
      <c r="AVZ1" s="181"/>
      <c r="AWA1" s="181"/>
      <c r="AWB1" s="181"/>
      <c r="AWC1" s="181"/>
      <c r="AWD1" s="181"/>
      <c r="AWE1" s="181"/>
      <c r="AWF1" s="181"/>
      <c r="AWG1" s="182"/>
      <c r="AWH1" s="183"/>
      <c r="AWI1" s="184"/>
      <c r="AWJ1" s="184"/>
      <c r="AWK1" s="184"/>
      <c r="AWL1" s="184"/>
      <c r="AWM1" s="184"/>
      <c r="AWN1" s="184"/>
      <c r="AWO1" s="184"/>
      <c r="AWP1" s="184"/>
      <c r="AWQ1" s="185"/>
      <c r="AWR1" s="180"/>
      <c r="AWS1" s="181"/>
      <c r="AWT1" s="181"/>
      <c r="AWU1" s="181"/>
      <c r="AWV1" s="181"/>
      <c r="AWW1" s="181"/>
      <c r="AWX1" s="181"/>
      <c r="AWY1" s="181"/>
      <c r="AWZ1" s="181"/>
      <c r="AXA1" s="182"/>
      <c r="AXB1" s="183"/>
      <c r="AXC1" s="184"/>
      <c r="AXD1" s="184"/>
      <c r="AXE1" s="184"/>
      <c r="AXF1" s="184"/>
      <c r="AXG1" s="184"/>
      <c r="AXH1" s="184"/>
      <c r="AXI1" s="184"/>
      <c r="AXJ1" s="184"/>
      <c r="AXK1" s="185"/>
      <c r="AXL1" s="180"/>
      <c r="AXM1" s="181"/>
      <c r="AXN1" s="181"/>
      <c r="AXO1" s="181"/>
      <c r="AXP1" s="181"/>
      <c r="AXQ1" s="181"/>
      <c r="AXR1" s="181"/>
      <c r="AXS1" s="181"/>
      <c r="AXT1" s="181"/>
      <c r="AXU1" s="182"/>
      <c r="AXV1" s="183"/>
      <c r="AXW1" s="184"/>
      <c r="AXX1" s="184"/>
      <c r="AXY1" s="184"/>
      <c r="AXZ1" s="184"/>
      <c r="AYA1" s="184"/>
      <c r="AYB1" s="184"/>
      <c r="AYC1" s="184"/>
      <c r="AYD1" s="184"/>
      <c r="AYE1" s="185"/>
      <c r="AYF1" s="180"/>
      <c r="AYG1" s="181"/>
      <c r="AYH1" s="181"/>
      <c r="AYI1" s="181"/>
      <c r="AYJ1" s="181"/>
      <c r="AYK1" s="181"/>
      <c r="AYL1" s="181"/>
      <c r="AYM1" s="181"/>
      <c r="AYN1" s="181"/>
      <c r="AYO1" s="182"/>
      <c r="AYP1" s="183"/>
      <c r="AYQ1" s="184"/>
      <c r="AYR1" s="184"/>
      <c r="AYS1" s="184"/>
      <c r="AYT1" s="184"/>
      <c r="AYU1" s="184"/>
      <c r="AYV1" s="184"/>
      <c r="AYW1" s="184"/>
      <c r="AYX1" s="184"/>
      <c r="AYY1" s="185"/>
      <c r="AYZ1" s="180"/>
      <c r="AZA1" s="181"/>
      <c r="AZB1" s="181"/>
      <c r="AZC1" s="181"/>
      <c r="AZD1" s="181"/>
      <c r="AZE1" s="181"/>
      <c r="AZF1" s="181"/>
      <c r="AZG1" s="181"/>
      <c r="AZH1" s="181"/>
      <c r="AZI1" s="182"/>
      <c r="AZJ1" s="183"/>
      <c r="AZK1" s="184"/>
      <c r="AZL1" s="184"/>
      <c r="AZM1" s="184"/>
      <c r="AZN1" s="184"/>
      <c r="AZO1" s="184"/>
      <c r="AZP1" s="184"/>
      <c r="AZQ1" s="184"/>
      <c r="AZR1" s="184"/>
      <c r="AZS1" s="185"/>
      <c r="AZT1" s="180"/>
      <c r="AZU1" s="181"/>
      <c r="AZV1" s="181"/>
      <c r="AZW1" s="181"/>
      <c r="AZX1" s="181"/>
      <c r="AZY1" s="181"/>
      <c r="AZZ1" s="181"/>
      <c r="BAA1" s="181"/>
      <c r="BAB1" s="181"/>
      <c r="BAC1" s="182"/>
      <c r="BAD1" s="183"/>
      <c r="BAE1" s="184"/>
      <c r="BAF1" s="184"/>
      <c r="BAG1" s="184"/>
      <c r="BAH1" s="184"/>
      <c r="BAI1" s="184"/>
      <c r="BAJ1" s="184"/>
      <c r="BAK1" s="184"/>
      <c r="BAL1" s="184"/>
      <c r="BAM1" s="185"/>
      <c r="BAN1" s="180"/>
      <c r="BAO1" s="181"/>
      <c r="BAP1" s="181"/>
      <c r="BAQ1" s="181"/>
      <c r="BAR1" s="181"/>
      <c r="BAS1" s="181"/>
      <c r="BAT1" s="181"/>
      <c r="BAU1" s="181"/>
      <c r="BAV1" s="181"/>
      <c r="BAW1" s="182"/>
      <c r="BAX1" s="183"/>
      <c r="BAY1" s="184"/>
      <c r="BAZ1" s="184"/>
      <c r="BBA1" s="184"/>
      <c r="BBB1" s="184"/>
      <c r="BBC1" s="184"/>
      <c r="BBD1" s="184"/>
      <c r="BBE1" s="184"/>
      <c r="BBF1" s="184"/>
      <c r="BBG1" s="185"/>
      <c r="BBH1" s="180"/>
      <c r="BBI1" s="181"/>
      <c r="BBJ1" s="181"/>
      <c r="BBK1" s="181"/>
      <c r="BBL1" s="181"/>
      <c r="BBM1" s="181"/>
      <c r="BBN1" s="181"/>
      <c r="BBO1" s="181"/>
      <c r="BBP1" s="181"/>
      <c r="BBQ1" s="182"/>
      <c r="BBR1" s="183"/>
      <c r="BBS1" s="184"/>
      <c r="BBT1" s="184"/>
      <c r="BBU1" s="184"/>
      <c r="BBV1" s="184"/>
      <c r="BBW1" s="184"/>
      <c r="BBX1" s="184"/>
      <c r="BBY1" s="184"/>
      <c r="BBZ1" s="184"/>
      <c r="BCA1" s="185"/>
      <c r="BCB1" s="180"/>
      <c r="BCC1" s="181"/>
      <c r="BCD1" s="181"/>
      <c r="BCE1" s="181"/>
      <c r="BCF1" s="181"/>
      <c r="BCG1" s="181"/>
      <c r="BCH1" s="181"/>
      <c r="BCI1" s="181"/>
      <c r="BCJ1" s="181"/>
      <c r="BCK1" s="182"/>
      <c r="BCL1" s="183"/>
      <c r="BCM1" s="184"/>
      <c r="BCN1" s="184"/>
      <c r="BCO1" s="184"/>
      <c r="BCP1" s="184"/>
      <c r="BCQ1" s="184"/>
      <c r="BCR1" s="184"/>
      <c r="BCS1" s="184"/>
      <c r="BCT1" s="184"/>
      <c r="BCU1" s="185"/>
      <c r="BCV1" s="180"/>
      <c r="BCW1" s="181"/>
      <c r="BCX1" s="181"/>
      <c r="BCY1" s="181"/>
      <c r="BCZ1" s="181"/>
      <c r="BDA1" s="181"/>
      <c r="BDB1" s="181"/>
      <c r="BDC1" s="181"/>
      <c r="BDD1" s="181"/>
      <c r="BDE1" s="182"/>
      <c r="BDF1" s="183"/>
      <c r="BDG1" s="184"/>
      <c r="BDH1" s="184"/>
      <c r="BDI1" s="184"/>
      <c r="BDJ1" s="184"/>
      <c r="BDK1" s="184"/>
      <c r="BDL1" s="184"/>
      <c r="BDM1" s="184"/>
      <c r="BDN1" s="184"/>
      <c r="BDO1" s="185"/>
      <c r="BDP1" s="180"/>
      <c r="BDQ1" s="181"/>
      <c r="BDR1" s="181"/>
      <c r="BDS1" s="181"/>
      <c r="BDT1" s="181"/>
      <c r="BDU1" s="181"/>
      <c r="BDV1" s="181"/>
      <c r="BDW1" s="181"/>
      <c r="BDX1" s="181"/>
      <c r="BDY1" s="182"/>
      <c r="BDZ1" s="183"/>
      <c r="BEA1" s="184"/>
      <c r="BEB1" s="184"/>
      <c r="BEC1" s="184"/>
      <c r="BED1" s="184"/>
      <c r="BEE1" s="184"/>
      <c r="BEF1" s="184"/>
      <c r="BEG1" s="184"/>
      <c r="BEH1" s="184"/>
      <c r="BEI1" s="185"/>
      <c r="BEJ1" s="180"/>
      <c r="BEK1" s="181"/>
      <c r="BEL1" s="181"/>
      <c r="BEM1" s="181"/>
      <c r="BEN1" s="181"/>
      <c r="BEO1" s="181"/>
      <c r="BEP1" s="181"/>
      <c r="BEQ1" s="181"/>
      <c r="BER1" s="181"/>
      <c r="BES1" s="182"/>
      <c r="BET1" s="183"/>
      <c r="BEU1" s="184"/>
      <c r="BEV1" s="184"/>
      <c r="BEW1" s="184"/>
      <c r="BEX1" s="184"/>
      <c r="BEY1" s="184"/>
      <c r="BEZ1" s="184"/>
      <c r="BFA1" s="184"/>
      <c r="BFB1" s="184"/>
      <c r="BFC1" s="185"/>
      <c r="BFD1" s="180"/>
      <c r="BFE1" s="181"/>
      <c r="BFF1" s="181"/>
      <c r="BFG1" s="181"/>
      <c r="BFH1" s="181"/>
      <c r="BFI1" s="181"/>
      <c r="BFJ1" s="181"/>
      <c r="BFK1" s="181"/>
      <c r="BFL1" s="181"/>
      <c r="BFM1" s="182"/>
      <c r="BFN1" s="183"/>
      <c r="BFO1" s="184"/>
      <c r="BFP1" s="184"/>
      <c r="BFQ1" s="184"/>
      <c r="BFR1" s="184"/>
      <c r="BFS1" s="184"/>
      <c r="BFT1" s="184"/>
      <c r="BFU1" s="184"/>
      <c r="BFV1" s="184"/>
      <c r="BFW1" s="185"/>
      <c r="BFX1" s="180"/>
      <c r="BFY1" s="181"/>
      <c r="BFZ1" s="181"/>
      <c r="BGA1" s="181"/>
      <c r="BGB1" s="181"/>
      <c r="BGC1" s="181"/>
      <c r="BGD1" s="181"/>
      <c r="BGE1" s="181"/>
      <c r="BGF1" s="181"/>
      <c r="BGG1" s="182"/>
      <c r="BGH1" s="183"/>
      <c r="BGI1" s="184"/>
      <c r="BGJ1" s="184"/>
      <c r="BGK1" s="184"/>
      <c r="BGL1" s="184"/>
      <c r="BGM1" s="184"/>
      <c r="BGN1" s="184"/>
      <c r="BGO1" s="184"/>
      <c r="BGP1" s="184"/>
      <c r="BGQ1" s="185"/>
      <c r="BGR1" s="180"/>
      <c r="BGS1" s="181"/>
      <c r="BGT1" s="181"/>
      <c r="BGU1" s="181"/>
      <c r="BGV1" s="181"/>
      <c r="BGW1" s="181"/>
      <c r="BGX1" s="181"/>
      <c r="BGY1" s="181"/>
      <c r="BGZ1" s="181"/>
      <c r="BHA1" s="182"/>
      <c r="BHB1" s="183"/>
      <c r="BHC1" s="184"/>
      <c r="BHD1" s="184"/>
      <c r="BHE1" s="184"/>
      <c r="BHF1" s="184"/>
      <c r="BHG1" s="184"/>
      <c r="BHH1" s="184"/>
      <c r="BHI1" s="184"/>
      <c r="BHJ1" s="184"/>
      <c r="BHK1" s="185"/>
      <c r="BHL1" s="180"/>
      <c r="BHM1" s="181"/>
      <c r="BHN1" s="181"/>
      <c r="BHO1" s="181"/>
      <c r="BHP1" s="181"/>
      <c r="BHQ1" s="181"/>
      <c r="BHR1" s="181"/>
      <c r="BHS1" s="181"/>
      <c r="BHT1" s="181"/>
      <c r="BHU1" s="182"/>
      <c r="BHV1" s="183"/>
      <c r="BHW1" s="184"/>
      <c r="BHX1" s="184"/>
      <c r="BHY1" s="184"/>
      <c r="BHZ1" s="184"/>
      <c r="BIA1" s="184"/>
      <c r="BIB1" s="184"/>
      <c r="BIC1" s="184"/>
      <c r="BID1" s="184"/>
      <c r="BIE1" s="185"/>
      <c r="BIF1" s="180"/>
      <c r="BIG1" s="181"/>
      <c r="BIH1" s="181"/>
      <c r="BII1" s="181"/>
      <c r="BIJ1" s="181"/>
      <c r="BIK1" s="181"/>
      <c r="BIL1" s="181"/>
      <c r="BIM1" s="181"/>
      <c r="BIN1" s="181"/>
      <c r="BIO1" s="182"/>
      <c r="BIP1" s="183"/>
      <c r="BIQ1" s="184"/>
      <c r="BIR1" s="184"/>
      <c r="BIS1" s="184"/>
      <c r="BIT1" s="184"/>
      <c r="BIU1" s="184"/>
      <c r="BIV1" s="184"/>
      <c r="BIW1" s="184"/>
      <c r="BIX1" s="184"/>
      <c r="BIY1" s="185"/>
      <c r="BIZ1" s="180"/>
      <c r="BJA1" s="181"/>
      <c r="BJB1" s="181"/>
      <c r="BJC1" s="181"/>
      <c r="BJD1" s="181"/>
      <c r="BJE1" s="181"/>
      <c r="BJF1" s="181"/>
      <c r="BJG1" s="181"/>
      <c r="BJH1" s="181"/>
      <c r="BJI1" s="182"/>
      <c r="BJJ1" s="183"/>
      <c r="BJK1" s="184"/>
      <c r="BJL1" s="184"/>
      <c r="BJM1" s="184"/>
      <c r="BJN1" s="184"/>
      <c r="BJO1" s="184"/>
      <c r="BJP1" s="184"/>
      <c r="BJQ1" s="184"/>
      <c r="BJR1" s="184"/>
      <c r="BJS1" s="185"/>
      <c r="BJT1" s="180"/>
      <c r="BJU1" s="181"/>
      <c r="BJV1" s="181"/>
      <c r="BJW1" s="181"/>
      <c r="BJX1" s="181"/>
      <c r="BJY1" s="181"/>
      <c r="BJZ1" s="181"/>
      <c r="BKA1" s="181"/>
      <c r="BKB1" s="181"/>
      <c r="BKC1" s="182"/>
      <c r="BKD1" s="183"/>
      <c r="BKE1" s="184"/>
      <c r="BKF1" s="184"/>
      <c r="BKG1" s="184"/>
      <c r="BKH1" s="184"/>
      <c r="BKI1" s="184"/>
      <c r="BKJ1" s="184"/>
      <c r="BKK1" s="184"/>
      <c r="BKL1" s="184"/>
      <c r="BKM1" s="185"/>
      <c r="BKN1" s="180"/>
      <c r="BKO1" s="181"/>
      <c r="BKP1" s="181"/>
      <c r="BKQ1" s="181"/>
      <c r="BKR1" s="181"/>
      <c r="BKS1" s="181"/>
      <c r="BKT1" s="181"/>
      <c r="BKU1" s="181"/>
      <c r="BKV1" s="181"/>
      <c r="BKW1" s="182"/>
      <c r="BKX1" s="183"/>
      <c r="BKY1" s="184"/>
      <c r="BKZ1" s="184"/>
      <c r="BLA1" s="184"/>
      <c r="BLB1" s="184"/>
      <c r="BLC1" s="184"/>
      <c r="BLD1" s="184"/>
      <c r="BLE1" s="184"/>
      <c r="BLF1" s="184"/>
      <c r="BLG1" s="185"/>
      <c r="BLH1" s="180"/>
      <c r="BLI1" s="181"/>
      <c r="BLJ1" s="181"/>
      <c r="BLK1" s="181"/>
      <c r="BLL1" s="181"/>
      <c r="BLM1" s="181"/>
      <c r="BLN1" s="181"/>
      <c r="BLO1" s="181"/>
      <c r="BLP1" s="181"/>
      <c r="BLQ1" s="182"/>
      <c r="BLR1" s="183"/>
      <c r="BLS1" s="184"/>
      <c r="BLT1" s="184"/>
      <c r="BLU1" s="184"/>
      <c r="BLV1" s="184"/>
      <c r="BLW1" s="184"/>
      <c r="BLX1" s="184"/>
      <c r="BLY1" s="184"/>
      <c r="BLZ1" s="184"/>
      <c r="BMA1" s="185"/>
      <c r="BMB1" s="180"/>
      <c r="BMC1" s="181"/>
      <c r="BMD1" s="181"/>
      <c r="BME1" s="181"/>
      <c r="BMF1" s="181"/>
      <c r="BMG1" s="181"/>
      <c r="BMH1" s="181"/>
      <c r="BMI1" s="181"/>
      <c r="BMJ1" s="181"/>
      <c r="BMK1" s="182"/>
      <c r="BML1" s="183"/>
      <c r="BMM1" s="184"/>
      <c r="BMN1" s="184"/>
      <c r="BMO1" s="184"/>
      <c r="BMP1" s="184"/>
      <c r="BMQ1" s="184"/>
      <c r="BMR1" s="184"/>
      <c r="BMS1" s="184"/>
      <c r="BMT1" s="184"/>
      <c r="BMU1" s="185"/>
      <c r="BMV1" s="180"/>
      <c r="BMW1" s="181"/>
      <c r="BMX1" s="181"/>
      <c r="BMY1" s="181"/>
      <c r="BMZ1" s="181"/>
      <c r="BNA1" s="181"/>
      <c r="BNB1" s="181"/>
      <c r="BNC1" s="181"/>
      <c r="BND1" s="181"/>
      <c r="BNE1" s="182"/>
      <c r="BNF1" s="183"/>
      <c r="BNG1" s="184"/>
      <c r="BNH1" s="184"/>
      <c r="BNI1" s="184"/>
      <c r="BNJ1" s="184"/>
      <c r="BNK1" s="184"/>
      <c r="BNL1" s="184"/>
      <c r="BNM1" s="184"/>
      <c r="BNN1" s="184"/>
      <c r="BNO1" s="185"/>
      <c r="BNP1" s="180"/>
      <c r="BNQ1" s="181"/>
      <c r="BNR1" s="181"/>
      <c r="BNS1" s="181"/>
      <c r="BNT1" s="181"/>
      <c r="BNU1" s="181"/>
      <c r="BNV1" s="181"/>
      <c r="BNW1" s="181"/>
      <c r="BNX1" s="181"/>
      <c r="BNY1" s="182"/>
      <c r="BNZ1" s="183"/>
      <c r="BOA1" s="184"/>
      <c r="BOB1" s="184"/>
      <c r="BOC1" s="184"/>
      <c r="BOD1" s="184"/>
      <c r="BOE1" s="184"/>
      <c r="BOF1" s="184"/>
      <c r="BOG1" s="184"/>
      <c r="BOH1" s="184"/>
      <c r="BOI1" s="185"/>
      <c r="BOJ1" s="180"/>
      <c r="BOK1" s="181"/>
      <c r="BOL1" s="181"/>
      <c r="BOM1" s="181"/>
      <c r="BON1" s="181"/>
      <c r="BOO1" s="181"/>
      <c r="BOP1" s="181"/>
      <c r="BOQ1" s="181"/>
      <c r="BOR1" s="181"/>
      <c r="BOS1" s="182"/>
      <c r="BOT1" s="183"/>
      <c r="BOU1" s="184"/>
      <c r="BOV1" s="184"/>
      <c r="BOW1" s="184"/>
      <c r="BOX1" s="184"/>
      <c r="BOY1" s="184"/>
      <c r="BOZ1" s="184"/>
      <c r="BPA1" s="184"/>
      <c r="BPB1" s="184"/>
      <c r="BPC1" s="185"/>
      <c r="BPD1" s="180"/>
      <c r="BPE1" s="181"/>
      <c r="BPF1" s="181"/>
      <c r="BPG1" s="181"/>
      <c r="BPH1" s="181"/>
      <c r="BPI1" s="181"/>
      <c r="BPJ1" s="181"/>
      <c r="BPK1" s="181"/>
      <c r="BPL1" s="181"/>
      <c r="BPM1" s="182"/>
      <c r="BPN1" s="183"/>
      <c r="BPO1" s="184"/>
      <c r="BPP1" s="184"/>
      <c r="BPQ1" s="184"/>
      <c r="BPR1" s="184"/>
      <c r="BPS1" s="184"/>
      <c r="BPT1" s="184"/>
      <c r="BPU1" s="184"/>
      <c r="BPV1" s="184"/>
      <c r="BPW1" s="185"/>
      <c r="BPX1" s="180"/>
      <c r="BPY1" s="181"/>
      <c r="BPZ1" s="181"/>
      <c r="BQA1" s="181"/>
      <c r="BQB1" s="181"/>
      <c r="BQC1" s="181"/>
      <c r="BQD1" s="181"/>
      <c r="BQE1" s="181"/>
      <c r="BQF1" s="181"/>
      <c r="BQG1" s="182"/>
      <c r="BQH1" s="183"/>
      <c r="BQI1" s="184"/>
      <c r="BQJ1" s="184"/>
      <c r="BQK1" s="184"/>
      <c r="BQL1" s="184"/>
      <c r="BQM1" s="184"/>
      <c r="BQN1" s="184"/>
      <c r="BQO1" s="184"/>
      <c r="BQP1" s="184"/>
      <c r="BQQ1" s="185"/>
      <c r="BQR1" s="180"/>
      <c r="BQS1" s="181"/>
      <c r="BQT1" s="181"/>
      <c r="BQU1" s="181"/>
      <c r="BQV1" s="181"/>
      <c r="BQW1" s="181"/>
      <c r="BQX1" s="181"/>
      <c r="BQY1" s="181"/>
      <c r="BQZ1" s="181"/>
      <c r="BRA1" s="182"/>
      <c r="BRB1" s="183"/>
      <c r="BRC1" s="184"/>
      <c r="BRD1" s="184"/>
      <c r="BRE1" s="184"/>
      <c r="BRF1" s="184"/>
      <c r="BRG1" s="184"/>
      <c r="BRH1" s="184"/>
      <c r="BRI1" s="184"/>
      <c r="BRJ1" s="184"/>
      <c r="BRK1" s="185"/>
      <c r="BRL1" s="180"/>
      <c r="BRM1" s="181"/>
      <c r="BRN1" s="181"/>
      <c r="BRO1" s="181"/>
      <c r="BRP1" s="181"/>
      <c r="BRQ1" s="181"/>
      <c r="BRR1" s="181"/>
      <c r="BRS1" s="181"/>
      <c r="BRT1" s="181"/>
      <c r="BRU1" s="182"/>
      <c r="BRV1" s="183"/>
      <c r="BRW1" s="184"/>
      <c r="BRX1" s="184"/>
      <c r="BRY1" s="184"/>
      <c r="BRZ1" s="184"/>
      <c r="BSA1" s="184"/>
      <c r="BSB1" s="184"/>
      <c r="BSC1" s="184"/>
      <c r="BSD1" s="184"/>
      <c r="BSE1" s="185"/>
      <c r="BSF1" s="180"/>
      <c r="BSG1" s="181"/>
      <c r="BSH1" s="181"/>
      <c r="BSI1" s="181"/>
      <c r="BSJ1" s="181"/>
      <c r="BSK1" s="181"/>
      <c r="BSL1" s="181"/>
      <c r="BSM1" s="181"/>
      <c r="BSN1" s="181"/>
      <c r="BSO1" s="182"/>
      <c r="BSP1" s="183"/>
      <c r="BSQ1" s="184"/>
      <c r="BSR1" s="184"/>
      <c r="BSS1" s="184"/>
      <c r="BST1" s="184"/>
      <c r="BSU1" s="184"/>
      <c r="BSV1" s="184"/>
      <c r="BSW1" s="184"/>
      <c r="BSX1" s="184"/>
      <c r="BSY1" s="185"/>
      <c r="BSZ1" s="180"/>
      <c r="BTA1" s="181"/>
      <c r="BTB1" s="181"/>
      <c r="BTC1" s="181"/>
      <c r="BTD1" s="181"/>
      <c r="BTE1" s="181"/>
      <c r="BTF1" s="181"/>
      <c r="BTG1" s="181"/>
      <c r="BTH1" s="181"/>
      <c r="BTI1" s="182"/>
      <c r="BTJ1" s="183"/>
      <c r="BTK1" s="184"/>
      <c r="BTL1" s="184"/>
      <c r="BTM1" s="184"/>
      <c r="BTN1" s="184"/>
      <c r="BTO1" s="184"/>
      <c r="BTP1" s="184"/>
      <c r="BTQ1" s="184"/>
      <c r="BTR1" s="184"/>
      <c r="BTS1" s="185"/>
      <c r="BTT1" s="180"/>
      <c r="BTU1" s="181"/>
      <c r="BTV1" s="181"/>
      <c r="BTW1" s="181"/>
      <c r="BTX1" s="181"/>
      <c r="BTY1" s="181"/>
      <c r="BTZ1" s="181"/>
      <c r="BUA1" s="181"/>
      <c r="BUB1" s="181"/>
      <c r="BUC1" s="182"/>
      <c r="BUD1" s="183"/>
      <c r="BUE1" s="184"/>
      <c r="BUF1" s="184"/>
      <c r="BUG1" s="184"/>
      <c r="BUH1" s="184"/>
      <c r="BUI1" s="184"/>
      <c r="BUJ1" s="184"/>
      <c r="BUK1" s="184"/>
      <c r="BUL1" s="184"/>
      <c r="BUM1" s="185"/>
      <c r="BUN1" s="180"/>
      <c r="BUO1" s="181"/>
      <c r="BUP1" s="181"/>
      <c r="BUQ1" s="181"/>
      <c r="BUR1" s="181"/>
      <c r="BUS1" s="181"/>
      <c r="BUT1" s="181"/>
      <c r="BUU1" s="181"/>
      <c r="BUV1" s="181"/>
      <c r="BUW1" s="182"/>
      <c r="BUX1" s="183"/>
      <c r="BUY1" s="184"/>
      <c r="BUZ1" s="184"/>
      <c r="BVA1" s="184"/>
      <c r="BVB1" s="184"/>
      <c r="BVC1" s="184"/>
      <c r="BVD1" s="184"/>
      <c r="BVE1" s="184"/>
      <c r="BVF1" s="184"/>
      <c r="BVG1" s="185"/>
      <c r="BVH1" s="180"/>
      <c r="BVI1" s="181"/>
      <c r="BVJ1" s="181"/>
      <c r="BVK1" s="181"/>
      <c r="BVL1" s="181"/>
      <c r="BVM1" s="181"/>
      <c r="BVN1" s="181"/>
      <c r="BVO1" s="181"/>
      <c r="BVP1" s="181"/>
      <c r="BVQ1" s="182"/>
      <c r="BVR1" s="183"/>
      <c r="BVS1" s="184"/>
      <c r="BVT1" s="184"/>
      <c r="BVU1" s="184"/>
      <c r="BVV1" s="184"/>
      <c r="BVW1" s="184"/>
      <c r="BVX1" s="184"/>
      <c r="BVY1" s="184"/>
      <c r="BVZ1" s="184"/>
      <c r="BWA1" s="185"/>
      <c r="BWB1" s="180"/>
      <c r="BWC1" s="181"/>
      <c r="BWD1" s="181"/>
      <c r="BWE1" s="181"/>
      <c r="BWF1" s="181"/>
      <c r="BWG1" s="181"/>
      <c r="BWH1" s="181"/>
      <c r="BWI1" s="181"/>
      <c r="BWJ1" s="181"/>
      <c r="BWK1" s="182"/>
      <c r="BWL1" s="183"/>
      <c r="BWM1" s="184"/>
      <c r="BWN1" s="184"/>
      <c r="BWO1" s="184"/>
      <c r="BWP1" s="184"/>
      <c r="BWQ1" s="184"/>
      <c r="BWR1" s="184"/>
      <c r="BWS1" s="184"/>
      <c r="BWT1" s="184"/>
      <c r="BWU1" s="185"/>
      <c r="BWV1" s="180"/>
      <c r="BWW1" s="181"/>
      <c r="BWX1" s="181"/>
      <c r="BWY1" s="181"/>
      <c r="BWZ1" s="181"/>
      <c r="BXA1" s="181"/>
      <c r="BXB1" s="181"/>
      <c r="BXC1" s="181"/>
      <c r="BXD1" s="181"/>
      <c r="BXE1" s="182"/>
      <c r="BXF1" s="183"/>
      <c r="BXG1" s="184"/>
      <c r="BXH1" s="184"/>
      <c r="BXI1" s="184"/>
      <c r="BXJ1" s="184"/>
      <c r="BXK1" s="184"/>
      <c r="BXL1" s="184"/>
      <c r="BXM1" s="184"/>
      <c r="BXN1" s="184"/>
      <c r="BXO1" s="185"/>
      <c r="BXP1" s="180"/>
      <c r="BXQ1" s="181"/>
      <c r="BXR1" s="181"/>
      <c r="BXS1" s="181"/>
      <c r="BXT1" s="181"/>
      <c r="BXU1" s="181"/>
      <c r="BXV1" s="181"/>
      <c r="BXW1" s="181"/>
      <c r="BXX1" s="181"/>
      <c r="BXY1" s="182"/>
      <c r="BXZ1" s="183"/>
      <c r="BYA1" s="184"/>
      <c r="BYB1" s="184"/>
      <c r="BYC1" s="184"/>
      <c r="BYD1" s="184"/>
      <c r="BYE1" s="184"/>
      <c r="BYF1" s="184"/>
      <c r="BYG1" s="184"/>
      <c r="BYH1" s="184"/>
      <c r="BYI1" s="185"/>
      <c r="BYJ1" s="180"/>
      <c r="BYK1" s="181"/>
      <c r="BYL1" s="181"/>
      <c r="BYM1" s="181"/>
      <c r="BYN1" s="181"/>
      <c r="BYO1" s="181"/>
      <c r="BYP1" s="181"/>
      <c r="BYQ1" s="181"/>
      <c r="BYR1" s="181"/>
      <c r="BYS1" s="182"/>
      <c r="BYT1" s="183"/>
      <c r="BYU1" s="184"/>
      <c r="BYV1" s="184"/>
      <c r="BYW1" s="184"/>
      <c r="BYX1" s="184"/>
      <c r="BYY1" s="184"/>
      <c r="BYZ1" s="184"/>
      <c r="BZA1" s="184"/>
      <c r="BZB1" s="184"/>
      <c r="BZC1" s="185"/>
      <c r="BZD1" s="180"/>
      <c r="BZE1" s="181"/>
      <c r="BZF1" s="181"/>
      <c r="BZG1" s="181"/>
      <c r="BZH1" s="181"/>
      <c r="BZI1" s="181"/>
      <c r="BZJ1" s="181"/>
      <c r="BZK1" s="181"/>
      <c r="BZL1" s="181"/>
      <c r="BZM1" s="182"/>
      <c r="BZN1" s="183"/>
      <c r="BZO1" s="184"/>
      <c r="BZP1" s="184"/>
      <c r="BZQ1" s="184"/>
      <c r="BZR1" s="184"/>
      <c r="BZS1" s="184"/>
      <c r="BZT1" s="184"/>
      <c r="BZU1" s="184"/>
      <c r="BZV1" s="184"/>
      <c r="BZW1" s="185"/>
      <c r="BZX1" s="180"/>
      <c r="BZY1" s="181"/>
      <c r="BZZ1" s="181"/>
      <c r="CAA1" s="181"/>
      <c r="CAB1" s="181"/>
      <c r="CAC1" s="181"/>
      <c r="CAD1" s="181"/>
      <c r="CAE1" s="181"/>
      <c r="CAF1" s="181"/>
      <c r="CAG1" s="182"/>
      <c r="CAH1" s="183"/>
      <c r="CAI1" s="184"/>
      <c r="CAJ1" s="184"/>
      <c r="CAK1" s="184"/>
      <c r="CAL1" s="184"/>
      <c r="CAM1" s="184"/>
      <c r="CAN1" s="184"/>
      <c r="CAO1" s="184"/>
      <c r="CAP1" s="184"/>
      <c r="CAQ1" s="185"/>
      <c r="CAR1" s="180"/>
      <c r="CAS1" s="181"/>
      <c r="CAT1" s="181"/>
      <c r="CAU1" s="181"/>
      <c r="CAV1" s="181"/>
      <c r="CAW1" s="181"/>
      <c r="CAX1" s="181"/>
      <c r="CAY1" s="181"/>
      <c r="CAZ1" s="181"/>
      <c r="CBA1" s="182"/>
      <c r="CBB1" s="183"/>
      <c r="CBC1" s="184"/>
      <c r="CBD1" s="184"/>
      <c r="CBE1" s="184"/>
      <c r="CBF1" s="184"/>
      <c r="CBG1" s="184"/>
      <c r="CBH1" s="184"/>
      <c r="CBI1" s="184"/>
      <c r="CBJ1" s="184"/>
      <c r="CBK1" s="185"/>
      <c r="CBL1" s="180"/>
      <c r="CBM1" s="181"/>
      <c r="CBN1" s="181"/>
      <c r="CBO1" s="181"/>
      <c r="CBP1" s="181"/>
      <c r="CBQ1" s="181"/>
      <c r="CBR1" s="181"/>
      <c r="CBS1" s="181"/>
      <c r="CBT1" s="181"/>
      <c r="CBU1" s="182"/>
      <c r="CBV1" s="183"/>
      <c r="CBW1" s="184"/>
      <c r="CBX1" s="184"/>
      <c r="CBY1" s="184"/>
      <c r="CBZ1" s="184"/>
      <c r="CCA1" s="184"/>
      <c r="CCB1" s="184"/>
      <c r="CCC1" s="184"/>
      <c r="CCD1" s="184"/>
      <c r="CCE1" s="185"/>
      <c r="CCF1" s="180"/>
      <c r="CCG1" s="181"/>
      <c r="CCH1" s="181"/>
      <c r="CCI1" s="181"/>
      <c r="CCJ1" s="181"/>
      <c r="CCK1" s="181"/>
      <c r="CCL1" s="181"/>
      <c r="CCM1" s="181"/>
      <c r="CCN1" s="181"/>
      <c r="CCO1" s="182"/>
      <c r="CCP1" s="183"/>
      <c r="CCQ1" s="184"/>
      <c r="CCR1" s="184"/>
      <c r="CCS1" s="184"/>
      <c r="CCT1" s="184"/>
      <c r="CCU1" s="184"/>
      <c r="CCV1" s="184"/>
      <c r="CCW1" s="184"/>
      <c r="CCX1" s="184"/>
      <c r="CCY1" s="185"/>
      <c r="CCZ1" s="180"/>
      <c r="CDA1" s="181"/>
      <c r="CDB1" s="181"/>
      <c r="CDC1" s="181"/>
      <c r="CDD1" s="181"/>
      <c r="CDE1" s="181"/>
      <c r="CDF1" s="181"/>
      <c r="CDG1" s="181"/>
      <c r="CDH1" s="181"/>
      <c r="CDI1" s="182"/>
      <c r="CDJ1" s="183"/>
      <c r="CDK1" s="184"/>
      <c r="CDL1" s="184"/>
      <c r="CDM1" s="184"/>
      <c r="CDN1" s="184"/>
      <c r="CDO1" s="184"/>
      <c r="CDP1" s="184"/>
      <c r="CDQ1" s="184"/>
      <c r="CDR1" s="184"/>
      <c r="CDS1" s="185"/>
      <c r="CDT1" s="180"/>
      <c r="CDU1" s="181"/>
      <c r="CDV1" s="181"/>
      <c r="CDW1" s="181"/>
      <c r="CDX1" s="181"/>
      <c r="CDY1" s="181"/>
      <c r="CDZ1" s="181"/>
      <c r="CEA1" s="181"/>
      <c r="CEB1" s="181"/>
      <c r="CEC1" s="182"/>
      <c r="CED1" s="183"/>
      <c r="CEE1" s="184"/>
      <c r="CEF1" s="184"/>
      <c r="CEG1" s="184"/>
      <c r="CEH1" s="184"/>
      <c r="CEI1" s="184"/>
      <c r="CEJ1" s="184"/>
      <c r="CEK1" s="184"/>
      <c r="CEL1" s="184"/>
      <c r="CEM1" s="185"/>
      <c r="CEN1" s="180"/>
      <c r="CEO1" s="181"/>
      <c r="CEP1" s="181"/>
      <c r="CEQ1" s="181"/>
      <c r="CER1" s="181"/>
      <c r="CES1" s="181"/>
      <c r="CET1" s="181"/>
      <c r="CEU1" s="181"/>
      <c r="CEV1" s="181"/>
      <c r="CEW1" s="182"/>
      <c r="CEX1" s="183"/>
      <c r="CEY1" s="184"/>
      <c r="CEZ1" s="184"/>
      <c r="CFA1" s="184"/>
      <c r="CFB1" s="184"/>
      <c r="CFC1" s="184"/>
      <c r="CFD1" s="184"/>
      <c r="CFE1" s="184"/>
      <c r="CFF1" s="184"/>
      <c r="CFG1" s="185"/>
      <c r="CFH1" s="180"/>
      <c r="CFI1" s="181"/>
      <c r="CFJ1" s="181"/>
      <c r="CFK1" s="181"/>
      <c r="CFL1" s="181"/>
      <c r="CFM1" s="181"/>
      <c r="CFN1" s="181"/>
      <c r="CFO1" s="181"/>
      <c r="CFP1" s="181"/>
      <c r="CFQ1" s="182"/>
      <c r="CFR1" s="183"/>
      <c r="CFS1" s="184"/>
      <c r="CFT1" s="184"/>
      <c r="CFU1" s="184"/>
      <c r="CFV1" s="184"/>
      <c r="CFW1" s="184"/>
      <c r="CFX1" s="184"/>
      <c r="CFY1" s="184"/>
      <c r="CFZ1" s="184"/>
      <c r="CGA1" s="185"/>
      <c r="CGB1" s="180"/>
      <c r="CGC1" s="181"/>
      <c r="CGD1" s="181"/>
      <c r="CGE1" s="181"/>
      <c r="CGF1" s="181"/>
      <c r="CGG1" s="181"/>
      <c r="CGH1" s="181"/>
      <c r="CGI1" s="181"/>
      <c r="CGJ1" s="181"/>
      <c r="CGK1" s="182"/>
      <c r="CGL1" s="183"/>
      <c r="CGM1" s="184"/>
      <c r="CGN1" s="184"/>
      <c r="CGO1" s="184"/>
      <c r="CGP1" s="184"/>
      <c r="CGQ1" s="184"/>
      <c r="CGR1" s="184"/>
      <c r="CGS1" s="184"/>
      <c r="CGT1" s="184"/>
      <c r="CGU1" s="185"/>
      <c r="CGV1" s="180"/>
      <c r="CGW1" s="181"/>
      <c r="CGX1" s="181"/>
      <c r="CGY1" s="181"/>
      <c r="CGZ1" s="181"/>
      <c r="CHA1" s="181"/>
      <c r="CHB1" s="181"/>
      <c r="CHC1" s="181"/>
      <c r="CHD1" s="181"/>
      <c r="CHE1" s="182"/>
      <c r="CHF1" s="183"/>
      <c r="CHG1" s="184"/>
      <c r="CHH1" s="184"/>
      <c r="CHI1" s="184"/>
      <c r="CHJ1" s="184"/>
      <c r="CHK1" s="184"/>
      <c r="CHL1" s="184"/>
      <c r="CHM1" s="184"/>
      <c r="CHN1" s="184"/>
      <c r="CHO1" s="185"/>
      <c r="CHP1" s="180"/>
      <c r="CHQ1" s="181"/>
      <c r="CHR1" s="181"/>
      <c r="CHS1" s="181"/>
      <c r="CHT1" s="181"/>
      <c r="CHU1" s="181"/>
      <c r="CHV1" s="181"/>
      <c r="CHW1" s="181"/>
      <c r="CHX1" s="181"/>
      <c r="CHY1" s="182"/>
      <c r="CHZ1" s="183"/>
      <c r="CIA1" s="184"/>
      <c r="CIB1" s="184"/>
      <c r="CIC1" s="184"/>
      <c r="CID1" s="184"/>
      <c r="CIE1" s="184"/>
      <c r="CIF1" s="184"/>
      <c r="CIG1" s="184"/>
      <c r="CIH1" s="184"/>
      <c r="CII1" s="185"/>
      <c r="CIJ1" s="180"/>
      <c r="CIK1" s="181"/>
      <c r="CIL1" s="181"/>
      <c r="CIM1" s="181"/>
      <c r="CIN1" s="181"/>
      <c r="CIO1" s="181"/>
      <c r="CIP1" s="181"/>
      <c r="CIQ1" s="181"/>
      <c r="CIR1" s="181"/>
      <c r="CIS1" s="182"/>
      <c r="CIT1" s="183"/>
      <c r="CIU1" s="184"/>
      <c r="CIV1" s="184"/>
      <c r="CIW1" s="184"/>
      <c r="CIX1" s="184"/>
      <c r="CIY1" s="184"/>
      <c r="CIZ1" s="184"/>
      <c r="CJA1" s="184"/>
      <c r="CJB1" s="184"/>
      <c r="CJC1" s="185"/>
      <c r="CJD1" s="180"/>
      <c r="CJE1" s="181"/>
      <c r="CJF1" s="181"/>
      <c r="CJG1" s="181"/>
      <c r="CJH1" s="181"/>
      <c r="CJI1" s="181"/>
      <c r="CJJ1" s="181"/>
      <c r="CJK1" s="181"/>
      <c r="CJL1" s="181"/>
      <c r="CJM1" s="182"/>
      <c r="CJN1" s="183"/>
      <c r="CJO1" s="184"/>
      <c r="CJP1" s="184"/>
      <c r="CJQ1" s="184"/>
      <c r="CJR1" s="184"/>
      <c r="CJS1" s="184"/>
      <c r="CJT1" s="184"/>
      <c r="CJU1" s="184"/>
      <c r="CJV1" s="184"/>
      <c r="CJW1" s="185"/>
      <c r="CJX1" s="180"/>
      <c r="CJY1" s="181"/>
      <c r="CJZ1" s="181"/>
      <c r="CKA1" s="181"/>
      <c r="CKB1" s="181"/>
      <c r="CKC1" s="181"/>
      <c r="CKD1" s="181"/>
      <c r="CKE1" s="181"/>
      <c r="CKF1" s="181"/>
      <c r="CKG1" s="182"/>
      <c r="CKH1" s="183"/>
      <c r="CKI1" s="184"/>
      <c r="CKJ1" s="184"/>
      <c r="CKK1" s="184"/>
      <c r="CKL1" s="184"/>
      <c r="CKM1" s="184"/>
      <c r="CKN1" s="184"/>
      <c r="CKO1" s="184"/>
      <c r="CKP1" s="184"/>
      <c r="CKQ1" s="185"/>
      <c r="CKR1" s="180"/>
      <c r="CKS1" s="181"/>
      <c r="CKT1" s="181"/>
      <c r="CKU1" s="181"/>
      <c r="CKV1" s="181"/>
      <c r="CKW1" s="181"/>
      <c r="CKX1" s="181"/>
      <c r="CKY1" s="181"/>
      <c r="CKZ1" s="181"/>
      <c r="CLA1" s="182"/>
      <c r="CLB1" s="183"/>
      <c r="CLC1" s="184"/>
      <c r="CLD1" s="184"/>
      <c r="CLE1" s="184"/>
      <c r="CLF1" s="184"/>
      <c r="CLG1" s="184"/>
      <c r="CLH1" s="184"/>
      <c r="CLI1" s="184"/>
      <c r="CLJ1" s="184"/>
      <c r="CLK1" s="185"/>
      <c r="CLL1" s="180"/>
      <c r="CLM1" s="181"/>
      <c r="CLN1" s="181"/>
      <c r="CLO1" s="181"/>
      <c r="CLP1" s="181"/>
      <c r="CLQ1" s="181"/>
      <c r="CLR1" s="181"/>
      <c r="CLS1" s="181"/>
      <c r="CLT1" s="181"/>
      <c r="CLU1" s="182"/>
      <c r="CLV1" s="183"/>
      <c r="CLW1" s="184"/>
      <c r="CLX1" s="184"/>
      <c r="CLY1" s="184"/>
      <c r="CLZ1" s="184"/>
      <c r="CMA1" s="184"/>
      <c r="CMB1" s="184"/>
      <c r="CMC1" s="184"/>
      <c r="CMD1" s="184"/>
      <c r="CME1" s="185"/>
      <c r="CMF1" s="180"/>
      <c r="CMG1" s="181"/>
      <c r="CMH1" s="181"/>
      <c r="CMI1" s="181"/>
      <c r="CMJ1" s="181"/>
      <c r="CMK1" s="181"/>
      <c r="CML1" s="181"/>
      <c r="CMM1" s="181"/>
      <c r="CMN1" s="181"/>
      <c r="CMO1" s="182"/>
      <c r="CMP1" s="183"/>
      <c r="CMQ1" s="184"/>
      <c r="CMR1" s="184"/>
      <c r="CMS1" s="184"/>
      <c r="CMT1" s="184"/>
      <c r="CMU1" s="184"/>
      <c r="CMV1" s="184"/>
      <c r="CMW1" s="184"/>
      <c r="CMX1" s="184"/>
      <c r="CMY1" s="185"/>
      <c r="CMZ1" s="180"/>
      <c r="CNA1" s="181"/>
      <c r="CNB1" s="181"/>
      <c r="CNC1" s="181"/>
      <c r="CND1" s="181"/>
      <c r="CNE1" s="181"/>
      <c r="CNF1" s="181"/>
      <c r="CNG1" s="181"/>
      <c r="CNH1" s="181"/>
      <c r="CNI1" s="182"/>
      <c r="CNJ1" s="183"/>
      <c r="CNK1" s="184"/>
      <c r="CNL1" s="184"/>
      <c r="CNM1" s="184"/>
      <c r="CNN1" s="184"/>
      <c r="CNO1" s="184"/>
      <c r="CNP1" s="184"/>
      <c r="CNQ1" s="184"/>
      <c r="CNR1" s="184"/>
      <c r="CNS1" s="185"/>
      <c r="CNT1" s="180"/>
      <c r="CNU1" s="181"/>
      <c r="CNV1" s="181"/>
      <c r="CNW1" s="181"/>
      <c r="CNX1" s="181"/>
      <c r="CNY1" s="181"/>
      <c r="CNZ1" s="181"/>
      <c r="COA1" s="181"/>
      <c r="COB1" s="181"/>
      <c r="COC1" s="182"/>
      <c r="COD1" s="183"/>
      <c r="COE1" s="184"/>
      <c r="COF1" s="184"/>
      <c r="COG1" s="184"/>
      <c r="COH1" s="184"/>
      <c r="COI1" s="184"/>
      <c r="COJ1" s="184"/>
      <c r="COK1" s="184"/>
      <c r="COL1" s="184"/>
      <c r="COM1" s="185"/>
      <c r="CON1" s="180"/>
      <c r="COO1" s="181"/>
      <c r="COP1" s="181"/>
      <c r="COQ1" s="181"/>
      <c r="COR1" s="181"/>
      <c r="COS1" s="181"/>
      <c r="COT1" s="181"/>
      <c r="COU1" s="181"/>
      <c r="COV1" s="181"/>
      <c r="COW1" s="182"/>
      <c r="COX1" s="183"/>
      <c r="COY1" s="184"/>
      <c r="COZ1" s="184"/>
      <c r="CPA1" s="184"/>
      <c r="CPB1" s="184"/>
      <c r="CPC1" s="184"/>
      <c r="CPD1" s="184"/>
      <c r="CPE1" s="184"/>
      <c r="CPF1" s="184"/>
      <c r="CPG1" s="185"/>
      <c r="CPH1" s="180"/>
      <c r="CPI1" s="181"/>
      <c r="CPJ1" s="181"/>
      <c r="CPK1" s="181"/>
      <c r="CPL1" s="181"/>
      <c r="CPM1" s="181"/>
      <c r="CPN1" s="181"/>
      <c r="CPO1" s="181"/>
      <c r="CPP1" s="181"/>
      <c r="CPQ1" s="182"/>
      <c r="CPR1" s="183"/>
      <c r="CPS1" s="184"/>
      <c r="CPT1" s="184"/>
      <c r="CPU1" s="184"/>
      <c r="CPV1" s="184"/>
      <c r="CPW1" s="184"/>
      <c r="CPX1" s="184"/>
      <c r="CPY1" s="184"/>
      <c r="CPZ1" s="184"/>
      <c r="CQA1" s="185"/>
      <c r="CQB1" s="180"/>
      <c r="CQC1" s="181"/>
      <c r="CQD1" s="181"/>
      <c r="CQE1" s="181"/>
      <c r="CQF1" s="181"/>
      <c r="CQG1" s="181"/>
      <c r="CQH1" s="181"/>
      <c r="CQI1" s="181"/>
      <c r="CQJ1" s="181"/>
      <c r="CQK1" s="182"/>
      <c r="CQL1" s="183"/>
      <c r="CQM1" s="184"/>
      <c r="CQN1" s="184"/>
      <c r="CQO1" s="184"/>
      <c r="CQP1" s="184"/>
      <c r="CQQ1" s="184"/>
      <c r="CQR1" s="184"/>
      <c r="CQS1" s="184"/>
      <c r="CQT1" s="184"/>
      <c r="CQU1" s="185"/>
      <c r="CQV1" s="180"/>
      <c r="CQW1" s="181"/>
      <c r="CQX1" s="181"/>
      <c r="CQY1" s="181"/>
      <c r="CQZ1" s="181"/>
      <c r="CRA1" s="181"/>
      <c r="CRB1" s="181"/>
      <c r="CRC1" s="181"/>
      <c r="CRD1" s="181"/>
      <c r="CRE1" s="182"/>
      <c r="CRF1" s="183"/>
      <c r="CRG1" s="184"/>
      <c r="CRH1" s="184"/>
      <c r="CRI1" s="184"/>
      <c r="CRJ1" s="184"/>
      <c r="CRK1" s="184"/>
      <c r="CRL1" s="184"/>
      <c r="CRM1" s="184"/>
      <c r="CRN1" s="184"/>
      <c r="CRO1" s="185"/>
      <c r="CRP1" s="180"/>
      <c r="CRQ1" s="181"/>
      <c r="CRR1" s="181"/>
      <c r="CRS1" s="181"/>
      <c r="CRT1" s="181"/>
      <c r="CRU1" s="181"/>
      <c r="CRV1" s="181"/>
      <c r="CRW1" s="181"/>
      <c r="CRX1" s="181"/>
      <c r="CRY1" s="182"/>
      <c r="CRZ1" s="183"/>
      <c r="CSA1" s="184"/>
      <c r="CSB1" s="184"/>
      <c r="CSC1" s="184"/>
      <c r="CSD1" s="184"/>
      <c r="CSE1" s="184"/>
      <c r="CSF1" s="184"/>
      <c r="CSG1" s="184"/>
      <c r="CSH1" s="184"/>
      <c r="CSI1" s="185"/>
      <c r="CSJ1" s="180"/>
      <c r="CSK1" s="181"/>
      <c r="CSL1" s="181"/>
      <c r="CSM1" s="181"/>
      <c r="CSN1" s="181"/>
      <c r="CSO1" s="181"/>
      <c r="CSP1" s="181"/>
      <c r="CSQ1" s="181"/>
      <c r="CSR1" s="181"/>
      <c r="CSS1" s="182"/>
      <c r="CST1" s="183"/>
      <c r="CSU1" s="184"/>
      <c r="CSV1" s="184"/>
      <c r="CSW1" s="184"/>
      <c r="CSX1" s="184"/>
      <c r="CSY1" s="184"/>
      <c r="CSZ1" s="184"/>
      <c r="CTA1" s="184"/>
      <c r="CTB1" s="184"/>
      <c r="CTC1" s="185"/>
      <c r="CTD1" s="180"/>
      <c r="CTE1" s="181"/>
      <c r="CTF1" s="181"/>
      <c r="CTG1" s="181"/>
      <c r="CTH1" s="181"/>
      <c r="CTI1" s="181"/>
      <c r="CTJ1" s="181"/>
      <c r="CTK1" s="181"/>
      <c r="CTL1" s="181"/>
      <c r="CTM1" s="182"/>
      <c r="CTN1" s="183"/>
      <c r="CTO1" s="184"/>
      <c r="CTP1" s="184"/>
      <c r="CTQ1" s="184"/>
      <c r="CTR1" s="184"/>
      <c r="CTS1" s="184"/>
      <c r="CTT1" s="184"/>
      <c r="CTU1" s="184"/>
      <c r="CTV1" s="184"/>
      <c r="CTW1" s="185"/>
      <c r="CTX1" s="180"/>
      <c r="CTY1" s="181"/>
      <c r="CTZ1" s="181"/>
      <c r="CUA1" s="181"/>
      <c r="CUB1" s="181"/>
      <c r="CUC1" s="181"/>
      <c r="CUD1" s="181"/>
      <c r="CUE1" s="181"/>
      <c r="CUF1" s="181"/>
      <c r="CUG1" s="182"/>
      <c r="CUH1" s="183"/>
      <c r="CUI1" s="184"/>
      <c r="CUJ1" s="184"/>
      <c r="CUK1" s="184"/>
      <c r="CUL1" s="184"/>
      <c r="CUM1" s="184"/>
      <c r="CUN1" s="184"/>
      <c r="CUO1" s="184"/>
      <c r="CUP1" s="184"/>
      <c r="CUQ1" s="185"/>
      <c r="CUR1" s="180"/>
      <c r="CUS1" s="181"/>
      <c r="CUT1" s="181"/>
      <c r="CUU1" s="181"/>
      <c r="CUV1" s="181"/>
      <c r="CUW1" s="181"/>
      <c r="CUX1" s="181"/>
      <c r="CUY1" s="181"/>
      <c r="CUZ1" s="181"/>
      <c r="CVA1" s="182"/>
      <c r="CVB1" s="183"/>
      <c r="CVC1" s="184"/>
      <c r="CVD1" s="184"/>
      <c r="CVE1" s="184"/>
      <c r="CVF1" s="184"/>
      <c r="CVG1" s="184"/>
      <c r="CVH1" s="184"/>
      <c r="CVI1" s="184"/>
      <c r="CVJ1" s="184"/>
      <c r="CVK1" s="185"/>
      <c r="CVL1" s="180"/>
      <c r="CVM1" s="181"/>
      <c r="CVN1" s="181"/>
      <c r="CVO1" s="181"/>
      <c r="CVP1" s="181"/>
      <c r="CVQ1" s="181"/>
      <c r="CVR1" s="181"/>
      <c r="CVS1" s="181"/>
      <c r="CVT1" s="181"/>
      <c r="CVU1" s="182"/>
      <c r="CVV1" s="183"/>
      <c r="CVW1" s="184"/>
      <c r="CVX1" s="184"/>
      <c r="CVY1" s="184"/>
      <c r="CVZ1" s="184"/>
      <c r="CWA1" s="184"/>
      <c r="CWB1" s="184"/>
      <c r="CWC1" s="184"/>
      <c r="CWD1" s="184"/>
      <c r="CWE1" s="185"/>
      <c r="CWF1" s="180"/>
      <c r="CWG1" s="181"/>
      <c r="CWH1" s="181"/>
      <c r="CWI1" s="181"/>
      <c r="CWJ1" s="181"/>
      <c r="CWK1" s="181"/>
      <c r="CWL1" s="181"/>
      <c r="CWM1" s="181"/>
      <c r="CWN1" s="181"/>
      <c r="CWO1" s="182"/>
      <c r="CWP1" s="183"/>
      <c r="CWQ1" s="184"/>
      <c r="CWR1" s="184"/>
      <c r="CWS1" s="184"/>
      <c r="CWT1" s="184"/>
      <c r="CWU1" s="184"/>
      <c r="CWV1" s="184"/>
      <c r="CWW1" s="184"/>
      <c r="CWX1" s="184"/>
      <c r="CWY1" s="185"/>
      <c r="CWZ1" s="180"/>
      <c r="CXA1" s="181"/>
      <c r="CXB1" s="181"/>
      <c r="CXC1" s="181"/>
      <c r="CXD1" s="181"/>
      <c r="CXE1" s="181"/>
      <c r="CXF1" s="181"/>
      <c r="CXG1" s="181"/>
      <c r="CXH1" s="181"/>
      <c r="CXI1" s="182"/>
      <c r="CXJ1" s="183"/>
      <c r="CXK1" s="184"/>
      <c r="CXL1" s="184"/>
      <c r="CXM1" s="184"/>
      <c r="CXN1" s="184"/>
      <c r="CXO1" s="184"/>
      <c r="CXP1" s="184"/>
      <c r="CXQ1" s="184"/>
      <c r="CXR1" s="184"/>
      <c r="CXS1" s="185"/>
      <c r="CXT1" s="180"/>
      <c r="CXU1" s="181"/>
      <c r="CXV1" s="181"/>
      <c r="CXW1" s="181"/>
      <c r="CXX1" s="181"/>
      <c r="CXY1" s="181"/>
      <c r="CXZ1" s="181"/>
      <c r="CYA1" s="181"/>
      <c r="CYB1" s="181"/>
      <c r="CYC1" s="182"/>
      <c r="CYD1" s="183"/>
      <c r="CYE1" s="184"/>
      <c r="CYF1" s="184"/>
      <c r="CYG1" s="184"/>
      <c r="CYH1" s="184"/>
      <c r="CYI1" s="184"/>
      <c r="CYJ1" s="184"/>
      <c r="CYK1" s="184"/>
      <c r="CYL1" s="184"/>
      <c r="CYM1" s="185"/>
      <c r="CYN1" s="180"/>
      <c r="CYO1" s="181"/>
      <c r="CYP1" s="181"/>
      <c r="CYQ1" s="181"/>
      <c r="CYR1" s="181"/>
      <c r="CYS1" s="181"/>
      <c r="CYT1" s="181"/>
      <c r="CYU1" s="181"/>
      <c r="CYV1" s="181"/>
      <c r="CYW1" s="182"/>
      <c r="CYX1" s="183"/>
      <c r="CYY1" s="184"/>
      <c r="CYZ1" s="184"/>
      <c r="CZA1" s="184"/>
      <c r="CZB1" s="184"/>
      <c r="CZC1" s="184"/>
      <c r="CZD1" s="184"/>
      <c r="CZE1" s="184"/>
      <c r="CZF1" s="184"/>
      <c r="CZG1" s="185"/>
      <c r="CZH1" s="180"/>
      <c r="CZI1" s="181"/>
      <c r="CZJ1" s="181"/>
      <c r="CZK1" s="181"/>
      <c r="CZL1" s="181"/>
      <c r="CZM1" s="181"/>
      <c r="CZN1" s="181"/>
      <c r="CZO1" s="181"/>
      <c r="CZP1" s="181"/>
      <c r="CZQ1" s="182"/>
      <c r="CZR1" s="183"/>
      <c r="CZS1" s="184"/>
      <c r="CZT1" s="184"/>
      <c r="CZU1" s="184"/>
      <c r="CZV1" s="184"/>
      <c r="CZW1" s="184"/>
      <c r="CZX1" s="184"/>
      <c r="CZY1" s="184"/>
      <c r="CZZ1" s="184"/>
      <c r="DAA1" s="185"/>
      <c r="DAB1" s="180"/>
      <c r="DAC1" s="181"/>
      <c r="DAD1" s="181"/>
      <c r="DAE1" s="181"/>
      <c r="DAF1" s="181"/>
      <c r="DAG1" s="181"/>
      <c r="DAH1" s="181"/>
      <c r="DAI1" s="181"/>
      <c r="DAJ1" s="181"/>
      <c r="DAK1" s="182"/>
      <c r="DAL1" s="183"/>
      <c r="DAM1" s="184"/>
      <c r="DAN1" s="184"/>
      <c r="DAO1" s="184"/>
      <c r="DAP1" s="184"/>
      <c r="DAQ1" s="184"/>
      <c r="DAR1" s="184"/>
      <c r="DAS1" s="184"/>
      <c r="DAT1" s="184"/>
      <c r="DAU1" s="185"/>
      <c r="DAV1" s="180"/>
      <c r="DAW1" s="181"/>
      <c r="DAX1" s="181"/>
      <c r="DAY1" s="181"/>
      <c r="DAZ1" s="181"/>
      <c r="DBA1" s="181"/>
      <c r="DBB1" s="181"/>
      <c r="DBC1" s="181"/>
      <c r="DBD1" s="181"/>
      <c r="DBE1" s="182"/>
      <c r="DBF1" s="183"/>
      <c r="DBG1" s="184"/>
      <c r="DBH1" s="184"/>
      <c r="DBI1" s="184"/>
      <c r="DBJ1" s="184"/>
      <c r="DBK1" s="184"/>
      <c r="DBL1" s="184"/>
      <c r="DBM1" s="184"/>
      <c r="DBN1" s="184"/>
      <c r="DBO1" s="185"/>
      <c r="DBP1" s="180"/>
      <c r="DBQ1" s="181"/>
      <c r="DBR1" s="181"/>
      <c r="DBS1" s="181"/>
      <c r="DBT1" s="181"/>
      <c r="DBU1" s="181"/>
      <c r="DBV1" s="181"/>
      <c r="DBW1" s="181"/>
      <c r="DBX1" s="181"/>
      <c r="DBY1" s="182"/>
      <c r="DBZ1" s="183"/>
      <c r="DCA1" s="184"/>
      <c r="DCB1" s="184"/>
      <c r="DCC1" s="184"/>
      <c r="DCD1" s="184"/>
      <c r="DCE1" s="184"/>
      <c r="DCF1" s="184"/>
      <c r="DCG1" s="184"/>
      <c r="DCH1" s="184"/>
      <c r="DCI1" s="185"/>
      <c r="DCJ1" s="180"/>
      <c r="DCK1" s="181"/>
      <c r="DCL1" s="181"/>
      <c r="DCM1" s="181"/>
      <c r="DCN1" s="181"/>
      <c r="DCO1" s="181"/>
      <c r="DCP1" s="181"/>
      <c r="DCQ1" s="181"/>
      <c r="DCR1" s="181"/>
      <c r="DCS1" s="182"/>
      <c r="DCT1" s="183"/>
      <c r="DCU1" s="184"/>
      <c r="DCV1" s="184"/>
      <c r="DCW1" s="184"/>
      <c r="DCX1" s="184"/>
      <c r="DCY1" s="184"/>
      <c r="DCZ1" s="184"/>
      <c r="DDA1" s="184"/>
      <c r="DDB1" s="184"/>
      <c r="DDC1" s="185"/>
      <c r="DDD1" s="180"/>
      <c r="DDE1" s="181"/>
      <c r="DDF1" s="181"/>
      <c r="DDG1" s="181"/>
      <c r="DDH1" s="181"/>
      <c r="DDI1" s="181"/>
      <c r="DDJ1" s="181"/>
      <c r="DDK1" s="181"/>
      <c r="DDL1" s="181"/>
      <c r="DDM1" s="182"/>
      <c r="DDN1" s="183"/>
      <c r="DDO1" s="184"/>
      <c r="DDP1" s="184"/>
      <c r="DDQ1" s="184"/>
      <c r="DDR1" s="184"/>
      <c r="DDS1" s="184"/>
      <c r="DDT1" s="184"/>
      <c r="DDU1" s="184"/>
      <c r="DDV1" s="184"/>
      <c r="DDW1" s="185"/>
      <c r="DDX1" s="180"/>
      <c r="DDY1" s="181"/>
      <c r="DDZ1" s="181"/>
      <c r="DEA1" s="181"/>
      <c r="DEB1" s="181"/>
      <c r="DEC1" s="181"/>
      <c r="DED1" s="181"/>
      <c r="DEE1" s="181"/>
      <c r="DEF1" s="181"/>
      <c r="DEG1" s="182"/>
      <c r="DEH1" s="183"/>
      <c r="DEI1" s="184"/>
      <c r="DEJ1" s="184"/>
      <c r="DEK1" s="184"/>
      <c r="DEL1" s="184"/>
      <c r="DEM1" s="184"/>
      <c r="DEN1" s="184"/>
      <c r="DEO1" s="184"/>
      <c r="DEP1" s="184"/>
      <c r="DEQ1" s="185"/>
      <c r="DER1" s="180"/>
      <c r="DES1" s="181"/>
      <c r="DET1" s="181"/>
      <c r="DEU1" s="181"/>
      <c r="DEV1" s="181"/>
      <c r="DEW1" s="181"/>
      <c r="DEX1" s="181"/>
      <c r="DEY1" s="181"/>
      <c r="DEZ1" s="181"/>
      <c r="DFA1" s="182"/>
      <c r="DFB1" s="183"/>
      <c r="DFC1" s="184"/>
      <c r="DFD1" s="184"/>
      <c r="DFE1" s="184"/>
      <c r="DFF1" s="184"/>
      <c r="DFG1" s="184"/>
      <c r="DFH1" s="184"/>
      <c r="DFI1" s="184"/>
      <c r="DFJ1" s="184"/>
      <c r="DFK1" s="185"/>
      <c r="DFL1" s="180"/>
      <c r="DFM1" s="181"/>
      <c r="DFN1" s="181"/>
      <c r="DFO1" s="181"/>
      <c r="DFP1" s="181"/>
      <c r="DFQ1" s="181"/>
      <c r="DFR1" s="181"/>
      <c r="DFS1" s="181"/>
      <c r="DFT1" s="181"/>
      <c r="DFU1" s="182"/>
      <c r="DFV1" s="183"/>
      <c r="DFW1" s="184"/>
      <c r="DFX1" s="184"/>
      <c r="DFY1" s="184"/>
      <c r="DFZ1" s="184"/>
      <c r="DGA1" s="184"/>
      <c r="DGB1" s="184"/>
      <c r="DGC1" s="184"/>
      <c r="DGD1" s="184"/>
      <c r="DGE1" s="185"/>
      <c r="DGF1" s="180"/>
      <c r="DGG1" s="181"/>
      <c r="DGH1" s="181"/>
      <c r="DGI1" s="181"/>
      <c r="DGJ1" s="181"/>
      <c r="DGK1" s="181"/>
      <c r="DGL1" s="181"/>
      <c r="DGM1" s="181"/>
      <c r="DGN1" s="181"/>
      <c r="DGO1" s="182"/>
      <c r="DGP1" s="183"/>
      <c r="DGQ1" s="184"/>
      <c r="DGR1" s="184"/>
      <c r="DGS1" s="184"/>
      <c r="DGT1" s="184"/>
      <c r="DGU1" s="184"/>
      <c r="DGV1" s="184"/>
      <c r="DGW1" s="184"/>
      <c r="DGX1" s="184"/>
      <c r="DGY1" s="185"/>
      <c r="DGZ1" s="180"/>
      <c r="DHA1" s="181"/>
      <c r="DHB1" s="181"/>
      <c r="DHC1" s="181"/>
      <c r="DHD1" s="181"/>
      <c r="DHE1" s="181"/>
      <c r="DHF1" s="181"/>
      <c r="DHG1" s="181"/>
      <c r="DHH1" s="181"/>
      <c r="DHI1" s="182"/>
      <c r="DHJ1" s="183"/>
      <c r="DHK1" s="184"/>
      <c r="DHL1" s="184"/>
      <c r="DHM1" s="184"/>
      <c r="DHN1" s="184"/>
      <c r="DHO1" s="184"/>
      <c r="DHP1" s="184"/>
      <c r="DHQ1" s="184"/>
      <c r="DHR1" s="184"/>
      <c r="DHS1" s="185"/>
      <c r="DHT1" s="180"/>
      <c r="DHU1" s="181"/>
      <c r="DHV1" s="181"/>
      <c r="DHW1" s="181"/>
      <c r="DHX1" s="181"/>
      <c r="DHY1" s="181"/>
      <c r="DHZ1" s="181"/>
      <c r="DIA1" s="181"/>
      <c r="DIB1" s="181"/>
      <c r="DIC1" s="182"/>
      <c r="DID1" s="183"/>
      <c r="DIE1" s="184"/>
      <c r="DIF1" s="184"/>
      <c r="DIG1" s="184"/>
      <c r="DIH1" s="184"/>
      <c r="DII1" s="184"/>
      <c r="DIJ1" s="184"/>
      <c r="DIK1" s="184"/>
      <c r="DIL1" s="184"/>
      <c r="DIM1" s="185"/>
      <c r="DIN1" s="180"/>
      <c r="DIO1" s="181"/>
      <c r="DIP1" s="181"/>
      <c r="DIQ1" s="181"/>
      <c r="DIR1" s="181"/>
      <c r="DIS1" s="181"/>
      <c r="DIT1" s="181"/>
      <c r="DIU1" s="181"/>
      <c r="DIV1" s="181"/>
      <c r="DIW1" s="182"/>
      <c r="DIX1" s="183"/>
      <c r="DIY1" s="184"/>
      <c r="DIZ1" s="184"/>
      <c r="DJA1" s="184"/>
      <c r="DJB1" s="184"/>
      <c r="DJC1" s="184"/>
      <c r="DJD1" s="184"/>
      <c r="DJE1" s="184"/>
      <c r="DJF1" s="184"/>
      <c r="DJG1" s="185"/>
      <c r="DJH1" s="180"/>
      <c r="DJI1" s="181"/>
      <c r="DJJ1" s="181"/>
      <c r="DJK1" s="181"/>
      <c r="DJL1" s="181"/>
      <c r="DJM1" s="181"/>
      <c r="DJN1" s="181"/>
      <c r="DJO1" s="181"/>
      <c r="DJP1" s="181"/>
      <c r="DJQ1" s="182"/>
      <c r="DJR1" s="183"/>
      <c r="DJS1" s="184"/>
      <c r="DJT1" s="184"/>
      <c r="DJU1" s="184"/>
      <c r="DJV1" s="184"/>
      <c r="DJW1" s="184"/>
      <c r="DJX1" s="184"/>
      <c r="DJY1" s="184"/>
      <c r="DJZ1" s="184"/>
      <c r="DKA1" s="185"/>
      <c r="DKB1" s="180"/>
      <c r="DKC1" s="181"/>
      <c r="DKD1" s="181"/>
      <c r="DKE1" s="181"/>
      <c r="DKF1" s="181"/>
      <c r="DKG1" s="181"/>
      <c r="DKH1" s="181"/>
      <c r="DKI1" s="181"/>
      <c r="DKJ1" s="181"/>
      <c r="DKK1" s="182"/>
      <c r="DKL1" s="183"/>
      <c r="DKM1" s="184"/>
      <c r="DKN1" s="184"/>
      <c r="DKO1" s="184"/>
      <c r="DKP1" s="184"/>
      <c r="DKQ1" s="184"/>
      <c r="DKR1" s="184"/>
      <c r="DKS1" s="184"/>
      <c r="DKT1" s="184"/>
      <c r="DKU1" s="185"/>
      <c r="DKV1" s="180"/>
      <c r="DKW1" s="181"/>
      <c r="DKX1" s="181"/>
      <c r="DKY1" s="181"/>
      <c r="DKZ1" s="181"/>
      <c r="DLA1" s="181"/>
      <c r="DLB1" s="181"/>
      <c r="DLC1" s="181"/>
      <c r="DLD1" s="181"/>
      <c r="DLE1" s="182"/>
      <c r="DLF1" s="183"/>
      <c r="DLG1" s="184"/>
      <c r="DLH1" s="184"/>
      <c r="DLI1" s="184"/>
      <c r="DLJ1" s="184"/>
      <c r="DLK1" s="184"/>
      <c r="DLL1" s="184"/>
      <c r="DLM1" s="184"/>
      <c r="DLN1" s="184"/>
      <c r="DLO1" s="185"/>
      <c r="DLP1" s="180"/>
      <c r="DLQ1" s="181"/>
      <c r="DLR1" s="181"/>
      <c r="DLS1" s="181"/>
      <c r="DLT1" s="181"/>
      <c r="DLU1" s="181"/>
      <c r="DLV1" s="181"/>
      <c r="DLW1" s="181"/>
      <c r="DLX1" s="181"/>
      <c r="DLY1" s="182"/>
      <c r="DLZ1" s="183"/>
      <c r="DMA1" s="184"/>
      <c r="DMB1" s="184"/>
      <c r="DMC1" s="184"/>
      <c r="DMD1" s="184"/>
      <c r="DME1" s="184"/>
      <c r="DMF1" s="184"/>
      <c r="DMG1" s="184"/>
      <c r="DMH1" s="184"/>
      <c r="DMI1" s="185"/>
      <c r="DMJ1" s="180"/>
      <c r="DMK1" s="181"/>
      <c r="DML1" s="181"/>
      <c r="DMM1" s="181"/>
      <c r="DMN1" s="181"/>
      <c r="DMO1" s="181"/>
      <c r="DMP1" s="181"/>
      <c r="DMQ1" s="181"/>
      <c r="DMR1" s="181"/>
      <c r="DMS1" s="182"/>
      <c r="DMT1" s="183"/>
      <c r="DMU1" s="184"/>
      <c r="DMV1" s="184"/>
      <c r="DMW1" s="184"/>
      <c r="DMX1" s="184"/>
      <c r="DMY1" s="184"/>
      <c r="DMZ1" s="184"/>
      <c r="DNA1" s="184"/>
      <c r="DNB1" s="184"/>
      <c r="DNC1" s="185"/>
      <c r="DND1" s="180"/>
      <c r="DNE1" s="181"/>
      <c r="DNF1" s="181"/>
      <c r="DNG1" s="181"/>
      <c r="DNH1" s="181"/>
      <c r="DNI1" s="181"/>
      <c r="DNJ1" s="181"/>
      <c r="DNK1" s="181"/>
      <c r="DNL1" s="181"/>
      <c r="DNM1" s="182"/>
      <c r="DNN1" s="183"/>
      <c r="DNO1" s="184"/>
      <c r="DNP1" s="184"/>
      <c r="DNQ1" s="184"/>
      <c r="DNR1" s="184"/>
      <c r="DNS1" s="184"/>
      <c r="DNT1" s="184"/>
      <c r="DNU1" s="184"/>
      <c r="DNV1" s="184"/>
      <c r="DNW1" s="185"/>
      <c r="DNX1" s="180"/>
      <c r="DNY1" s="181"/>
      <c r="DNZ1" s="181"/>
      <c r="DOA1" s="181"/>
      <c r="DOB1" s="181"/>
      <c r="DOC1" s="181"/>
      <c r="DOD1" s="181"/>
      <c r="DOE1" s="181"/>
      <c r="DOF1" s="181"/>
      <c r="DOG1" s="182"/>
      <c r="DOH1" s="183"/>
      <c r="DOI1" s="184"/>
      <c r="DOJ1" s="184"/>
      <c r="DOK1" s="184"/>
      <c r="DOL1" s="184"/>
      <c r="DOM1" s="184"/>
      <c r="DON1" s="184"/>
      <c r="DOO1" s="184"/>
      <c r="DOP1" s="184"/>
      <c r="DOQ1" s="185"/>
      <c r="DOR1" s="180"/>
      <c r="DOS1" s="181"/>
      <c r="DOT1" s="181"/>
      <c r="DOU1" s="181"/>
      <c r="DOV1" s="181"/>
      <c r="DOW1" s="181"/>
      <c r="DOX1" s="181"/>
      <c r="DOY1" s="181"/>
      <c r="DOZ1" s="181"/>
      <c r="DPA1" s="182"/>
      <c r="DPB1" s="183"/>
      <c r="DPC1" s="184"/>
      <c r="DPD1" s="184"/>
      <c r="DPE1" s="184"/>
      <c r="DPF1" s="184"/>
      <c r="DPG1" s="184"/>
      <c r="DPH1" s="184"/>
      <c r="DPI1" s="184"/>
      <c r="DPJ1" s="184"/>
      <c r="DPK1" s="185"/>
      <c r="DPL1" s="180"/>
      <c r="DPM1" s="181"/>
      <c r="DPN1" s="181"/>
      <c r="DPO1" s="181"/>
      <c r="DPP1" s="181"/>
      <c r="DPQ1" s="181"/>
      <c r="DPR1" s="181"/>
      <c r="DPS1" s="181"/>
      <c r="DPT1" s="181"/>
      <c r="DPU1" s="182"/>
      <c r="DPV1" s="183"/>
      <c r="DPW1" s="184"/>
      <c r="DPX1" s="184"/>
      <c r="DPY1" s="184"/>
      <c r="DPZ1" s="184"/>
      <c r="DQA1" s="184"/>
      <c r="DQB1" s="184"/>
      <c r="DQC1" s="184"/>
      <c r="DQD1" s="184"/>
      <c r="DQE1" s="185"/>
      <c r="DQF1" s="180"/>
      <c r="DQG1" s="181"/>
      <c r="DQH1" s="181"/>
      <c r="DQI1" s="181"/>
      <c r="DQJ1" s="181"/>
      <c r="DQK1" s="181"/>
      <c r="DQL1" s="181"/>
      <c r="DQM1" s="181"/>
      <c r="DQN1" s="181"/>
      <c r="DQO1" s="182"/>
      <c r="DQP1" s="183"/>
      <c r="DQQ1" s="184"/>
      <c r="DQR1" s="184"/>
      <c r="DQS1" s="184"/>
      <c r="DQT1" s="184"/>
      <c r="DQU1" s="184"/>
      <c r="DQV1" s="184"/>
      <c r="DQW1" s="184"/>
      <c r="DQX1" s="184"/>
      <c r="DQY1" s="185"/>
      <c r="DQZ1" s="180"/>
      <c r="DRA1" s="181"/>
      <c r="DRB1" s="181"/>
      <c r="DRC1" s="181"/>
      <c r="DRD1" s="181"/>
      <c r="DRE1" s="181"/>
      <c r="DRF1" s="181"/>
      <c r="DRG1" s="181"/>
      <c r="DRH1" s="181"/>
      <c r="DRI1" s="182"/>
      <c r="DRJ1" s="183"/>
      <c r="DRK1" s="184"/>
      <c r="DRL1" s="184"/>
      <c r="DRM1" s="184"/>
      <c r="DRN1" s="184"/>
      <c r="DRO1" s="184"/>
      <c r="DRP1" s="184"/>
      <c r="DRQ1" s="184"/>
      <c r="DRR1" s="184"/>
      <c r="DRS1" s="185"/>
      <c r="DRT1" s="180"/>
      <c r="DRU1" s="181"/>
      <c r="DRV1" s="181"/>
      <c r="DRW1" s="181"/>
      <c r="DRX1" s="181"/>
      <c r="DRY1" s="181"/>
      <c r="DRZ1" s="181"/>
      <c r="DSA1" s="181"/>
      <c r="DSB1" s="181"/>
      <c r="DSC1" s="182"/>
      <c r="DSD1" s="183"/>
      <c r="DSE1" s="184"/>
      <c r="DSF1" s="184"/>
      <c r="DSG1" s="184"/>
      <c r="DSH1" s="184"/>
      <c r="DSI1" s="184"/>
      <c r="DSJ1" s="184"/>
      <c r="DSK1" s="184"/>
      <c r="DSL1" s="184"/>
      <c r="DSM1" s="185"/>
      <c r="DSN1" s="180"/>
      <c r="DSO1" s="181"/>
      <c r="DSP1" s="181"/>
      <c r="DSQ1" s="181"/>
      <c r="DSR1" s="181"/>
      <c r="DSS1" s="181"/>
      <c r="DST1" s="181"/>
      <c r="DSU1" s="181"/>
      <c r="DSV1" s="181"/>
      <c r="DSW1" s="182"/>
      <c r="DSX1" s="183"/>
      <c r="DSY1" s="184"/>
      <c r="DSZ1" s="184"/>
      <c r="DTA1" s="184"/>
      <c r="DTB1" s="184"/>
      <c r="DTC1" s="184"/>
      <c r="DTD1" s="184"/>
      <c r="DTE1" s="184"/>
      <c r="DTF1" s="184"/>
      <c r="DTG1" s="185"/>
      <c r="DTH1" s="180"/>
      <c r="DTI1" s="181"/>
      <c r="DTJ1" s="181"/>
      <c r="DTK1" s="181"/>
      <c r="DTL1" s="181"/>
      <c r="DTM1" s="181"/>
      <c r="DTN1" s="181"/>
      <c r="DTO1" s="181"/>
      <c r="DTP1" s="181"/>
      <c r="DTQ1" s="182"/>
      <c r="DTR1" s="183"/>
      <c r="DTS1" s="184"/>
      <c r="DTT1" s="184"/>
      <c r="DTU1" s="184"/>
      <c r="DTV1" s="184"/>
      <c r="DTW1" s="184"/>
      <c r="DTX1" s="184"/>
      <c r="DTY1" s="184"/>
      <c r="DTZ1" s="184"/>
      <c r="DUA1" s="185"/>
      <c r="DUB1" s="180"/>
      <c r="DUC1" s="181"/>
      <c r="DUD1" s="181"/>
      <c r="DUE1" s="181"/>
      <c r="DUF1" s="181"/>
      <c r="DUG1" s="181"/>
      <c r="DUH1" s="181"/>
      <c r="DUI1" s="181"/>
      <c r="DUJ1" s="181"/>
      <c r="DUK1" s="182"/>
      <c r="DUL1" s="183"/>
      <c r="DUM1" s="184"/>
      <c r="DUN1" s="184"/>
      <c r="DUO1" s="184"/>
      <c r="DUP1" s="184"/>
      <c r="DUQ1" s="184"/>
      <c r="DUR1" s="184"/>
      <c r="DUS1" s="184"/>
      <c r="DUT1" s="184"/>
      <c r="DUU1" s="185"/>
      <c r="DUV1" s="180"/>
      <c r="DUW1" s="181"/>
      <c r="DUX1" s="181"/>
      <c r="DUY1" s="181"/>
      <c r="DUZ1" s="181"/>
      <c r="DVA1" s="181"/>
      <c r="DVB1" s="181"/>
      <c r="DVC1" s="181"/>
      <c r="DVD1" s="181"/>
      <c r="DVE1" s="182"/>
      <c r="DVF1" s="183"/>
      <c r="DVG1" s="184"/>
      <c r="DVH1" s="184"/>
      <c r="DVI1" s="184"/>
      <c r="DVJ1" s="184"/>
      <c r="DVK1" s="184"/>
      <c r="DVL1" s="184"/>
      <c r="DVM1" s="184"/>
      <c r="DVN1" s="184"/>
      <c r="DVO1" s="185"/>
      <c r="DVP1" s="180"/>
      <c r="DVQ1" s="181"/>
      <c r="DVR1" s="181"/>
      <c r="DVS1" s="181"/>
      <c r="DVT1" s="181"/>
      <c r="DVU1" s="181"/>
      <c r="DVV1" s="181"/>
      <c r="DVW1" s="181"/>
      <c r="DVX1" s="181"/>
      <c r="DVY1" s="182"/>
      <c r="DVZ1" s="183"/>
      <c r="DWA1" s="184"/>
      <c r="DWB1" s="184"/>
      <c r="DWC1" s="184"/>
      <c r="DWD1" s="184"/>
      <c r="DWE1" s="184"/>
      <c r="DWF1" s="184"/>
      <c r="DWG1" s="184"/>
      <c r="DWH1" s="184"/>
      <c r="DWI1" s="185"/>
      <c r="DWJ1" s="180"/>
      <c r="DWK1" s="181"/>
      <c r="DWL1" s="181"/>
      <c r="DWM1" s="181"/>
      <c r="DWN1" s="181"/>
      <c r="DWO1" s="181"/>
      <c r="DWP1" s="181"/>
      <c r="DWQ1" s="181"/>
      <c r="DWR1" s="181"/>
      <c r="DWS1" s="182"/>
      <c r="DWT1" s="183"/>
      <c r="DWU1" s="184"/>
      <c r="DWV1" s="184"/>
      <c r="DWW1" s="184"/>
      <c r="DWX1" s="184"/>
      <c r="DWY1" s="184"/>
      <c r="DWZ1" s="184"/>
      <c r="DXA1" s="184"/>
      <c r="DXB1" s="184"/>
      <c r="DXC1" s="185"/>
      <c r="DXD1" s="180"/>
      <c r="DXE1" s="181"/>
      <c r="DXF1" s="181"/>
      <c r="DXG1" s="181"/>
      <c r="DXH1" s="181"/>
      <c r="DXI1" s="181"/>
      <c r="DXJ1" s="181"/>
      <c r="DXK1" s="181"/>
      <c r="DXL1" s="181"/>
      <c r="DXM1" s="182"/>
      <c r="DXN1" s="183"/>
      <c r="DXO1" s="184"/>
      <c r="DXP1" s="184"/>
      <c r="DXQ1" s="184"/>
      <c r="DXR1" s="184"/>
      <c r="DXS1" s="184"/>
      <c r="DXT1" s="184"/>
      <c r="DXU1" s="184"/>
      <c r="DXV1" s="184"/>
      <c r="DXW1" s="185"/>
      <c r="DXX1" s="180"/>
      <c r="DXY1" s="181"/>
      <c r="DXZ1" s="181"/>
      <c r="DYA1" s="181"/>
      <c r="DYB1" s="181"/>
      <c r="DYC1" s="181"/>
      <c r="DYD1" s="181"/>
      <c r="DYE1" s="181"/>
      <c r="DYF1" s="181"/>
      <c r="DYG1" s="182"/>
      <c r="DYH1" s="183"/>
      <c r="DYI1" s="184"/>
      <c r="DYJ1" s="184"/>
      <c r="DYK1" s="184"/>
      <c r="DYL1" s="184"/>
      <c r="DYM1" s="184"/>
      <c r="DYN1" s="184"/>
      <c r="DYO1" s="184"/>
      <c r="DYP1" s="184"/>
      <c r="DYQ1" s="185"/>
      <c r="DYR1" s="180"/>
      <c r="DYS1" s="181"/>
      <c r="DYT1" s="181"/>
      <c r="DYU1" s="181"/>
      <c r="DYV1" s="181"/>
      <c r="DYW1" s="181"/>
      <c r="DYX1" s="181"/>
      <c r="DYY1" s="181"/>
      <c r="DYZ1" s="181"/>
      <c r="DZA1" s="182"/>
      <c r="DZB1" s="183"/>
      <c r="DZC1" s="184"/>
      <c r="DZD1" s="184"/>
      <c r="DZE1" s="184"/>
      <c r="DZF1" s="184"/>
      <c r="DZG1" s="184"/>
      <c r="DZH1" s="184"/>
      <c r="DZI1" s="184"/>
      <c r="DZJ1" s="184"/>
      <c r="DZK1" s="185"/>
      <c r="DZL1" s="180"/>
      <c r="DZM1" s="181"/>
      <c r="DZN1" s="181"/>
      <c r="DZO1" s="181"/>
      <c r="DZP1" s="181"/>
      <c r="DZQ1" s="181"/>
      <c r="DZR1" s="181"/>
      <c r="DZS1" s="181"/>
      <c r="DZT1" s="181"/>
      <c r="DZU1" s="182"/>
      <c r="DZV1" s="183"/>
      <c r="DZW1" s="184"/>
      <c r="DZX1" s="184"/>
      <c r="DZY1" s="184"/>
      <c r="DZZ1" s="184"/>
      <c r="EAA1" s="184"/>
      <c r="EAB1" s="184"/>
      <c r="EAC1" s="184"/>
      <c r="EAD1" s="184"/>
      <c r="EAE1" s="185"/>
      <c r="EAF1" s="180"/>
      <c r="EAG1" s="181"/>
      <c r="EAH1" s="181"/>
      <c r="EAI1" s="181"/>
      <c r="EAJ1" s="181"/>
      <c r="EAK1" s="181"/>
      <c r="EAL1" s="181"/>
      <c r="EAM1" s="181"/>
      <c r="EAN1" s="181"/>
      <c r="EAO1" s="182"/>
      <c r="EAP1" s="183"/>
      <c r="EAQ1" s="184"/>
      <c r="EAR1" s="184"/>
      <c r="EAS1" s="184"/>
      <c r="EAT1" s="184"/>
      <c r="EAU1" s="184"/>
      <c r="EAV1" s="184"/>
      <c r="EAW1" s="184"/>
      <c r="EAX1" s="184"/>
      <c r="EAY1" s="185"/>
      <c r="EAZ1" s="180"/>
      <c r="EBA1" s="181"/>
      <c r="EBB1" s="181"/>
      <c r="EBC1" s="181"/>
      <c r="EBD1" s="181"/>
      <c r="EBE1" s="181"/>
      <c r="EBF1" s="181"/>
      <c r="EBG1" s="181"/>
      <c r="EBH1" s="181"/>
      <c r="EBI1" s="182"/>
      <c r="EBJ1" s="183"/>
      <c r="EBK1" s="184"/>
      <c r="EBL1" s="184"/>
      <c r="EBM1" s="184"/>
      <c r="EBN1" s="184"/>
      <c r="EBO1" s="184"/>
      <c r="EBP1" s="184"/>
      <c r="EBQ1" s="184"/>
      <c r="EBR1" s="184"/>
      <c r="EBS1" s="185"/>
      <c r="EBT1" s="180"/>
      <c r="EBU1" s="181"/>
      <c r="EBV1" s="181"/>
      <c r="EBW1" s="181"/>
      <c r="EBX1" s="181"/>
      <c r="EBY1" s="181"/>
      <c r="EBZ1" s="181"/>
      <c r="ECA1" s="181"/>
      <c r="ECB1" s="181"/>
      <c r="ECC1" s="182"/>
      <c r="ECD1" s="183"/>
      <c r="ECE1" s="184"/>
      <c r="ECF1" s="184"/>
      <c r="ECG1" s="184"/>
      <c r="ECH1" s="184"/>
      <c r="ECI1" s="184"/>
      <c r="ECJ1" s="184"/>
      <c r="ECK1" s="184"/>
      <c r="ECL1" s="184"/>
      <c r="ECM1" s="185"/>
      <c r="ECN1" s="180"/>
      <c r="ECO1" s="181"/>
      <c r="ECP1" s="181"/>
      <c r="ECQ1" s="181"/>
      <c r="ECR1" s="181"/>
      <c r="ECS1" s="181"/>
      <c r="ECT1" s="181"/>
      <c r="ECU1" s="181"/>
      <c r="ECV1" s="181"/>
      <c r="ECW1" s="182"/>
      <c r="ECX1" s="183"/>
      <c r="ECY1" s="184"/>
      <c r="ECZ1" s="184"/>
      <c r="EDA1" s="184"/>
      <c r="EDB1" s="184"/>
      <c r="EDC1" s="184"/>
      <c r="EDD1" s="184"/>
      <c r="EDE1" s="184"/>
      <c r="EDF1" s="184"/>
      <c r="EDG1" s="185"/>
      <c r="EDH1" s="180"/>
      <c r="EDI1" s="181"/>
      <c r="EDJ1" s="181"/>
      <c r="EDK1" s="181"/>
      <c r="EDL1" s="181"/>
      <c r="EDM1" s="181"/>
      <c r="EDN1" s="181"/>
      <c r="EDO1" s="181"/>
      <c r="EDP1" s="181"/>
      <c r="EDQ1" s="182"/>
      <c r="EDR1" s="183"/>
      <c r="EDS1" s="184"/>
      <c r="EDT1" s="184"/>
      <c r="EDU1" s="184"/>
      <c r="EDV1" s="184"/>
      <c r="EDW1" s="184"/>
      <c r="EDX1" s="184"/>
      <c r="EDY1" s="184"/>
      <c r="EDZ1" s="184"/>
      <c r="EEA1" s="185"/>
      <c r="EEB1" s="180"/>
      <c r="EEC1" s="181"/>
      <c r="EED1" s="181"/>
      <c r="EEE1" s="181"/>
      <c r="EEF1" s="181"/>
      <c r="EEG1" s="181"/>
      <c r="EEH1" s="181"/>
      <c r="EEI1" s="181"/>
      <c r="EEJ1" s="181"/>
      <c r="EEK1" s="182"/>
      <c r="EEL1" s="183"/>
      <c r="EEM1" s="184"/>
      <c r="EEN1" s="184"/>
      <c r="EEO1" s="184"/>
      <c r="EEP1" s="184"/>
      <c r="EEQ1" s="184"/>
      <c r="EER1" s="184"/>
      <c r="EES1" s="184"/>
      <c r="EET1" s="184"/>
      <c r="EEU1" s="185"/>
      <c r="EEV1" s="180"/>
      <c r="EEW1" s="181"/>
      <c r="EEX1" s="181"/>
      <c r="EEY1" s="181"/>
      <c r="EEZ1" s="181"/>
      <c r="EFA1" s="181"/>
      <c r="EFB1" s="181"/>
      <c r="EFC1" s="181"/>
      <c r="EFD1" s="181"/>
      <c r="EFE1" s="182"/>
      <c r="EFF1" s="183"/>
      <c r="EFG1" s="184"/>
      <c r="EFH1" s="184"/>
      <c r="EFI1" s="184"/>
      <c r="EFJ1" s="184"/>
      <c r="EFK1" s="184"/>
      <c r="EFL1" s="184"/>
      <c r="EFM1" s="184"/>
      <c r="EFN1" s="184"/>
      <c r="EFO1" s="185"/>
      <c r="EFP1" s="180"/>
      <c r="EFQ1" s="181"/>
      <c r="EFR1" s="181"/>
      <c r="EFS1" s="181"/>
      <c r="EFT1" s="181"/>
      <c r="EFU1" s="181"/>
      <c r="EFV1" s="181"/>
      <c r="EFW1" s="181"/>
      <c r="EFX1" s="181"/>
      <c r="EFY1" s="182"/>
      <c r="EFZ1" s="183"/>
      <c r="EGA1" s="184"/>
      <c r="EGB1" s="184"/>
      <c r="EGC1" s="184"/>
      <c r="EGD1" s="184"/>
      <c r="EGE1" s="184"/>
      <c r="EGF1" s="184"/>
      <c r="EGG1" s="184"/>
      <c r="EGH1" s="184"/>
      <c r="EGI1" s="185"/>
      <c r="EGJ1" s="180"/>
      <c r="EGK1" s="181"/>
      <c r="EGL1" s="181"/>
      <c r="EGM1" s="181"/>
      <c r="EGN1" s="181"/>
      <c r="EGO1" s="181"/>
      <c r="EGP1" s="181"/>
      <c r="EGQ1" s="181"/>
      <c r="EGR1" s="181"/>
      <c r="EGS1" s="182"/>
      <c r="EGT1" s="183"/>
      <c r="EGU1" s="184"/>
      <c r="EGV1" s="184"/>
      <c r="EGW1" s="184"/>
      <c r="EGX1" s="184"/>
      <c r="EGY1" s="184"/>
      <c r="EGZ1" s="184"/>
      <c r="EHA1" s="184"/>
      <c r="EHB1" s="184"/>
      <c r="EHC1" s="185"/>
      <c r="EHD1" s="180"/>
      <c r="EHE1" s="181"/>
      <c r="EHF1" s="181"/>
      <c r="EHG1" s="181"/>
      <c r="EHH1" s="181"/>
      <c r="EHI1" s="181"/>
      <c r="EHJ1" s="181"/>
      <c r="EHK1" s="181"/>
      <c r="EHL1" s="181"/>
      <c r="EHM1" s="182"/>
      <c r="EHN1" s="183"/>
      <c r="EHO1" s="184"/>
      <c r="EHP1" s="184"/>
      <c r="EHQ1" s="184"/>
      <c r="EHR1" s="184"/>
      <c r="EHS1" s="184"/>
      <c r="EHT1" s="184"/>
      <c r="EHU1" s="184"/>
      <c r="EHV1" s="184"/>
      <c r="EHW1" s="185"/>
      <c r="EHX1" s="180"/>
      <c r="EHY1" s="181"/>
      <c r="EHZ1" s="181"/>
      <c r="EIA1" s="181"/>
      <c r="EIB1" s="181"/>
      <c r="EIC1" s="181"/>
      <c r="EID1" s="181"/>
      <c r="EIE1" s="181"/>
      <c r="EIF1" s="181"/>
      <c r="EIG1" s="182"/>
      <c r="EIH1" s="183"/>
      <c r="EII1" s="184"/>
      <c r="EIJ1" s="184"/>
      <c r="EIK1" s="184"/>
      <c r="EIL1" s="184"/>
      <c r="EIM1" s="184"/>
      <c r="EIN1" s="184"/>
      <c r="EIO1" s="184"/>
      <c r="EIP1" s="184"/>
      <c r="EIQ1" s="185"/>
      <c r="EIR1" s="180"/>
      <c r="EIS1" s="181"/>
      <c r="EIT1" s="181"/>
      <c r="EIU1" s="181"/>
      <c r="EIV1" s="181"/>
      <c r="EIW1" s="181"/>
      <c r="EIX1" s="181"/>
      <c r="EIY1" s="181"/>
      <c r="EIZ1" s="181"/>
      <c r="EJA1" s="182"/>
      <c r="EJB1" s="183"/>
      <c r="EJC1" s="184"/>
      <c r="EJD1" s="184"/>
      <c r="EJE1" s="184"/>
      <c r="EJF1" s="184"/>
      <c r="EJG1" s="184"/>
      <c r="EJH1" s="184"/>
      <c r="EJI1" s="184"/>
      <c r="EJJ1" s="184"/>
      <c r="EJK1" s="185"/>
      <c r="EJL1" s="180"/>
      <c r="EJM1" s="181"/>
      <c r="EJN1" s="181"/>
      <c r="EJO1" s="181"/>
      <c r="EJP1" s="181"/>
      <c r="EJQ1" s="181"/>
      <c r="EJR1" s="181"/>
      <c r="EJS1" s="181"/>
      <c r="EJT1" s="181"/>
      <c r="EJU1" s="182"/>
      <c r="EJV1" s="183"/>
      <c r="EJW1" s="184"/>
      <c r="EJX1" s="184"/>
      <c r="EJY1" s="184"/>
      <c r="EJZ1" s="184"/>
      <c r="EKA1" s="184"/>
      <c r="EKB1" s="184"/>
      <c r="EKC1" s="184"/>
      <c r="EKD1" s="184"/>
      <c r="EKE1" s="185"/>
      <c r="EKF1" s="180"/>
      <c r="EKG1" s="181"/>
      <c r="EKH1" s="181"/>
      <c r="EKI1" s="181"/>
      <c r="EKJ1" s="181"/>
      <c r="EKK1" s="181"/>
      <c r="EKL1" s="181"/>
      <c r="EKM1" s="181"/>
      <c r="EKN1" s="181"/>
      <c r="EKO1" s="182"/>
      <c r="EKP1" s="183"/>
      <c r="EKQ1" s="184"/>
      <c r="EKR1" s="184"/>
      <c r="EKS1" s="184"/>
      <c r="EKT1" s="184"/>
      <c r="EKU1" s="184"/>
      <c r="EKV1" s="184"/>
      <c r="EKW1" s="184"/>
      <c r="EKX1" s="184"/>
      <c r="EKY1" s="185"/>
      <c r="EKZ1" s="180"/>
      <c r="ELA1" s="181"/>
      <c r="ELB1" s="181"/>
      <c r="ELC1" s="181"/>
      <c r="ELD1" s="181"/>
      <c r="ELE1" s="181"/>
      <c r="ELF1" s="181"/>
      <c r="ELG1" s="181"/>
      <c r="ELH1" s="181"/>
      <c r="ELI1" s="182"/>
      <c r="ELJ1" s="183"/>
      <c r="ELK1" s="184"/>
      <c r="ELL1" s="184"/>
      <c r="ELM1" s="184"/>
      <c r="ELN1" s="184"/>
      <c r="ELO1" s="184"/>
      <c r="ELP1" s="184"/>
      <c r="ELQ1" s="184"/>
      <c r="ELR1" s="184"/>
      <c r="ELS1" s="185"/>
      <c r="ELT1" s="180"/>
      <c r="ELU1" s="181"/>
      <c r="ELV1" s="181"/>
      <c r="ELW1" s="181"/>
      <c r="ELX1" s="181"/>
      <c r="ELY1" s="181"/>
      <c r="ELZ1" s="181"/>
      <c r="EMA1" s="181"/>
      <c r="EMB1" s="181"/>
      <c r="EMC1" s="182"/>
      <c r="EMD1" s="183"/>
      <c r="EME1" s="184"/>
      <c r="EMF1" s="184"/>
      <c r="EMG1" s="184"/>
      <c r="EMH1" s="184"/>
      <c r="EMI1" s="184"/>
      <c r="EMJ1" s="184"/>
      <c r="EMK1" s="184"/>
      <c r="EML1" s="184"/>
      <c r="EMM1" s="185"/>
      <c r="EMN1" s="180"/>
      <c r="EMO1" s="181"/>
      <c r="EMP1" s="181"/>
      <c r="EMQ1" s="181"/>
      <c r="EMR1" s="181"/>
      <c r="EMS1" s="181"/>
      <c r="EMT1" s="181"/>
      <c r="EMU1" s="181"/>
      <c r="EMV1" s="181"/>
      <c r="EMW1" s="182"/>
      <c r="EMX1" s="183"/>
      <c r="EMY1" s="184"/>
      <c r="EMZ1" s="184"/>
      <c r="ENA1" s="184"/>
      <c r="ENB1" s="184"/>
      <c r="ENC1" s="184"/>
      <c r="END1" s="184"/>
      <c r="ENE1" s="184"/>
      <c r="ENF1" s="184"/>
      <c r="ENG1" s="185"/>
      <c r="ENH1" s="180"/>
      <c r="ENI1" s="181"/>
      <c r="ENJ1" s="181"/>
      <c r="ENK1" s="181"/>
      <c r="ENL1" s="181"/>
      <c r="ENM1" s="181"/>
      <c r="ENN1" s="181"/>
      <c r="ENO1" s="181"/>
      <c r="ENP1" s="181"/>
      <c r="ENQ1" s="182"/>
      <c r="ENR1" s="183"/>
      <c r="ENS1" s="184"/>
      <c r="ENT1" s="184"/>
      <c r="ENU1" s="184"/>
      <c r="ENV1" s="184"/>
      <c r="ENW1" s="184"/>
      <c r="ENX1" s="184"/>
      <c r="ENY1" s="184"/>
      <c r="ENZ1" s="184"/>
      <c r="EOA1" s="185"/>
      <c r="EOB1" s="180"/>
      <c r="EOC1" s="181"/>
      <c r="EOD1" s="181"/>
      <c r="EOE1" s="181"/>
      <c r="EOF1" s="181"/>
      <c r="EOG1" s="181"/>
      <c r="EOH1" s="181"/>
      <c r="EOI1" s="181"/>
      <c r="EOJ1" s="181"/>
      <c r="EOK1" s="182"/>
      <c r="EOL1" s="183"/>
      <c r="EOM1" s="184"/>
      <c r="EON1" s="184"/>
      <c r="EOO1" s="184"/>
      <c r="EOP1" s="184"/>
      <c r="EOQ1" s="184"/>
      <c r="EOR1" s="184"/>
      <c r="EOS1" s="184"/>
      <c r="EOT1" s="184"/>
      <c r="EOU1" s="185"/>
      <c r="EOV1" s="180"/>
      <c r="EOW1" s="181"/>
      <c r="EOX1" s="181"/>
      <c r="EOY1" s="181"/>
      <c r="EOZ1" s="181"/>
      <c r="EPA1" s="181"/>
      <c r="EPB1" s="181"/>
      <c r="EPC1" s="181"/>
      <c r="EPD1" s="181"/>
      <c r="EPE1" s="182"/>
      <c r="EPF1" s="183"/>
      <c r="EPG1" s="184"/>
      <c r="EPH1" s="184"/>
      <c r="EPI1" s="184"/>
      <c r="EPJ1" s="184"/>
      <c r="EPK1" s="184"/>
      <c r="EPL1" s="184"/>
      <c r="EPM1" s="184"/>
      <c r="EPN1" s="184"/>
      <c r="EPO1" s="185"/>
      <c r="EPP1" s="180"/>
      <c r="EPQ1" s="181"/>
      <c r="EPR1" s="181"/>
      <c r="EPS1" s="181"/>
      <c r="EPT1" s="181"/>
      <c r="EPU1" s="181"/>
      <c r="EPV1" s="181"/>
      <c r="EPW1" s="181"/>
      <c r="EPX1" s="181"/>
      <c r="EPY1" s="182"/>
      <c r="EPZ1" s="183"/>
      <c r="EQA1" s="184"/>
      <c r="EQB1" s="184"/>
      <c r="EQC1" s="184"/>
      <c r="EQD1" s="184"/>
      <c r="EQE1" s="184"/>
      <c r="EQF1" s="184"/>
      <c r="EQG1" s="184"/>
      <c r="EQH1" s="184"/>
      <c r="EQI1" s="185"/>
      <c r="EQJ1" s="180"/>
      <c r="EQK1" s="181"/>
      <c r="EQL1" s="181"/>
      <c r="EQM1" s="181"/>
      <c r="EQN1" s="181"/>
      <c r="EQO1" s="181"/>
      <c r="EQP1" s="181"/>
      <c r="EQQ1" s="181"/>
      <c r="EQR1" s="181"/>
      <c r="EQS1" s="182"/>
      <c r="EQT1" s="183"/>
      <c r="EQU1" s="184"/>
      <c r="EQV1" s="184"/>
      <c r="EQW1" s="184"/>
      <c r="EQX1" s="184"/>
      <c r="EQY1" s="184"/>
      <c r="EQZ1" s="184"/>
      <c r="ERA1" s="184"/>
      <c r="ERB1" s="184"/>
      <c r="ERC1" s="185"/>
      <c r="ERD1" s="180"/>
      <c r="ERE1" s="181"/>
      <c r="ERF1" s="181"/>
      <c r="ERG1" s="181"/>
      <c r="ERH1" s="181"/>
      <c r="ERI1" s="181"/>
      <c r="ERJ1" s="181"/>
      <c r="ERK1" s="181"/>
      <c r="ERL1" s="181"/>
      <c r="ERM1" s="182"/>
      <c r="ERN1" s="183"/>
      <c r="ERO1" s="184"/>
      <c r="ERP1" s="184"/>
      <c r="ERQ1" s="184"/>
      <c r="ERR1" s="184"/>
      <c r="ERS1" s="184"/>
      <c r="ERT1" s="184"/>
      <c r="ERU1" s="184"/>
      <c r="ERV1" s="184"/>
      <c r="ERW1" s="185"/>
      <c r="ERX1" s="180"/>
      <c r="ERY1" s="181"/>
      <c r="ERZ1" s="181"/>
      <c r="ESA1" s="181"/>
      <c r="ESB1" s="181"/>
      <c r="ESC1" s="181"/>
      <c r="ESD1" s="181"/>
      <c r="ESE1" s="181"/>
      <c r="ESF1" s="181"/>
      <c r="ESG1" s="182"/>
      <c r="ESH1" s="183"/>
      <c r="ESI1" s="184"/>
      <c r="ESJ1" s="184"/>
      <c r="ESK1" s="184"/>
      <c r="ESL1" s="184"/>
      <c r="ESM1" s="184"/>
      <c r="ESN1" s="184"/>
      <c r="ESO1" s="184"/>
      <c r="ESP1" s="184"/>
      <c r="ESQ1" s="185"/>
      <c r="ESR1" s="180"/>
      <c r="ESS1" s="181"/>
      <c r="EST1" s="181"/>
      <c r="ESU1" s="181"/>
      <c r="ESV1" s="181"/>
      <c r="ESW1" s="181"/>
      <c r="ESX1" s="181"/>
      <c r="ESY1" s="181"/>
      <c r="ESZ1" s="181"/>
      <c r="ETA1" s="182"/>
      <c r="ETB1" s="183"/>
      <c r="ETC1" s="184"/>
      <c r="ETD1" s="184"/>
      <c r="ETE1" s="184"/>
      <c r="ETF1" s="184"/>
      <c r="ETG1" s="184"/>
      <c r="ETH1" s="184"/>
      <c r="ETI1" s="184"/>
      <c r="ETJ1" s="184"/>
      <c r="ETK1" s="185"/>
      <c r="ETL1" s="180"/>
      <c r="ETM1" s="181"/>
      <c r="ETN1" s="181"/>
      <c r="ETO1" s="181"/>
      <c r="ETP1" s="181"/>
      <c r="ETQ1" s="181"/>
      <c r="ETR1" s="181"/>
      <c r="ETS1" s="181"/>
      <c r="ETT1" s="181"/>
      <c r="ETU1" s="182"/>
      <c r="ETV1" s="183"/>
      <c r="ETW1" s="184"/>
      <c r="ETX1" s="184"/>
      <c r="ETY1" s="184"/>
      <c r="ETZ1" s="184"/>
      <c r="EUA1" s="184"/>
      <c r="EUB1" s="184"/>
      <c r="EUC1" s="184"/>
      <c r="EUD1" s="184"/>
      <c r="EUE1" s="185"/>
      <c r="EUF1" s="180"/>
      <c r="EUG1" s="181"/>
      <c r="EUH1" s="181"/>
      <c r="EUI1" s="181"/>
      <c r="EUJ1" s="181"/>
      <c r="EUK1" s="181"/>
      <c r="EUL1" s="181"/>
      <c r="EUM1" s="181"/>
      <c r="EUN1" s="181"/>
      <c r="EUO1" s="182"/>
      <c r="EUP1" s="183"/>
      <c r="EUQ1" s="184"/>
      <c r="EUR1" s="184"/>
      <c r="EUS1" s="184"/>
      <c r="EUT1" s="184"/>
      <c r="EUU1" s="184"/>
      <c r="EUV1" s="184"/>
      <c r="EUW1" s="184"/>
      <c r="EUX1" s="184"/>
      <c r="EUY1" s="185"/>
      <c r="EUZ1" s="180"/>
      <c r="EVA1" s="181"/>
      <c r="EVB1" s="181"/>
      <c r="EVC1" s="181"/>
      <c r="EVD1" s="181"/>
      <c r="EVE1" s="181"/>
      <c r="EVF1" s="181"/>
      <c r="EVG1" s="181"/>
      <c r="EVH1" s="181"/>
      <c r="EVI1" s="182"/>
      <c r="EVJ1" s="183"/>
      <c r="EVK1" s="184"/>
      <c r="EVL1" s="184"/>
      <c r="EVM1" s="184"/>
      <c r="EVN1" s="184"/>
      <c r="EVO1" s="184"/>
      <c r="EVP1" s="184"/>
      <c r="EVQ1" s="184"/>
      <c r="EVR1" s="184"/>
      <c r="EVS1" s="185"/>
      <c r="EVT1" s="180"/>
      <c r="EVU1" s="181"/>
      <c r="EVV1" s="181"/>
      <c r="EVW1" s="181"/>
      <c r="EVX1" s="181"/>
      <c r="EVY1" s="181"/>
      <c r="EVZ1" s="181"/>
      <c r="EWA1" s="181"/>
      <c r="EWB1" s="181"/>
      <c r="EWC1" s="182"/>
      <c r="EWD1" s="183"/>
      <c r="EWE1" s="184"/>
      <c r="EWF1" s="184"/>
      <c r="EWG1" s="184"/>
      <c r="EWH1" s="184"/>
      <c r="EWI1" s="184"/>
      <c r="EWJ1" s="184"/>
      <c r="EWK1" s="184"/>
      <c r="EWL1" s="184"/>
      <c r="EWM1" s="185"/>
      <c r="EWN1" s="180"/>
      <c r="EWO1" s="181"/>
      <c r="EWP1" s="181"/>
      <c r="EWQ1" s="181"/>
      <c r="EWR1" s="181"/>
      <c r="EWS1" s="181"/>
      <c r="EWT1" s="181"/>
      <c r="EWU1" s="181"/>
      <c r="EWV1" s="181"/>
      <c r="EWW1" s="182"/>
      <c r="EWX1" s="183"/>
      <c r="EWY1" s="184"/>
      <c r="EWZ1" s="184"/>
      <c r="EXA1" s="184"/>
      <c r="EXB1" s="184"/>
      <c r="EXC1" s="184"/>
      <c r="EXD1" s="184"/>
      <c r="EXE1" s="184"/>
      <c r="EXF1" s="184"/>
      <c r="EXG1" s="185"/>
      <c r="EXH1" s="180"/>
      <c r="EXI1" s="181"/>
      <c r="EXJ1" s="181"/>
      <c r="EXK1" s="181"/>
      <c r="EXL1" s="181"/>
      <c r="EXM1" s="181"/>
      <c r="EXN1" s="181"/>
      <c r="EXO1" s="181"/>
      <c r="EXP1" s="181"/>
      <c r="EXQ1" s="182"/>
      <c r="EXR1" s="183"/>
      <c r="EXS1" s="184"/>
      <c r="EXT1" s="184"/>
      <c r="EXU1" s="184"/>
      <c r="EXV1" s="184"/>
      <c r="EXW1" s="184"/>
      <c r="EXX1" s="184"/>
      <c r="EXY1" s="184"/>
      <c r="EXZ1" s="184"/>
      <c r="EYA1" s="185"/>
      <c r="EYB1" s="180"/>
      <c r="EYC1" s="181"/>
      <c r="EYD1" s="181"/>
      <c r="EYE1" s="181"/>
      <c r="EYF1" s="181"/>
      <c r="EYG1" s="181"/>
      <c r="EYH1" s="181"/>
      <c r="EYI1" s="181"/>
      <c r="EYJ1" s="181"/>
      <c r="EYK1" s="182"/>
      <c r="EYL1" s="183"/>
      <c r="EYM1" s="184"/>
      <c r="EYN1" s="184"/>
      <c r="EYO1" s="184"/>
      <c r="EYP1" s="184"/>
      <c r="EYQ1" s="184"/>
      <c r="EYR1" s="184"/>
      <c r="EYS1" s="184"/>
      <c r="EYT1" s="184"/>
      <c r="EYU1" s="185"/>
      <c r="EYV1" s="180"/>
      <c r="EYW1" s="181"/>
      <c r="EYX1" s="181"/>
      <c r="EYY1" s="181"/>
      <c r="EYZ1" s="181"/>
      <c r="EZA1" s="181"/>
      <c r="EZB1" s="181"/>
      <c r="EZC1" s="181"/>
      <c r="EZD1" s="181"/>
      <c r="EZE1" s="182"/>
      <c r="EZF1" s="183"/>
      <c r="EZG1" s="184"/>
      <c r="EZH1" s="184"/>
      <c r="EZI1" s="184"/>
      <c r="EZJ1" s="184"/>
      <c r="EZK1" s="184"/>
      <c r="EZL1" s="184"/>
      <c r="EZM1" s="184"/>
      <c r="EZN1" s="184"/>
      <c r="EZO1" s="185"/>
      <c r="EZP1" s="180"/>
      <c r="EZQ1" s="181"/>
      <c r="EZR1" s="181"/>
      <c r="EZS1" s="181"/>
      <c r="EZT1" s="181"/>
      <c r="EZU1" s="181"/>
      <c r="EZV1" s="181"/>
      <c r="EZW1" s="181"/>
      <c r="EZX1" s="181"/>
      <c r="EZY1" s="182"/>
      <c r="EZZ1" s="183"/>
      <c r="FAA1" s="184"/>
      <c r="FAB1" s="184"/>
      <c r="FAC1" s="184"/>
      <c r="FAD1" s="184"/>
      <c r="FAE1" s="184"/>
      <c r="FAF1" s="184"/>
      <c r="FAG1" s="184"/>
      <c r="FAH1" s="184"/>
      <c r="FAI1" s="185"/>
      <c r="FAJ1" s="180"/>
      <c r="FAK1" s="181"/>
      <c r="FAL1" s="181"/>
      <c r="FAM1" s="181"/>
      <c r="FAN1" s="181"/>
      <c r="FAO1" s="181"/>
      <c r="FAP1" s="181"/>
      <c r="FAQ1" s="181"/>
      <c r="FAR1" s="181"/>
      <c r="FAS1" s="182"/>
      <c r="FAT1" s="183"/>
      <c r="FAU1" s="184"/>
      <c r="FAV1" s="184"/>
      <c r="FAW1" s="184"/>
      <c r="FAX1" s="184"/>
      <c r="FAY1" s="184"/>
      <c r="FAZ1" s="184"/>
      <c r="FBA1" s="184"/>
      <c r="FBB1" s="184"/>
      <c r="FBC1" s="185"/>
      <c r="FBD1" s="180"/>
      <c r="FBE1" s="181"/>
      <c r="FBF1" s="181"/>
      <c r="FBG1" s="181"/>
      <c r="FBH1" s="181"/>
      <c r="FBI1" s="181"/>
      <c r="FBJ1" s="181"/>
      <c r="FBK1" s="181"/>
      <c r="FBL1" s="181"/>
      <c r="FBM1" s="182"/>
      <c r="FBN1" s="183"/>
      <c r="FBO1" s="184"/>
      <c r="FBP1" s="184"/>
      <c r="FBQ1" s="184"/>
      <c r="FBR1" s="184"/>
      <c r="FBS1" s="184"/>
      <c r="FBT1" s="184"/>
      <c r="FBU1" s="184"/>
      <c r="FBV1" s="184"/>
      <c r="FBW1" s="185"/>
      <c r="FBX1" s="180"/>
      <c r="FBY1" s="181"/>
      <c r="FBZ1" s="181"/>
      <c r="FCA1" s="181"/>
      <c r="FCB1" s="181"/>
      <c r="FCC1" s="181"/>
      <c r="FCD1" s="181"/>
      <c r="FCE1" s="181"/>
      <c r="FCF1" s="181"/>
      <c r="FCG1" s="182"/>
      <c r="FCH1" s="183"/>
      <c r="FCI1" s="184"/>
      <c r="FCJ1" s="184"/>
      <c r="FCK1" s="184"/>
      <c r="FCL1" s="184"/>
      <c r="FCM1" s="184"/>
      <c r="FCN1" s="184"/>
      <c r="FCO1" s="184"/>
      <c r="FCP1" s="184"/>
      <c r="FCQ1" s="185"/>
      <c r="FCR1" s="180"/>
      <c r="FCS1" s="181"/>
      <c r="FCT1" s="181"/>
      <c r="FCU1" s="181"/>
      <c r="FCV1" s="181"/>
      <c r="FCW1" s="181"/>
      <c r="FCX1" s="181"/>
      <c r="FCY1" s="181"/>
      <c r="FCZ1" s="181"/>
      <c r="FDA1" s="182"/>
      <c r="FDB1" s="183"/>
      <c r="FDC1" s="184"/>
      <c r="FDD1" s="184"/>
      <c r="FDE1" s="184"/>
      <c r="FDF1" s="184"/>
      <c r="FDG1" s="184"/>
      <c r="FDH1" s="184"/>
      <c r="FDI1" s="184"/>
      <c r="FDJ1" s="184"/>
      <c r="FDK1" s="185"/>
      <c r="FDL1" s="180"/>
      <c r="FDM1" s="181"/>
      <c r="FDN1" s="181"/>
      <c r="FDO1" s="181"/>
      <c r="FDP1" s="181"/>
      <c r="FDQ1" s="181"/>
      <c r="FDR1" s="181"/>
      <c r="FDS1" s="181"/>
      <c r="FDT1" s="181"/>
      <c r="FDU1" s="182"/>
      <c r="FDV1" s="183"/>
      <c r="FDW1" s="184"/>
      <c r="FDX1" s="184"/>
      <c r="FDY1" s="184"/>
      <c r="FDZ1" s="184"/>
      <c r="FEA1" s="184"/>
      <c r="FEB1" s="184"/>
      <c r="FEC1" s="184"/>
      <c r="FED1" s="184"/>
      <c r="FEE1" s="185"/>
      <c r="FEF1" s="180"/>
      <c r="FEG1" s="181"/>
      <c r="FEH1" s="181"/>
      <c r="FEI1" s="181"/>
      <c r="FEJ1" s="181"/>
      <c r="FEK1" s="181"/>
      <c r="FEL1" s="181"/>
      <c r="FEM1" s="181"/>
      <c r="FEN1" s="181"/>
      <c r="FEO1" s="182"/>
      <c r="FEP1" s="183"/>
      <c r="FEQ1" s="184"/>
      <c r="FER1" s="184"/>
      <c r="FES1" s="184"/>
      <c r="FET1" s="184"/>
      <c r="FEU1" s="184"/>
      <c r="FEV1" s="184"/>
      <c r="FEW1" s="184"/>
      <c r="FEX1" s="184"/>
      <c r="FEY1" s="185"/>
      <c r="FEZ1" s="180"/>
      <c r="FFA1" s="181"/>
      <c r="FFB1" s="181"/>
      <c r="FFC1" s="181"/>
      <c r="FFD1" s="181"/>
      <c r="FFE1" s="181"/>
      <c r="FFF1" s="181"/>
      <c r="FFG1" s="181"/>
      <c r="FFH1" s="181"/>
      <c r="FFI1" s="182"/>
      <c r="FFJ1" s="183"/>
      <c r="FFK1" s="184"/>
      <c r="FFL1" s="184"/>
      <c r="FFM1" s="184"/>
      <c r="FFN1" s="184"/>
      <c r="FFO1" s="184"/>
      <c r="FFP1" s="184"/>
      <c r="FFQ1" s="184"/>
      <c r="FFR1" s="184"/>
      <c r="FFS1" s="185"/>
      <c r="FFT1" s="180"/>
      <c r="FFU1" s="181"/>
      <c r="FFV1" s="181"/>
      <c r="FFW1" s="181"/>
      <c r="FFX1" s="181"/>
      <c r="FFY1" s="181"/>
      <c r="FFZ1" s="181"/>
      <c r="FGA1" s="181"/>
      <c r="FGB1" s="181"/>
      <c r="FGC1" s="182"/>
      <c r="FGD1" s="183"/>
      <c r="FGE1" s="184"/>
      <c r="FGF1" s="184"/>
      <c r="FGG1" s="184"/>
      <c r="FGH1" s="184"/>
      <c r="FGI1" s="184"/>
      <c r="FGJ1" s="184"/>
      <c r="FGK1" s="184"/>
      <c r="FGL1" s="184"/>
      <c r="FGM1" s="185"/>
      <c r="FGN1" s="180"/>
      <c r="FGO1" s="181"/>
      <c r="FGP1" s="181"/>
      <c r="FGQ1" s="181"/>
      <c r="FGR1" s="181"/>
      <c r="FGS1" s="181"/>
      <c r="FGT1" s="181"/>
      <c r="FGU1" s="181"/>
      <c r="FGV1" s="181"/>
      <c r="FGW1" s="182"/>
      <c r="FGX1" s="183"/>
      <c r="FGY1" s="184"/>
      <c r="FGZ1" s="184"/>
      <c r="FHA1" s="184"/>
      <c r="FHB1" s="184"/>
      <c r="FHC1" s="184"/>
      <c r="FHD1" s="184"/>
      <c r="FHE1" s="184"/>
      <c r="FHF1" s="184"/>
      <c r="FHG1" s="185"/>
      <c r="FHH1" s="180"/>
      <c r="FHI1" s="181"/>
      <c r="FHJ1" s="181"/>
      <c r="FHK1" s="181"/>
      <c r="FHL1" s="181"/>
      <c r="FHM1" s="181"/>
      <c r="FHN1" s="181"/>
      <c r="FHO1" s="181"/>
      <c r="FHP1" s="181"/>
      <c r="FHQ1" s="182"/>
      <c r="FHR1" s="183"/>
      <c r="FHS1" s="184"/>
      <c r="FHT1" s="184"/>
      <c r="FHU1" s="184"/>
      <c r="FHV1" s="184"/>
      <c r="FHW1" s="184"/>
      <c r="FHX1" s="184"/>
      <c r="FHY1" s="184"/>
      <c r="FHZ1" s="184"/>
      <c r="FIA1" s="185"/>
      <c r="FIB1" s="180"/>
      <c r="FIC1" s="181"/>
      <c r="FID1" s="181"/>
      <c r="FIE1" s="181"/>
      <c r="FIF1" s="181"/>
      <c r="FIG1" s="181"/>
      <c r="FIH1" s="181"/>
      <c r="FII1" s="181"/>
      <c r="FIJ1" s="181"/>
      <c r="FIK1" s="182"/>
      <c r="FIL1" s="183"/>
      <c r="FIM1" s="184"/>
      <c r="FIN1" s="184"/>
      <c r="FIO1" s="184"/>
      <c r="FIP1" s="184"/>
      <c r="FIQ1" s="184"/>
      <c r="FIR1" s="184"/>
      <c r="FIS1" s="184"/>
      <c r="FIT1" s="184"/>
      <c r="FIU1" s="185"/>
      <c r="FIV1" s="180"/>
      <c r="FIW1" s="181"/>
      <c r="FIX1" s="181"/>
      <c r="FIY1" s="181"/>
      <c r="FIZ1" s="181"/>
      <c r="FJA1" s="181"/>
      <c r="FJB1" s="181"/>
      <c r="FJC1" s="181"/>
      <c r="FJD1" s="181"/>
      <c r="FJE1" s="182"/>
      <c r="FJF1" s="183"/>
      <c r="FJG1" s="184"/>
      <c r="FJH1" s="184"/>
      <c r="FJI1" s="184"/>
      <c r="FJJ1" s="184"/>
      <c r="FJK1" s="184"/>
      <c r="FJL1" s="184"/>
      <c r="FJM1" s="184"/>
      <c r="FJN1" s="184"/>
      <c r="FJO1" s="185"/>
      <c r="FJP1" s="180"/>
      <c r="FJQ1" s="181"/>
      <c r="FJR1" s="181"/>
      <c r="FJS1" s="181"/>
      <c r="FJT1" s="181"/>
      <c r="FJU1" s="181"/>
      <c r="FJV1" s="181"/>
      <c r="FJW1" s="181"/>
      <c r="FJX1" s="181"/>
      <c r="FJY1" s="182"/>
      <c r="FJZ1" s="183"/>
      <c r="FKA1" s="184"/>
      <c r="FKB1" s="184"/>
      <c r="FKC1" s="184"/>
      <c r="FKD1" s="184"/>
      <c r="FKE1" s="184"/>
      <c r="FKF1" s="184"/>
      <c r="FKG1" s="184"/>
      <c r="FKH1" s="184"/>
      <c r="FKI1" s="185"/>
      <c r="FKJ1" s="180"/>
      <c r="FKK1" s="181"/>
      <c r="FKL1" s="181"/>
      <c r="FKM1" s="181"/>
      <c r="FKN1" s="181"/>
      <c r="FKO1" s="181"/>
      <c r="FKP1" s="181"/>
      <c r="FKQ1" s="181"/>
      <c r="FKR1" s="181"/>
      <c r="FKS1" s="182"/>
      <c r="FKT1" s="183"/>
      <c r="FKU1" s="184"/>
      <c r="FKV1" s="184"/>
      <c r="FKW1" s="184"/>
      <c r="FKX1" s="184"/>
      <c r="FKY1" s="184"/>
      <c r="FKZ1" s="184"/>
      <c r="FLA1" s="184"/>
      <c r="FLB1" s="184"/>
      <c r="FLC1" s="185"/>
      <c r="FLD1" s="180"/>
      <c r="FLE1" s="181"/>
      <c r="FLF1" s="181"/>
      <c r="FLG1" s="181"/>
      <c r="FLH1" s="181"/>
      <c r="FLI1" s="181"/>
      <c r="FLJ1" s="181"/>
      <c r="FLK1" s="181"/>
      <c r="FLL1" s="181"/>
      <c r="FLM1" s="182"/>
      <c r="FLN1" s="183"/>
      <c r="FLO1" s="184"/>
      <c r="FLP1" s="184"/>
      <c r="FLQ1" s="184"/>
      <c r="FLR1" s="184"/>
      <c r="FLS1" s="184"/>
      <c r="FLT1" s="184"/>
      <c r="FLU1" s="184"/>
      <c r="FLV1" s="184"/>
      <c r="FLW1" s="185"/>
      <c r="FLX1" s="180"/>
      <c r="FLY1" s="181"/>
      <c r="FLZ1" s="181"/>
      <c r="FMA1" s="181"/>
      <c r="FMB1" s="181"/>
      <c r="FMC1" s="181"/>
      <c r="FMD1" s="181"/>
      <c r="FME1" s="181"/>
      <c r="FMF1" s="181"/>
      <c r="FMG1" s="182"/>
      <c r="FMH1" s="183"/>
      <c r="FMI1" s="184"/>
      <c r="FMJ1" s="184"/>
      <c r="FMK1" s="184"/>
      <c r="FML1" s="184"/>
      <c r="FMM1" s="184"/>
      <c r="FMN1" s="184"/>
      <c r="FMO1" s="184"/>
      <c r="FMP1" s="184"/>
      <c r="FMQ1" s="185"/>
      <c r="FMR1" s="180"/>
      <c r="FMS1" s="181"/>
      <c r="FMT1" s="181"/>
      <c r="FMU1" s="181"/>
      <c r="FMV1" s="181"/>
      <c r="FMW1" s="181"/>
      <c r="FMX1" s="181"/>
      <c r="FMY1" s="181"/>
      <c r="FMZ1" s="181"/>
      <c r="FNA1" s="182"/>
      <c r="FNB1" s="183"/>
      <c r="FNC1" s="184"/>
      <c r="FND1" s="184"/>
      <c r="FNE1" s="184"/>
      <c r="FNF1" s="184"/>
      <c r="FNG1" s="184"/>
      <c r="FNH1" s="184"/>
      <c r="FNI1" s="184"/>
      <c r="FNJ1" s="184"/>
      <c r="FNK1" s="185"/>
      <c r="FNL1" s="180"/>
      <c r="FNM1" s="181"/>
      <c r="FNN1" s="181"/>
      <c r="FNO1" s="181"/>
      <c r="FNP1" s="181"/>
      <c r="FNQ1" s="181"/>
      <c r="FNR1" s="181"/>
      <c r="FNS1" s="181"/>
      <c r="FNT1" s="181"/>
      <c r="FNU1" s="182"/>
      <c r="FNV1" s="183"/>
      <c r="FNW1" s="184"/>
      <c r="FNX1" s="184"/>
      <c r="FNY1" s="184"/>
      <c r="FNZ1" s="184"/>
      <c r="FOA1" s="184"/>
      <c r="FOB1" s="184"/>
      <c r="FOC1" s="184"/>
      <c r="FOD1" s="184"/>
      <c r="FOE1" s="185"/>
      <c r="FOF1" s="180"/>
      <c r="FOG1" s="181"/>
      <c r="FOH1" s="181"/>
      <c r="FOI1" s="181"/>
      <c r="FOJ1" s="181"/>
      <c r="FOK1" s="181"/>
      <c r="FOL1" s="181"/>
      <c r="FOM1" s="181"/>
      <c r="FON1" s="181"/>
      <c r="FOO1" s="182"/>
      <c r="FOP1" s="183"/>
      <c r="FOQ1" s="184"/>
      <c r="FOR1" s="184"/>
      <c r="FOS1" s="184"/>
      <c r="FOT1" s="184"/>
      <c r="FOU1" s="184"/>
      <c r="FOV1" s="184"/>
      <c r="FOW1" s="184"/>
      <c r="FOX1" s="184"/>
      <c r="FOY1" s="185"/>
      <c r="FOZ1" s="180"/>
      <c r="FPA1" s="181"/>
      <c r="FPB1" s="181"/>
      <c r="FPC1" s="181"/>
      <c r="FPD1" s="181"/>
      <c r="FPE1" s="181"/>
      <c r="FPF1" s="181"/>
      <c r="FPG1" s="181"/>
      <c r="FPH1" s="181"/>
      <c r="FPI1" s="182"/>
      <c r="FPJ1" s="183"/>
      <c r="FPK1" s="184"/>
      <c r="FPL1" s="184"/>
      <c r="FPM1" s="184"/>
      <c r="FPN1" s="184"/>
      <c r="FPO1" s="184"/>
      <c r="FPP1" s="184"/>
      <c r="FPQ1" s="184"/>
      <c r="FPR1" s="184"/>
      <c r="FPS1" s="185"/>
      <c r="FPT1" s="180"/>
      <c r="FPU1" s="181"/>
      <c r="FPV1" s="181"/>
      <c r="FPW1" s="181"/>
      <c r="FPX1" s="181"/>
      <c r="FPY1" s="181"/>
      <c r="FPZ1" s="181"/>
      <c r="FQA1" s="181"/>
      <c r="FQB1" s="181"/>
      <c r="FQC1" s="182"/>
      <c r="FQD1" s="183"/>
      <c r="FQE1" s="184"/>
      <c r="FQF1" s="184"/>
      <c r="FQG1" s="184"/>
      <c r="FQH1" s="184"/>
      <c r="FQI1" s="184"/>
      <c r="FQJ1" s="184"/>
      <c r="FQK1" s="184"/>
      <c r="FQL1" s="184"/>
      <c r="FQM1" s="185"/>
      <c r="FQN1" s="180"/>
      <c r="FQO1" s="181"/>
      <c r="FQP1" s="181"/>
      <c r="FQQ1" s="181"/>
      <c r="FQR1" s="181"/>
      <c r="FQS1" s="181"/>
      <c r="FQT1" s="181"/>
      <c r="FQU1" s="181"/>
      <c r="FQV1" s="181"/>
      <c r="FQW1" s="182"/>
      <c r="FQX1" s="183"/>
      <c r="FQY1" s="184"/>
      <c r="FQZ1" s="184"/>
      <c r="FRA1" s="184"/>
      <c r="FRB1" s="184"/>
      <c r="FRC1" s="184"/>
      <c r="FRD1" s="184"/>
      <c r="FRE1" s="184"/>
      <c r="FRF1" s="184"/>
      <c r="FRG1" s="185"/>
      <c r="FRH1" s="180"/>
      <c r="FRI1" s="181"/>
      <c r="FRJ1" s="181"/>
      <c r="FRK1" s="181"/>
      <c r="FRL1" s="181"/>
      <c r="FRM1" s="181"/>
      <c r="FRN1" s="181"/>
      <c r="FRO1" s="181"/>
      <c r="FRP1" s="181"/>
      <c r="FRQ1" s="182"/>
      <c r="FRR1" s="183"/>
      <c r="FRS1" s="184"/>
      <c r="FRT1" s="184"/>
      <c r="FRU1" s="184"/>
      <c r="FRV1" s="184"/>
      <c r="FRW1" s="184"/>
      <c r="FRX1" s="184"/>
      <c r="FRY1" s="184"/>
      <c r="FRZ1" s="184"/>
      <c r="FSA1" s="185"/>
      <c r="FSB1" s="180"/>
      <c r="FSC1" s="181"/>
      <c r="FSD1" s="181"/>
      <c r="FSE1" s="181"/>
      <c r="FSF1" s="181"/>
      <c r="FSG1" s="181"/>
      <c r="FSH1" s="181"/>
      <c r="FSI1" s="181"/>
      <c r="FSJ1" s="181"/>
      <c r="FSK1" s="182"/>
      <c r="FSL1" s="183"/>
      <c r="FSM1" s="184"/>
      <c r="FSN1" s="184"/>
      <c r="FSO1" s="184"/>
      <c r="FSP1" s="184"/>
      <c r="FSQ1" s="184"/>
      <c r="FSR1" s="184"/>
      <c r="FSS1" s="184"/>
      <c r="FST1" s="184"/>
      <c r="FSU1" s="185"/>
      <c r="FSV1" s="180"/>
      <c r="FSW1" s="181"/>
      <c r="FSX1" s="181"/>
      <c r="FSY1" s="181"/>
      <c r="FSZ1" s="181"/>
      <c r="FTA1" s="181"/>
      <c r="FTB1" s="181"/>
      <c r="FTC1" s="181"/>
      <c r="FTD1" s="181"/>
      <c r="FTE1" s="182"/>
      <c r="FTF1" s="183"/>
      <c r="FTG1" s="184"/>
      <c r="FTH1" s="184"/>
      <c r="FTI1" s="184"/>
      <c r="FTJ1" s="184"/>
      <c r="FTK1" s="184"/>
      <c r="FTL1" s="184"/>
      <c r="FTM1" s="184"/>
      <c r="FTN1" s="184"/>
      <c r="FTO1" s="185"/>
      <c r="FTP1" s="180"/>
      <c r="FTQ1" s="181"/>
      <c r="FTR1" s="181"/>
      <c r="FTS1" s="181"/>
      <c r="FTT1" s="181"/>
      <c r="FTU1" s="181"/>
      <c r="FTV1" s="181"/>
      <c r="FTW1" s="181"/>
      <c r="FTX1" s="181"/>
      <c r="FTY1" s="182"/>
      <c r="FTZ1" s="183"/>
      <c r="FUA1" s="184"/>
      <c r="FUB1" s="184"/>
      <c r="FUC1" s="184"/>
      <c r="FUD1" s="184"/>
      <c r="FUE1" s="184"/>
      <c r="FUF1" s="184"/>
      <c r="FUG1" s="184"/>
      <c r="FUH1" s="184"/>
      <c r="FUI1" s="185"/>
      <c r="FUJ1" s="180"/>
      <c r="FUK1" s="181"/>
      <c r="FUL1" s="181"/>
      <c r="FUM1" s="181"/>
      <c r="FUN1" s="181"/>
      <c r="FUO1" s="181"/>
      <c r="FUP1" s="181"/>
      <c r="FUQ1" s="181"/>
      <c r="FUR1" s="181"/>
      <c r="FUS1" s="182"/>
      <c r="FUT1" s="183"/>
      <c r="FUU1" s="184"/>
      <c r="FUV1" s="184"/>
      <c r="FUW1" s="184"/>
      <c r="FUX1" s="184"/>
      <c r="FUY1" s="184"/>
      <c r="FUZ1" s="184"/>
      <c r="FVA1" s="184"/>
      <c r="FVB1" s="184"/>
      <c r="FVC1" s="185"/>
      <c r="FVD1" s="180"/>
      <c r="FVE1" s="181"/>
      <c r="FVF1" s="181"/>
      <c r="FVG1" s="181"/>
      <c r="FVH1" s="181"/>
      <c r="FVI1" s="181"/>
      <c r="FVJ1" s="181"/>
      <c r="FVK1" s="181"/>
      <c r="FVL1" s="181"/>
      <c r="FVM1" s="182"/>
      <c r="FVN1" s="183"/>
      <c r="FVO1" s="184"/>
      <c r="FVP1" s="184"/>
      <c r="FVQ1" s="184"/>
      <c r="FVR1" s="184"/>
      <c r="FVS1" s="184"/>
      <c r="FVT1" s="184"/>
      <c r="FVU1" s="184"/>
      <c r="FVV1" s="184"/>
      <c r="FVW1" s="185"/>
      <c r="FVX1" s="180"/>
      <c r="FVY1" s="181"/>
      <c r="FVZ1" s="181"/>
      <c r="FWA1" s="181"/>
      <c r="FWB1" s="181"/>
      <c r="FWC1" s="181"/>
      <c r="FWD1" s="181"/>
      <c r="FWE1" s="181"/>
      <c r="FWF1" s="181"/>
      <c r="FWG1" s="182"/>
      <c r="FWH1" s="183"/>
      <c r="FWI1" s="184"/>
      <c r="FWJ1" s="184"/>
      <c r="FWK1" s="184"/>
      <c r="FWL1" s="184"/>
      <c r="FWM1" s="184"/>
      <c r="FWN1" s="184"/>
      <c r="FWO1" s="184"/>
      <c r="FWP1" s="184"/>
      <c r="FWQ1" s="185"/>
      <c r="FWR1" s="180"/>
      <c r="FWS1" s="181"/>
      <c r="FWT1" s="181"/>
      <c r="FWU1" s="181"/>
      <c r="FWV1" s="181"/>
      <c r="FWW1" s="181"/>
      <c r="FWX1" s="181"/>
      <c r="FWY1" s="181"/>
      <c r="FWZ1" s="181"/>
      <c r="FXA1" s="182"/>
      <c r="FXB1" s="183"/>
      <c r="FXC1" s="184"/>
      <c r="FXD1" s="184"/>
      <c r="FXE1" s="184"/>
      <c r="FXF1" s="184"/>
      <c r="FXG1" s="184"/>
      <c r="FXH1" s="184"/>
      <c r="FXI1" s="184"/>
      <c r="FXJ1" s="184"/>
      <c r="FXK1" s="185"/>
      <c r="FXL1" s="180"/>
      <c r="FXM1" s="181"/>
      <c r="FXN1" s="181"/>
      <c r="FXO1" s="181"/>
      <c r="FXP1" s="181"/>
      <c r="FXQ1" s="181"/>
      <c r="FXR1" s="181"/>
      <c r="FXS1" s="181"/>
      <c r="FXT1" s="181"/>
      <c r="FXU1" s="182"/>
      <c r="FXV1" s="183"/>
      <c r="FXW1" s="184"/>
      <c r="FXX1" s="184"/>
      <c r="FXY1" s="184"/>
      <c r="FXZ1" s="184"/>
      <c r="FYA1" s="184"/>
      <c r="FYB1" s="184"/>
      <c r="FYC1" s="184"/>
      <c r="FYD1" s="184"/>
      <c r="FYE1" s="185"/>
      <c r="FYF1" s="180"/>
      <c r="FYG1" s="181"/>
      <c r="FYH1" s="181"/>
      <c r="FYI1" s="181"/>
      <c r="FYJ1" s="181"/>
      <c r="FYK1" s="181"/>
      <c r="FYL1" s="181"/>
      <c r="FYM1" s="181"/>
      <c r="FYN1" s="181"/>
      <c r="FYO1" s="182"/>
      <c r="FYP1" s="183"/>
      <c r="FYQ1" s="184"/>
      <c r="FYR1" s="184"/>
      <c r="FYS1" s="184"/>
      <c r="FYT1" s="184"/>
      <c r="FYU1" s="184"/>
      <c r="FYV1" s="184"/>
      <c r="FYW1" s="184"/>
      <c r="FYX1" s="184"/>
      <c r="FYY1" s="185"/>
      <c r="FYZ1" s="180"/>
      <c r="FZA1" s="181"/>
      <c r="FZB1" s="181"/>
      <c r="FZC1" s="181"/>
      <c r="FZD1" s="181"/>
      <c r="FZE1" s="181"/>
      <c r="FZF1" s="181"/>
      <c r="FZG1" s="181"/>
      <c r="FZH1" s="181"/>
      <c r="FZI1" s="182"/>
      <c r="FZJ1" s="183"/>
      <c r="FZK1" s="184"/>
      <c r="FZL1" s="184"/>
      <c r="FZM1" s="184"/>
      <c r="FZN1" s="184"/>
      <c r="FZO1" s="184"/>
      <c r="FZP1" s="184"/>
      <c r="FZQ1" s="184"/>
      <c r="FZR1" s="184"/>
      <c r="FZS1" s="185"/>
      <c r="FZT1" s="180"/>
      <c r="FZU1" s="181"/>
      <c r="FZV1" s="181"/>
      <c r="FZW1" s="181"/>
      <c r="FZX1" s="181"/>
      <c r="FZY1" s="181"/>
      <c r="FZZ1" s="181"/>
      <c r="GAA1" s="181"/>
      <c r="GAB1" s="181"/>
      <c r="GAC1" s="182"/>
      <c r="GAD1" s="183"/>
      <c r="GAE1" s="184"/>
      <c r="GAF1" s="184"/>
      <c r="GAG1" s="184"/>
      <c r="GAH1" s="184"/>
      <c r="GAI1" s="184"/>
      <c r="GAJ1" s="184"/>
      <c r="GAK1" s="184"/>
      <c r="GAL1" s="184"/>
      <c r="GAM1" s="185"/>
      <c r="GAN1" s="180"/>
      <c r="GAO1" s="181"/>
      <c r="GAP1" s="181"/>
      <c r="GAQ1" s="181"/>
      <c r="GAR1" s="181"/>
      <c r="GAS1" s="181"/>
      <c r="GAT1" s="181"/>
      <c r="GAU1" s="181"/>
      <c r="GAV1" s="181"/>
      <c r="GAW1" s="182"/>
      <c r="GAX1" s="183"/>
      <c r="GAY1" s="184"/>
      <c r="GAZ1" s="184"/>
      <c r="GBA1" s="184"/>
      <c r="GBB1" s="184"/>
      <c r="GBC1" s="184"/>
      <c r="GBD1" s="184"/>
      <c r="GBE1" s="184"/>
      <c r="GBF1" s="184"/>
      <c r="GBG1" s="185"/>
      <c r="GBH1" s="180"/>
      <c r="GBI1" s="181"/>
      <c r="GBJ1" s="181"/>
      <c r="GBK1" s="181"/>
      <c r="GBL1" s="181"/>
      <c r="GBM1" s="181"/>
      <c r="GBN1" s="181"/>
      <c r="GBO1" s="181"/>
      <c r="GBP1" s="181"/>
      <c r="GBQ1" s="182"/>
      <c r="GBR1" s="183"/>
      <c r="GBS1" s="184"/>
      <c r="GBT1" s="184"/>
      <c r="GBU1" s="184"/>
      <c r="GBV1" s="184"/>
      <c r="GBW1" s="184"/>
      <c r="GBX1" s="184"/>
      <c r="GBY1" s="184"/>
      <c r="GBZ1" s="184"/>
      <c r="GCA1" s="185"/>
      <c r="GCB1" s="180"/>
      <c r="GCC1" s="181"/>
      <c r="GCD1" s="181"/>
      <c r="GCE1" s="181"/>
      <c r="GCF1" s="181"/>
      <c r="GCG1" s="181"/>
      <c r="GCH1" s="181"/>
      <c r="GCI1" s="181"/>
      <c r="GCJ1" s="181"/>
      <c r="GCK1" s="182"/>
      <c r="GCL1" s="183"/>
      <c r="GCM1" s="184"/>
      <c r="GCN1" s="184"/>
      <c r="GCO1" s="184"/>
      <c r="GCP1" s="184"/>
      <c r="GCQ1" s="184"/>
      <c r="GCR1" s="184"/>
      <c r="GCS1" s="184"/>
      <c r="GCT1" s="184"/>
      <c r="GCU1" s="185"/>
      <c r="GCV1" s="180"/>
      <c r="GCW1" s="181"/>
      <c r="GCX1" s="181"/>
      <c r="GCY1" s="181"/>
      <c r="GCZ1" s="181"/>
      <c r="GDA1" s="181"/>
      <c r="GDB1" s="181"/>
      <c r="GDC1" s="181"/>
      <c r="GDD1" s="181"/>
      <c r="GDE1" s="182"/>
      <c r="GDF1" s="183"/>
      <c r="GDG1" s="184"/>
      <c r="GDH1" s="184"/>
      <c r="GDI1" s="184"/>
      <c r="GDJ1" s="184"/>
      <c r="GDK1" s="184"/>
      <c r="GDL1" s="184"/>
      <c r="GDM1" s="184"/>
      <c r="GDN1" s="184"/>
      <c r="GDO1" s="185"/>
      <c r="GDP1" s="180"/>
      <c r="GDQ1" s="181"/>
      <c r="GDR1" s="181"/>
      <c r="GDS1" s="181"/>
      <c r="GDT1" s="181"/>
      <c r="GDU1" s="181"/>
      <c r="GDV1" s="181"/>
      <c r="GDW1" s="181"/>
      <c r="GDX1" s="181"/>
      <c r="GDY1" s="182"/>
      <c r="GDZ1" s="183"/>
      <c r="GEA1" s="184"/>
      <c r="GEB1" s="184"/>
      <c r="GEC1" s="184"/>
      <c r="GED1" s="184"/>
      <c r="GEE1" s="184"/>
      <c r="GEF1" s="184"/>
      <c r="GEG1" s="184"/>
      <c r="GEH1" s="184"/>
      <c r="GEI1" s="185"/>
      <c r="GEJ1" s="180"/>
      <c r="GEK1" s="181"/>
      <c r="GEL1" s="181"/>
      <c r="GEM1" s="181"/>
      <c r="GEN1" s="181"/>
      <c r="GEO1" s="181"/>
      <c r="GEP1" s="181"/>
      <c r="GEQ1" s="181"/>
      <c r="GER1" s="181"/>
      <c r="GES1" s="182"/>
      <c r="GET1" s="183"/>
      <c r="GEU1" s="184"/>
      <c r="GEV1" s="184"/>
      <c r="GEW1" s="184"/>
      <c r="GEX1" s="184"/>
      <c r="GEY1" s="184"/>
      <c r="GEZ1" s="184"/>
      <c r="GFA1" s="184"/>
      <c r="GFB1" s="184"/>
      <c r="GFC1" s="185"/>
      <c r="GFD1" s="180"/>
      <c r="GFE1" s="181"/>
      <c r="GFF1" s="181"/>
      <c r="GFG1" s="181"/>
      <c r="GFH1" s="181"/>
      <c r="GFI1" s="181"/>
      <c r="GFJ1" s="181"/>
      <c r="GFK1" s="181"/>
      <c r="GFL1" s="181"/>
      <c r="GFM1" s="182"/>
      <c r="GFN1" s="183"/>
      <c r="GFO1" s="184"/>
      <c r="GFP1" s="184"/>
      <c r="GFQ1" s="184"/>
      <c r="GFR1" s="184"/>
      <c r="GFS1" s="184"/>
      <c r="GFT1" s="184"/>
      <c r="GFU1" s="184"/>
      <c r="GFV1" s="184"/>
      <c r="GFW1" s="185"/>
      <c r="GFX1" s="180"/>
      <c r="GFY1" s="181"/>
      <c r="GFZ1" s="181"/>
      <c r="GGA1" s="181"/>
      <c r="GGB1" s="181"/>
      <c r="GGC1" s="181"/>
      <c r="GGD1" s="181"/>
      <c r="GGE1" s="181"/>
      <c r="GGF1" s="181"/>
      <c r="GGG1" s="182"/>
      <c r="GGH1" s="183"/>
      <c r="GGI1" s="184"/>
      <c r="GGJ1" s="184"/>
      <c r="GGK1" s="184"/>
      <c r="GGL1" s="184"/>
      <c r="GGM1" s="184"/>
      <c r="GGN1" s="184"/>
      <c r="GGO1" s="184"/>
      <c r="GGP1" s="184"/>
      <c r="GGQ1" s="185"/>
      <c r="GGR1" s="180"/>
      <c r="GGS1" s="181"/>
      <c r="GGT1" s="181"/>
      <c r="GGU1" s="181"/>
      <c r="GGV1" s="181"/>
      <c r="GGW1" s="181"/>
      <c r="GGX1" s="181"/>
      <c r="GGY1" s="181"/>
      <c r="GGZ1" s="181"/>
      <c r="GHA1" s="182"/>
      <c r="GHB1" s="183"/>
      <c r="GHC1" s="184"/>
      <c r="GHD1" s="184"/>
      <c r="GHE1" s="184"/>
      <c r="GHF1" s="184"/>
      <c r="GHG1" s="184"/>
      <c r="GHH1" s="184"/>
      <c r="GHI1" s="184"/>
      <c r="GHJ1" s="184"/>
      <c r="GHK1" s="185"/>
      <c r="GHL1" s="180"/>
      <c r="GHM1" s="181"/>
      <c r="GHN1" s="181"/>
      <c r="GHO1" s="181"/>
      <c r="GHP1" s="181"/>
      <c r="GHQ1" s="181"/>
      <c r="GHR1" s="181"/>
      <c r="GHS1" s="181"/>
      <c r="GHT1" s="181"/>
      <c r="GHU1" s="182"/>
      <c r="GHV1" s="183"/>
      <c r="GHW1" s="184"/>
      <c r="GHX1" s="184"/>
      <c r="GHY1" s="184"/>
      <c r="GHZ1" s="184"/>
      <c r="GIA1" s="184"/>
      <c r="GIB1" s="184"/>
      <c r="GIC1" s="184"/>
      <c r="GID1" s="184"/>
      <c r="GIE1" s="185"/>
      <c r="GIF1" s="180"/>
      <c r="GIG1" s="181"/>
      <c r="GIH1" s="181"/>
      <c r="GII1" s="181"/>
      <c r="GIJ1" s="181"/>
      <c r="GIK1" s="181"/>
      <c r="GIL1" s="181"/>
      <c r="GIM1" s="181"/>
      <c r="GIN1" s="181"/>
      <c r="GIO1" s="182"/>
      <c r="GIP1" s="183"/>
      <c r="GIQ1" s="184"/>
      <c r="GIR1" s="184"/>
      <c r="GIS1" s="184"/>
      <c r="GIT1" s="184"/>
      <c r="GIU1" s="184"/>
      <c r="GIV1" s="184"/>
      <c r="GIW1" s="184"/>
      <c r="GIX1" s="184"/>
      <c r="GIY1" s="185"/>
      <c r="GIZ1" s="180"/>
      <c r="GJA1" s="181"/>
      <c r="GJB1" s="181"/>
      <c r="GJC1" s="181"/>
      <c r="GJD1" s="181"/>
      <c r="GJE1" s="181"/>
      <c r="GJF1" s="181"/>
      <c r="GJG1" s="181"/>
      <c r="GJH1" s="181"/>
      <c r="GJI1" s="182"/>
      <c r="GJJ1" s="183"/>
      <c r="GJK1" s="184"/>
      <c r="GJL1" s="184"/>
      <c r="GJM1" s="184"/>
      <c r="GJN1" s="184"/>
      <c r="GJO1" s="184"/>
      <c r="GJP1" s="184"/>
      <c r="GJQ1" s="184"/>
      <c r="GJR1" s="184"/>
      <c r="GJS1" s="185"/>
      <c r="GJT1" s="180"/>
      <c r="GJU1" s="181"/>
      <c r="GJV1" s="181"/>
      <c r="GJW1" s="181"/>
      <c r="GJX1" s="181"/>
      <c r="GJY1" s="181"/>
      <c r="GJZ1" s="181"/>
      <c r="GKA1" s="181"/>
      <c r="GKB1" s="181"/>
      <c r="GKC1" s="182"/>
      <c r="GKD1" s="183"/>
      <c r="GKE1" s="184"/>
      <c r="GKF1" s="184"/>
      <c r="GKG1" s="184"/>
      <c r="GKH1" s="184"/>
      <c r="GKI1" s="184"/>
      <c r="GKJ1" s="184"/>
      <c r="GKK1" s="184"/>
      <c r="GKL1" s="184"/>
      <c r="GKM1" s="185"/>
      <c r="GKN1" s="180"/>
      <c r="GKO1" s="181"/>
      <c r="GKP1" s="181"/>
      <c r="GKQ1" s="181"/>
      <c r="GKR1" s="181"/>
      <c r="GKS1" s="181"/>
      <c r="GKT1" s="181"/>
      <c r="GKU1" s="181"/>
      <c r="GKV1" s="181"/>
      <c r="GKW1" s="182"/>
      <c r="GKX1" s="183"/>
      <c r="GKY1" s="184"/>
      <c r="GKZ1" s="184"/>
      <c r="GLA1" s="184"/>
      <c r="GLB1" s="184"/>
      <c r="GLC1" s="184"/>
      <c r="GLD1" s="184"/>
      <c r="GLE1" s="184"/>
      <c r="GLF1" s="184"/>
      <c r="GLG1" s="185"/>
      <c r="GLH1" s="180"/>
      <c r="GLI1" s="181"/>
      <c r="GLJ1" s="181"/>
      <c r="GLK1" s="181"/>
      <c r="GLL1" s="181"/>
      <c r="GLM1" s="181"/>
      <c r="GLN1" s="181"/>
      <c r="GLO1" s="181"/>
      <c r="GLP1" s="181"/>
      <c r="GLQ1" s="182"/>
      <c r="GLR1" s="183"/>
      <c r="GLS1" s="184"/>
      <c r="GLT1" s="184"/>
      <c r="GLU1" s="184"/>
      <c r="GLV1" s="184"/>
      <c r="GLW1" s="184"/>
      <c r="GLX1" s="184"/>
      <c r="GLY1" s="184"/>
      <c r="GLZ1" s="184"/>
      <c r="GMA1" s="185"/>
      <c r="GMB1" s="180"/>
      <c r="GMC1" s="181"/>
      <c r="GMD1" s="181"/>
      <c r="GME1" s="181"/>
      <c r="GMF1" s="181"/>
      <c r="GMG1" s="181"/>
      <c r="GMH1" s="181"/>
      <c r="GMI1" s="181"/>
      <c r="GMJ1" s="181"/>
      <c r="GMK1" s="182"/>
      <c r="GML1" s="183"/>
      <c r="GMM1" s="184"/>
      <c r="GMN1" s="184"/>
      <c r="GMO1" s="184"/>
      <c r="GMP1" s="184"/>
      <c r="GMQ1" s="184"/>
      <c r="GMR1" s="184"/>
      <c r="GMS1" s="184"/>
      <c r="GMT1" s="184"/>
      <c r="GMU1" s="185"/>
      <c r="GMV1" s="180"/>
      <c r="GMW1" s="181"/>
      <c r="GMX1" s="181"/>
      <c r="GMY1" s="181"/>
      <c r="GMZ1" s="181"/>
      <c r="GNA1" s="181"/>
      <c r="GNB1" s="181"/>
      <c r="GNC1" s="181"/>
      <c r="GND1" s="181"/>
      <c r="GNE1" s="182"/>
      <c r="GNF1" s="183"/>
      <c r="GNG1" s="184"/>
      <c r="GNH1" s="184"/>
      <c r="GNI1" s="184"/>
      <c r="GNJ1" s="184"/>
      <c r="GNK1" s="184"/>
      <c r="GNL1" s="184"/>
      <c r="GNM1" s="184"/>
      <c r="GNN1" s="184"/>
      <c r="GNO1" s="185"/>
      <c r="GNP1" s="180"/>
      <c r="GNQ1" s="181"/>
      <c r="GNR1" s="181"/>
      <c r="GNS1" s="181"/>
      <c r="GNT1" s="181"/>
      <c r="GNU1" s="181"/>
      <c r="GNV1" s="181"/>
      <c r="GNW1" s="181"/>
      <c r="GNX1" s="181"/>
      <c r="GNY1" s="182"/>
      <c r="GNZ1" s="183"/>
      <c r="GOA1" s="184"/>
      <c r="GOB1" s="184"/>
      <c r="GOC1" s="184"/>
      <c r="GOD1" s="184"/>
      <c r="GOE1" s="184"/>
      <c r="GOF1" s="184"/>
      <c r="GOG1" s="184"/>
      <c r="GOH1" s="184"/>
      <c r="GOI1" s="185"/>
      <c r="GOJ1" s="180"/>
      <c r="GOK1" s="181"/>
      <c r="GOL1" s="181"/>
      <c r="GOM1" s="181"/>
      <c r="GON1" s="181"/>
      <c r="GOO1" s="181"/>
      <c r="GOP1" s="181"/>
      <c r="GOQ1" s="181"/>
      <c r="GOR1" s="181"/>
      <c r="GOS1" s="182"/>
      <c r="GOT1" s="183"/>
      <c r="GOU1" s="184"/>
      <c r="GOV1" s="184"/>
      <c r="GOW1" s="184"/>
      <c r="GOX1" s="184"/>
      <c r="GOY1" s="184"/>
      <c r="GOZ1" s="184"/>
      <c r="GPA1" s="184"/>
      <c r="GPB1" s="184"/>
      <c r="GPC1" s="185"/>
      <c r="GPD1" s="180"/>
      <c r="GPE1" s="181"/>
      <c r="GPF1" s="181"/>
      <c r="GPG1" s="181"/>
      <c r="GPH1" s="181"/>
      <c r="GPI1" s="181"/>
      <c r="GPJ1" s="181"/>
      <c r="GPK1" s="181"/>
      <c r="GPL1" s="181"/>
      <c r="GPM1" s="182"/>
      <c r="GPN1" s="183"/>
      <c r="GPO1" s="184"/>
      <c r="GPP1" s="184"/>
      <c r="GPQ1" s="184"/>
      <c r="GPR1" s="184"/>
      <c r="GPS1" s="184"/>
      <c r="GPT1" s="184"/>
      <c r="GPU1" s="184"/>
      <c r="GPV1" s="184"/>
      <c r="GPW1" s="185"/>
      <c r="GPX1" s="180"/>
      <c r="GPY1" s="181"/>
      <c r="GPZ1" s="181"/>
      <c r="GQA1" s="181"/>
      <c r="GQB1" s="181"/>
      <c r="GQC1" s="181"/>
      <c r="GQD1" s="181"/>
      <c r="GQE1" s="181"/>
      <c r="GQF1" s="181"/>
      <c r="GQG1" s="182"/>
      <c r="GQH1" s="183"/>
      <c r="GQI1" s="184"/>
      <c r="GQJ1" s="184"/>
      <c r="GQK1" s="184"/>
      <c r="GQL1" s="184"/>
      <c r="GQM1" s="184"/>
      <c r="GQN1" s="184"/>
      <c r="GQO1" s="184"/>
      <c r="GQP1" s="184"/>
      <c r="GQQ1" s="185"/>
      <c r="GQR1" s="180"/>
      <c r="GQS1" s="181"/>
      <c r="GQT1" s="181"/>
      <c r="GQU1" s="181"/>
      <c r="GQV1" s="181"/>
      <c r="GQW1" s="181"/>
      <c r="GQX1" s="181"/>
      <c r="GQY1" s="181"/>
      <c r="GQZ1" s="181"/>
      <c r="GRA1" s="182"/>
      <c r="GRB1" s="183"/>
      <c r="GRC1" s="184"/>
      <c r="GRD1" s="184"/>
      <c r="GRE1" s="184"/>
      <c r="GRF1" s="184"/>
      <c r="GRG1" s="184"/>
      <c r="GRH1" s="184"/>
      <c r="GRI1" s="184"/>
      <c r="GRJ1" s="184"/>
      <c r="GRK1" s="185"/>
      <c r="GRL1" s="180"/>
      <c r="GRM1" s="181"/>
      <c r="GRN1" s="181"/>
      <c r="GRO1" s="181"/>
      <c r="GRP1" s="181"/>
      <c r="GRQ1" s="181"/>
      <c r="GRR1" s="181"/>
      <c r="GRS1" s="181"/>
      <c r="GRT1" s="181"/>
      <c r="GRU1" s="182"/>
      <c r="GRV1" s="183"/>
      <c r="GRW1" s="184"/>
      <c r="GRX1" s="184"/>
      <c r="GRY1" s="184"/>
      <c r="GRZ1" s="184"/>
      <c r="GSA1" s="184"/>
      <c r="GSB1" s="184"/>
      <c r="GSC1" s="184"/>
      <c r="GSD1" s="184"/>
      <c r="GSE1" s="185"/>
      <c r="GSF1" s="180"/>
      <c r="GSG1" s="181"/>
      <c r="GSH1" s="181"/>
      <c r="GSI1" s="181"/>
      <c r="GSJ1" s="181"/>
      <c r="GSK1" s="181"/>
      <c r="GSL1" s="181"/>
      <c r="GSM1" s="181"/>
      <c r="GSN1" s="181"/>
      <c r="GSO1" s="182"/>
      <c r="GSP1" s="183"/>
      <c r="GSQ1" s="184"/>
      <c r="GSR1" s="184"/>
      <c r="GSS1" s="184"/>
      <c r="GST1" s="184"/>
      <c r="GSU1" s="184"/>
      <c r="GSV1" s="184"/>
      <c r="GSW1" s="184"/>
      <c r="GSX1" s="184"/>
      <c r="GSY1" s="185"/>
      <c r="GSZ1" s="180"/>
      <c r="GTA1" s="181"/>
      <c r="GTB1" s="181"/>
      <c r="GTC1" s="181"/>
      <c r="GTD1" s="181"/>
      <c r="GTE1" s="181"/>
      <c r="GTF1" s="181"/>
      <c r="GTG1" s="181"/>
      <c r="GTH1" s="181"/>
      <c r="GTI1" s="182"/>
      <c r="GTJ1" s="183"/>
      <c r="GTK1" s="184"/>
      <c r="GTL1" s="184"/>
      <c r="GTM1" s="184"/>
      <c r="GTN1" s="184"/>
      <c r="GTO1" s="184"/>
      <c r="GTP1" s="184"/>
      <c r="GTQ1" s="184"/>
      <c r="GTR1" s="184"/>
      <c r="GTS1" s="185"/>
      <c r="GTT1" s="180"/>
      <c r="GTU1" s="181"/>
      <c r="GTV1" s="181"/>
      <c r="GTW1" s="181"/>
      <c r="GTX1" s="181"/>
      <c r="GTY1" s="181"/>
      <c r="GTZ1" s="181"/>
      <c r="GUA1" s="181"/>
      <c r="GUB1" s="181"/>
      <c r="GUC1" s="182"/>
      <c r="GUD1" s="183"/>
      <c r="GUE1" s="184"/>
      <c r="GUF1" s="184"/>
      <c r="GUG1" s="184"/>
      <c r="GUH1" s="184"/>
      <c r="GUI1" s="184"/>
      <c r="GUJ1" s="184"/>
      <c r="GUK1" s="184"/>
      <c r="GUL1" s="184"/>
      <c r="GUM1" s="185"/>
      <c r="GUN1" s="180"/>
      <c r="GUO1" s="181"/>
      <c r="GUP1" s="181"/>
      <c r="GUQ1" s="181"/>
      <c r="GUR1" s="181"/>
      <c r="GUS1" s="181"/>
      <c r="GUT1" s="181"/>
      <c r="GUU1" s="181"/>
      <c r="GUV1" s="181"/>
      <c r="GUW1" s="182"/>
      <c r="GUX1" s="183"/>
      <c r="GUY1" s="184"/>
      <c r="GUZ1" s="184"/>
      <c r="GVA1" s="184"/>
      <c r="GVB1" s="184"/>
      <c r="GVC1" s="184"/>
      <c r="GVD1" s="184"/>
      <c r="GVE1" s="184"/>
      <c r="GVF1" s="184"/>
      <c r="GVG1" s="185"/>
      <c r="GVH1" s="180"/>
      <c r="GVI1" s="181"/>
      <c r="GVJ1" s="181"/>
      <c r="GVK1" s="181"/>
      <c r="GVL1" s="181"/>
      <c r="GVM1" s="181"/>
      <c r="GVN1" s="181"/>
      <c r="GVO1" s="181"/>
      <c r="GVP1" s="181"/>
      <c r="GVQ1" s="182"/>
      <c r="GVR1" s="183"/>
      <c r="GVS1" s="184"/>
      <c r="GVT1" s="184"/>
      <c r="GVU1" s="184"/>
      <c r="GVV1" s="184"/>
      <c r="GVW1" s="184"/>
      <c r="GVX1" s="184"/>
      <c r="GVY1" s="184"/>
      <c r="GVZ1" s="184"/>
      <c r="GWA1" s="185"/>
      <c r="GWB1" s="180"/>
      <c r="GWC1" s="181"/>
      <c r="GWD1" s="181"/>
      <c r="GWE1" s="181"/>
      <c r="GWF1" s="181"/>
      <c r="GWG1" s="181"/>
      <c r="GWH1" s="181"/>
      <c r="GWI1" s="181"/>
      <c r="GWJ1" s="181"/>
      <c r="GWK1" s="182"/>
      <c r="GWL1" s="183"/>
      <c r="GWM1" s="184"/>
      <c r="GWN1" s="184"/>
      <c r="GWO1" s="184"/>
      <c r="GWP1" s="184"/>
      <c r="GWQ1" s="184"/>
      <c r="GWR1" s="184"/>
      <c r="GWS1" s="184"/>
      <c r="GWT1" s="184"/>
      <c r="GWU1" s="185"/>
      <c r="GWV1" s="180"/>
      <c r="GWW1" s="181"/>
      <c r="GWX1" s="181"/>
      <c r="GWY1" s="181"/>
      <c r="GWZ1" s="181"/>
      <c r="GXA1" s="181"/>
      <c r="GXB1" s="181"/>
      <c r="GXC1" s="181"/>
      <c r="GXD1" s="181"/>
      <c r="GXE1" s="182"/>
      <c r="GXF1" s="183"/>
      <c r="GXG1" s="184"/>
      <c r="GXH1" s="184"/>
      <c r="GXI1" s="184"/>
      <c r="GXJ1" s="184"/>
      <c r="GXK1" s="184"/>
      <c r="GXL1" s="184"/>
      <c r="GXM1" s="184"/>
      <c r="GXN1" s="184"/>
      <c r="GXO1" s="185"/>
      <c r="GXP1" s="180"/>
      <c r="GXQ1" s="181"/>
      <c r="GXR1" s="181"/>
      <c r="GXS1" s="181"/>
      <c r="GXT1" s="181"/>
      <c r="GXU1" s="181"/>
      <c r="GXV1" s="181"/>
      <c r="GXW1" s="181"/>
      <c r="GXX1" s="181"/>
      <c r="GXY1" s="182"/>
      <c r="GXZ1" s="183"/>
      <c r="GYA1" s="184"/>
      <c r="GYB1" s="184"/>
      <c r="GYC1" s="184"/>
      <c r="GYD1" s="184"/>
      <c r="GYE1" s="184"/>
      <c r="GYF1" s="184"/>
      <c r="GYG1" s="184"/>
      <c r="GYH1" s="184"/>
      <c r="GYI1" s="185"/>
      <c r="GYJ1" s="180"/>
      <c r="GYK1" s="181"/>
      <c r="GYL1" s="181"/>
      <c r="GYM1" s="181"/>
      <c r="GYN1" s="181"/>
      <c r="GYO1" s="181"/>
      <c r="GYP1" s="181"/>
      <c r="GYQ1" s="181"/>
      <c r="GYR1" s="181"/>
      <c r="GYS1" s="182"/>
      <c r="GYT1" s="183"/>
      <c r="GYU1" s="184"/>
      <c r="GYV1" s="184"/>
      <c r="GYW1" s="184"/>
      <c r="GYX1" s="184"/>
      <c r="GYY1" s="184"/>
      <c r="GYZ1" s="184"/>
      <c r="GZA1" s="184"/>
      <c r="GZB1" s="184"/>
      <c r="GZC1" s="185"/>
      <c r="GZD1" s="180"/>
      <c r="GZE1" s="181"/>
      <c r="GZF1" s="181"/>
      <c r="GZG1" s="181"/>
      <c r="GZH1" s="181"/>
      <c r="GZI1" s="181"/>
      <c r="GZJ1" s="181"/>
      <c r="GZK1" s="181"/>
      <c r="GZL1" s="181"/>
      <c r="GZM1" s="182"/>
      <c r="GZN1" s="183"/>
      <c r="GZO1" s="184"/>
      <c r="GZP1" s="184"/>
      <c r="GZQ1" s="184"/>
      <c r="GZR1" s="184"/>
      <c r="GZS1" s="184"/>
      <c r="GZT1" s="184"/>
      <c r="GZU1" s="184"/>
      <c r="GZV1" s="184"/>
      <c r="GZW1" s="185"/>
      <c r="GZX1" s="180"/>
      <c r="GZY1" s="181"/>
      <c r="GZZ1" s="181"/>
      <c r="HAA1" s="181"/>
      <c r="HAB1" s="181"/>
      <c r="HAC1" s="181"/>
      <c r="HAD1" s="181"/>
      <c r="HAE1" s="181"/>
      <c r="HAF1" s="181"/>
      <c r="HAG1" s="182"/>
      <c r="HAH1" s="183"/>
      <c r="HAI1" s="184"/>
      <c r="HAJ1" s="184"/>
      <c r="HAK1" s="184"/>
      <c r="HAL1" s="184"/>
      <c r="HAM1" s="184"/>
      <c r="HAN1" s="184"/>
      <c r="HAO1" s="184"/>
      <c r="HAP1" s="184"/>
      <c r="HAQ1" s="185"/>
      <c r="HAR1" s="180"/>
      <c r="HAS1" s="181"/>
      <c r="HAT1" s="181"/>
      <c r="HAU1" s="181"/>
      <c r="HAV1" s="181"/>
      <c r="HAW1" s="181"/>
      <c r="HAX1" s="181"/>
      <c r="HAY1" s="181"/>
      <c r="HAZ1" s="181"/>
      <c r="HBA1" s="182"/>
      <c r="HBB1" s="183"/>
      <c r="HBC1" s="184"/>
      <c r="HBD1" s="184"/>
      <c r="HBE1" s="184"/>
      <c r="HBF1" s="184"/>
      <c r="HBG1" s="184"/>
      <c r="HBH1" s="184"/>
      <c r="HBI1" s="184"/>
      <c r="HBJ1" s="184"/>
      <c r="HBK1" s="185"/>
      <c r="HBL1" s="180"/>
      <c r="HBM1" s="181"/>
      <c r="HBN1" s="181"/>
      <c r="HBO1" s="181"/>
      <c r="HBP1" s="181"/>
      <c r="HBQ1" s="181"/>
      <c r="HBR1" s="181"/>
      <c r="HBS1" s="181"/>
      <c r="HBT1" s="181"/>
      <c r="HBU1" s="182"/>
      <c r="HBV1" s="183"/>
      <c r="HBW1" s="184"/>
      <c r="HBX1" s="184"/>
      <c r="HBY1" s="184"/>
      <c r="HBZ1" s="184"/>
      <c r="HCA1" s="184"/>
      <c r="HCB1" s="184"/>
      <c r="HCC1" s="184"/>
      <c r="HCD1" s="184"/>
      <c r="HCE1" s="185"/>
      <c r="HCF1" s="180"/>
      <c r="HCG1" s="181"/>
      <c r="HCH1" s="181"/>
      <c r="HCI1" s="181"/>
      <c r="HCJ1" s="181"/>
      <c r="HCK1" s="181"/>
      <c r="HCL1" s="181"/>
      <c r="HCM1" s="181"/>
      <c r="HCN1" s="181"/>
      <c r="HCO1" s="182"/>
      <c r="HCP1" s="183"/>
      <c r="HCQ1" s="184"/>
      <c r="HCR1" s="184"/>
      <c r="HCS1" s="184"/>
      <c r="HCT1" s="184"/>
      <c r="HCU1" s="184"/>
      <c r="HCV1" s="184"/>
      <c r="HCW1" s="184"/>
      <c r="HCX1" s="184"/>
      <c r="HCY1" s="185"/>
      <c r="HCZ1" s="180"/>
      <c r="HDA1" s="181"/>
      <c r="HDB1" s="181"/>
      <c r="HDC1" s="181"/>
      <c r="HDD1" s="181"/>
      <c r="HDE1" s="181"/>
      <c r="HDF1" s="181"/>
      <c r="HDG1" s="181"/>
      <c r="HDH1" s="181"/>
      <c r="HDI1" s="182"/>
      <c r="HDJ1" s="183"/>
      <c r="HDK1" s="184"/>
      <c r="HDL1" s="184"/>
      <c r="HDM1" s="184"/>
      <c r="HDN1" s="184"/>
      <c r="HDO1" s="184"/>
      <c r="HDP1" s="184"/>
      <c r="HDQ1" s="184"/>
      <c r="HDR1" s="184"/>
      <c r="HDS1" s="185"/>
      <c r="HDT1" s="180"/>
      <c r="HDU1" s="181"/>
      <c r="HDV1" s="181"/>
      <c r="HDW1" s="181"/>
      <c r="HDX1" s="181"/>
      <c r="HDY1" s="181"/>
      <c r="HDZ1" s="181"/>
      <c r="HEA1" s="181"/>
      <c r="HEB1" s="181"/>
      <c r="HEC1" s="182"/>
      <c r="HED1" s="183"/>
      <c r="HEE1" s="184"/>
      <c r="HEF1" s="184"/>
      <c r="HEG1" s="184"/>
      <c r="HEH1" s="184"/>
      <c r="HEI1" s="184"/>
      <c r="HEJ1" s="184"/>
      <c r="HEK1" s="184"/>
      <c r="HEL1" s="184"/>
      <c r="HEM1" s="185"/>
      <c r="HEN1" s="180"/>
      <c r="HEO1" s="181"/>
      <c r="HEP1" s="181"/>
      <c r="HEQ1" s="181"/>
      <c r="HER1" s="181"/>
      <c r="HES1" s="181"/>
      <c r="HET1" s="181"/>
      <c r="HEU1" s="181"/>
      <c r="HEV1" s="181"/>
      <c r="HEW1" s="182"/>
      <c r="HEX1" s="183"/>
      <c r="HEY1" s="184"/>
      <c r="HEZ1" s="184"/>
      <c r="HFA1" s="184"/>
      <c r="HFB1" s="184"/>
      <c r="HFC1" s="184"/>
      <c r="HFD1" s="184"/>
      <c r="HFE1" s="184"/>
      <c r="HFF1" s="184"/>
      <c r="HFG1" s="185"/>
      <c r="HFH1" s="180"/>
      <c r="HFI1" s="181"/>
      <c r="HFJ1" s="181"/>
      <c r="HFK1" s="181"/>
      <c r="HFL1" s="181"/>
      <c r="HFM1" s="181"/>
      <c r="HFN1" s="181"/>
      <c r="HFO1" s="181"/>
      <c r="HFP1" s="181"/>
      <c r="HFQ1" s="182"/>
      <c r="HFR1" s="183"/>
      <c r="HFS1" s="184"/>
      <c r="HFT1" s="184"/>
      <c r="HFU1" s="184"/>
      <c r="HFV1" s="184"/>
      <c r="HFW1" s="184"/>
      <c r="HFX1" s="184"/>
      <c r="HFY1" s="184"/>
      <c r="HFZ1" s="184"/>
      <c r="HGA1" s="185"/>
      <c r="HGB1" s="180"/>
      <c r="HGC1" s="181"/>
      <c r="HGD1" s="181"/>
      <c r="HGE1" s="181"/>
      <c r="HGF1" s="181"/>
      <c r="HGG1" s="181"/>
      <c r="HGH1" s="181"/>
      <c r="HGI1" s="181"/>
      <c r="HGJ1" s="181"/>
      <c r="HGK1" s="182"/>
      <c r="HGL1" s="183"/>
      <c r="HGM1" s="184"/>
      <c r="HGN1" s="184"/>
      <c r="HGO1" s="184"/>
      <c r="HGP1" s="184"/>
      <c r="HGQ1" s="184"/>
      <c r="HGR1" s="184"/>
      <c r="HGS1" s="184"/>
      <c r="HGT1" s="184"/>
      <c r="HGU1" s="185"/>
      <c r="HGV1" s="180"/>
      <c r="HGW1" s="181"/>
      <c r="HGX1" s="181"/>
      <c r="HGY1" s="181"/>
      <c r="HGZ1" s="181"/>
      <c r="HHA1" s="181"/>
      <c r="HHB1" s="181"/>
      <c r="HHC1" s="181"/>
      <c r="HHD1" s="181"/>
      <c r="HHE1" s="182"/>
      <c r="HHF1" s="183"/>
      <c r="HHG1" s="184"/>
      <c r="HHH1" s="184"/>
      <c r="HHI1" s="184"/>
      <c r="HHJ1" s="184"/>
      <c r="HHK1" s="184"/>
      <c r="HHL1" s="184"/>
      <c r="HHM1" s="184"/>
      <c r="HHN1" s="184"/>
      <c r="HHO1" s="185"/>
      <c r="HHP1" s="180"/>
      <c r="HHQ1" s="181"/>
      <c r="HHR1" s="181"/>
      <c r="HHS1" s="181"/>
      <c r="HHT1" s="181"/>
      <c r="HHU1" s="181"/>
      <c r="HHV1" s="181"/>
      <c r="HHW1" s="181"/>
      <c r="HHX1" s="181"/>
      <c r="HHY1" s="182"/>
      <c r="HHZ1" s="183"/>
      <c r="HIA1" s="184"/>
      <c r="HIB1" s="184"/>
      <c r="HIC1" s="184"/>
      <c r="HID1" s="184"/>
      <c r="HIE1" s="184"/>
      <c r="HIF1" s="184"/>
      <c r="HIG1" s="184"/>
      <c r="HIH1" s="184"/>
      <c r="HII1" s="185"/>
      <c r="HIJ1" s="180"/>
      <c r="HIK1" s="181"/>
      <c r="HIL1" s="181"/>
      <c r="HIM1" s="181"/>
      <c r="HIN1" s="181"/>
      <c r="HIO1" s="181"/>
      <c r="HIP1" s="181"/>
      <c r="HIQ1" s="181"/>
      <c r="HIR1" s="181"/>
      <c r="HIS1" s="182"/>
      <c r="HIT1" s="183"/>
      <c r="HIU1" s="184"/>
      <c r="HIV1" s="184"/>
      <c r="HIW1" s="184"/>
      <c r="HIX1" s="184"/>
      <c r="HIY1" s="184"/>
      <c r="HIZ1" s="184"/>
      <c r="HJA1" s="184"/>
      <c r="HJB1" s="184"/>
      <c r="HJC1" s="185"/>
      <c r="HJD1" s="180"/>
      <c r="HJE1" s="181"/>
      <c r="HJF1" s="181"/>
      <c r="HJG1" s="181"/>
      <c r="HJH1" s="181"/>
      <c r="HJI1" s="181"/>
      <c r="HJJ1" s="181"/>
      <c r="HJK1" s="181"/>
      <c r="HJL1" s="181"/>
      <c r="HJM1" s="182"/>
      <c r="HJN1" s="183"/>
      <c r="HJO1" s="184"/>
      <c r="HJP1" s="184"/>
      <c r="HJQ1" s="184"/>
      <c r="HJR1" s="184"/>
      <c r="HJS1" s="184"/>
      <c r="HJT1" s="184"/>
      <c r="HJU1" s="184"/>
      <c r="HJV1" s="184"/>
      <c r="HJW1" s="185"/>
      <c r="HJX1" s="180"/>
      <c r="HJY1" s="181"/>
      <c r="HJZ1" s="181"/>
      <c r="HKA1" s="181"/>
      <c r="HKB1" s="181"/>
      <c r="HKC1" s="181"/>
      <c r="HKD1" s="181"/>
      <c r="HKE1" s="181"/>
      <c r="HKF1" s="181"/>
      <c r="HKG1" s="182"/>
      <c r="HKH1" s="183"/>
      <c r="HKI1" s="184"/>
      <c r="HKJ1" s="184"/>
      <c r="HKK1" s="184"/>
      <c r="HKL1" s="184"/>
      <c r="HKM1" s="184"/>
      <c r="HKN1" s="184"/>
      <c r="HKO1" s="184"/>
      <c r="HKP1" s="184"/>
      <c r="HKQ1" s="185"/>
      <c r="HKR1" s="180"/>
      <c r="HKS1" s="181"/>
      <c r="HKT1" s="181"/>
      <c r="HKU1" s="181"/>
      <c r="HKV1" s="181"/>
      <c r="HKW1" s="181"/>
      <c r="HKX1" s="181"/>
      <c r="HKY1" s="181"/>
      <c r="HKZ1" s="181"/>
      <c r="HLA1" s="182"/>
      <c r="HLB1" s="183"/>
      <c r="HLC1" s="184"/>
      <c r="HLD1" s="184"/>
      <c r="HLE1" s="184"/>
      <c r="HLF1" s="184"/>
      <c r="HLG1" s="184"/>
      <c r="HLH1" s="184"/>
      <c r="HLI1" s="184"/>
      <c r="HLJ1" s="184"/>
      <c r="HLK1" s="185"/>
      <c r="HLL1" s="180"/>
      <c r="HLM1" s="181"/>
      <c r="HLN1" s="181"/>
      <c r="HLO1" s="181"/>
      <c r="HLP1" s="181"/>
      <c r="HLQ1" s="181"/>
      <c r="HLR1" s="181"/>
      <c r="HLS1" s="181"/>
      <c r="HLT1" s="181"/>
      <c r="HLU1" s="182"/>
      <c r="HLV1" s="183"/>
      <c r="HLW1" s="184"/>
      <c r="HLX1" s="184"/>
      <c r="HLY1" s="184"/>
      <c r="HLZ1" s="184"/>
      <c r="HMA1" s="184"/>
      <c r="HMB1" s="184"/>
      <c r="HMC1" s="184"/>
      <c r="HMD1" s="184"/>
      <c r="HME1" s="185"/>
      <c r="HMF1" s="180"/>
      <c r="HMG1" s="181"/>
      <c r="HMH1" s="181"/>
      <c r="HMI1" s="181"/>
      <c r="HMJ1" s="181"/>
      <c r="HMK1" s="181"/>
      <c r="HML1" s="181"/>
      <c r="HMM1" s="181"/>
      <c r="HMN1" s="181"/>
      <c r="HMO1" s="182"/>
      <c r="HMP1" s="183"/>
      <c r="HMQ1" s="184"/>
      <c r="HMR1" s="184"/>
      <c r="HMS1" s="184"/>
      <c r="HMT1" s="184"/>
      <c r="HMU1" s="184"/>
      <c r="HMV1" s="184"/>
      <c r="HMW1" s="184"/>
      <c r="HMX1" s="184"/>
      <c r="HMY1" s="185"/>
      <c r="HMZ1" s="180"/>
      <c r="HNA1" s="181"/>
      <c r="HNB1" s="181"/>
      <c r="HNC1" s="181"/>
      <c r="HND1" s="181"/>
      <c r="HNE1" s="181"/>
      <c r="HNF1" s="181"/>
      <c r="HNG1" s="181"/>
      <c r="HNH1" s="181"/>
      <c r="HNI1" s="182"/>
      <c r="HNJ1" s="183"/>
      <c r="HNK1" s="184"/>
      <c r="HNL1" s="184"/>
      <c r="HNM1" s="184"/>
      <c r="HNN1" s="184"/>
      <c r="HNO1" s="184"/>
      <c r="HNP1" s="184"/>
      <c r="HNQ1" s="184"/>
      <c r="HNR1" s="184"/>
      <c r="HNS1" s="185"/>
      <c r="HNT1" s="180"/>
      <c r="HNU1" s="181"/>
      <c r="HNV1" s="181"/>
      <c r="HNW1" s="181"/>
      <c r="HNX1" s="181"/>
      <c r="HNY1" s="181"/>
      <c r="HNZ1" s="181"/>
      <c r="HOA1" s="181"/>
      <c r="HOB1" s="181"/>
      <c r="HOC1" s="182"/>
      <c r="HOD1" s="183"/>
      <c r="HOE1" s="184"/>
      <c r="HOF1" s="184"/>
      <c r="HOG1" s="184"/>
      <c r="HOH1" s="184"/>
      <c r="HOI1" s="184"/>
      <c r="HOJ1" s="184"/>
      <c r="HOK1" s="184"/>
      <c r="HOL1" s="184"/>
      <c r="HOM1" s="185"/>
      <c r="HON1" s="180"/>
      <c r="HOO1" s="181"/>
      <c r="HOP1" s="181"/>
      <c r="HOQ1" s="181"/>
      <c r="HOR1" s="181"/>
      <c r="HOS1" s="181"/>
      <c r="HOT1" s="181"/>
      <c r="HOU1" s="181"/>
      <c r="HOV1" s="181"/>
      <c r="HOW1" s="182"/>
      <c r="HOX1" s="183"/>
      <c r="HOY1" s="184"/>
      <c r="HOZ1" s="184"/>
      <c r="HPA1" s="184"/>
      <c r="HPB1" s="184"/>
      <c r="HPC1" s="184"/>
      <c r="HPD1" s="184"/>
      <c r="HPE1" s="184"/>
      <c r="HPF1" s="184"/>
      <c r="HPG1" s="185"/>
      <c r="HPH1" s="180"/>
      <c r="HPI1" s="181"/>
      <c r="HPJ1" s="181"/>
      <c r="HPK1" s="181"/>
      <c r="HPL1" s="181"/>
      <c r="HPM1" s="181"/>
      <c r="HPN1" s="181"/>
      <c r="HPO1" s="181"/>
      <c r="HPP1" s="181"/>
      <c r="HPQ1" s="182"/>
      <c r="HPR1" s="183"/>
      <c r="HPS1" s="184"/>
      <c r="HPT1" s="184"/>
      <c r="HPU1" s="184"/>
      <c r="HPV1" s="184"/>
      <c r="HPW1" s="184"/>
      <c r="HPX1" s="184"/>
      <c r="HPY1" s="184"/>
      <c r="HPZ1" s="184"/>
      <c r="HQA1" s="185"/>
      <c r="HQB1" s="180"/>
      <c r="HQC1" s="181"/>
      <c r="HQD1" s="181"/>
      <c r="HQE1" s="181"/>
      <c r="HQF1" s="181"/>
      <c r="HQG1" s="181"/>
      <c r="HQH1" s="181"/>
      <c r="HQI1" s="181"/>
      <c r="HQJ1" s="181"/>
      <c r="HQK1" s="182"/>
      <c r="HQL1" s="183"/>
      <c r="HQM1" s="184"/>
      <c r="HQN1" s="184"/>
      <c r="HQO1" s="184"/>
      <c r="HQP1" s="184"/>
      <c r="HQQ1" s="184"/>
      <c r="HQR1" s="184"/>
      <c r="HQS1" s="184"/>
      <c r="HQT1" s="184"/>
      <c r="HQU1" s="185"/>
      <c r="HQV1" s="180"/>
      <c r="HQW1" s="181"/>
      <c r="HQX1" s="181"/>
      <c r="HQY1" s="181"/>
      <c r="HQZ1" s="181"/>
      <c r="HRA1" s="181"/>
      <c r="HRB1" s="181"/>
      <c r="HRC1" s="181"/>
      <c r="HRD1" s="181"/>
      <c r="HRE1" s="182"/>
      <c r="HRF1" s="183"/>
      <c r="HRG1" s="184"/>
      <c r="HRH1" s="184"/>
      <c r="HRI1" s="184"/>
      <c r="HRJ1" s="184"/>
      <c r="HRK1" s="184"/>
      <c r="HRL1" s="184"/>
      <c r="HRM1" s="184"/>
      <c r="HRN1" s="184"/>
      <c r="HRO1" s="185"/>
      <c r="HRP1" s="180"/>
      <c r="HRQ1" s="181"/>
      <c r="HRR1" s="181"/>
      <c r="HRS1" s="181"/>
      <c r="HRT1" s="181"/>
      <c r="HRU1" s="181"/>
      <c r="HRV1" s="181"/>
      <c r="HRW1" s="181"/>
      <c r="HRX1" s="181"/>
      <c r="HRY1" s="182"/>
      <c r="HRZ1" s="183"/>
      <c r="HSA1" s="184"/>
      <c r="HSB1" s="184"/>
      <c r="HSC1" s="184"/>
      <c r="HSD1" s="184"/>
      <c r="HSE1" s="184"/>
      <c r="HSF1" s="184"/>
      <c r="HSG1" s="184"/>
      <c r="HSH1" s="184"/>
      <c r="HSI1" s="185"/>
      <c r="HSJ1" s="180"/>
      <c r="HSK1" s="181"/>
      <c r="HSL1" s="181"/>
      <c r="HSM1" s="181"/>
      <c r="HSN1" s="181"/>
      <c r="HSO1" s="181"/>
      <c r="HSP1" s="181"/>
      <c r="HSQ1" s="181"/>
      <c r="HSR1" s="181"/>
      <c r="HSS1" s="182"/>
      <c r="HST1" s="183"/>
      <c r="HSU1" s="184"/>
      <c r="HSV1" s="184"/>
      <c r="HSW1" s="184"/>
      <c r="HSX1" s="184"/>
      <c r="HSY1" s="184"/>
      <c r="HSZ1" s="184"/>
      <c r="HTA1" s="184"/>
      <c r="HTB1" s="184"/>
      <c r="HTC1" s="185"/>
      <c r="HTD1" s="180"/>
      <c r="HTE1" s="181"/>
      <c r="HTF1" s="181"/>
      <c r="HTG1" s="181"/>
      <c r="HTH1" s="181"/>
      <c r="HTI1" s="181"/>
      <c r="HTJ1" s="181"/>
      <c r="HTK1" s="181"/>
      <c r="HTL1" s="181"/>
      <c r="HTM1" s="182"/>
      <c r="HTN1" s="183"/>
      <c r="HTO1" s="184"/>
      <c r="HTP1" s="184"/>
      <c r="HTQ1" s="184"/>
      <c r="HTR1" s="184"/>
      <c r="HTS1" s="184"/>
      <c r="HTT1" s="184"/>
      <c r="HTU1" s="184"/>
      <c r="HTV1" s="184"/>
      <c r="HTW1" s="185"/>
      <c r="HTX1" s="180"/>
      <c r="HTY1" s="181"/>
      <c r="HTZ1" s="181"/>
      <c r="HUA1" s="181"/>
      <c r="HUB1" s="181"/>
      <c r="HUC1" s="181"/>
      <c r="HUD1" s="181"/>
      <c r="HUE1" s="181"/>
      <c r="HUF1" s="181"/>
      <c r="HUG1" s="182"/>
      <c r="HUH1" s="183"/>
      <c r="HUI1" s="184"/>
      <c r="HUJ1" s="184"/>
      <c r="HUK1" s="184"/>
      <c r="HUL1" s="184"/>
      <c r="HUM1" s="184"/>
      <c r="HUN1" s="184"/>
      <c r="HUO1" s="184"/>
      <c r="HUP1" s="184"/>
      <c r="HUQ1" s="185"/>
      <c r="HUR1" s="180"/>
      <c r="HUS1" s="181"/>
      <c r="HUT1" s="181"/>
      <c r="HUU1" s="181"/>
      <c r="HUV1" s="181"/>
      <c r="HUW1" s="181"/>
      <c r="HUX1" s="181"/>
      <c r="HUY1" s="181"/>
      <c r="HUZ1" s="181"/>
      <c r="HVA1" s="182"/>
      <c r="HVB1" s="183"/>
      <c r="HVC1" s="184"/>
      <c r="HVD1" s="184"/>
      <c r="HVE1" s="184"/>
      <c r="HVF1" s="184"/>
      <c r="HVG1" s="184"/>
      <c r="HVH1" s="184"/>
      <c r="HVI1" s="184"/>
      <c r="HVJ1" s="184"/>
      <c r="HVK1" s="185"/>
      <c r="HVL1" s="180"/>
      <c r="HVM1" s="181"/>
      <c r="HVN1" s="181"/>
      <c r="HVO1" s="181"/>
      <c r="HVP1" s="181"/>
      <c r="HVQ1" s="181"/>
      <c r="HVR1" s="181"/>
      <c r="HVS1" s="181"/>
      <c r="HVT1" s="181"/>
      <c r="HVU1" s="182"/>
      <c r="HVV1" s="183"/>
      <c r="HVW1" s="184"/>
      <c r="HVX1" s="184"/>
      <c r="HVY1" s="184"/>
      <c r="HVZ1" s="184"/>
      <c r="HWA1" s="184"/>
      <c r="HWB1" s="184"/>
      <c r="HWC1" s="184"/>
      <c r="HWD1" s="184"/>
      <c r="HWE1" s="185"/>
      <c r="HWF1" s="180"/>
      <c r="HWG1" s="181"/>
      <c r="HWH1" s="181"/>
      <c r="HWI1" s="181"/>
      <c r="HWJ1" s="181"/>
      <c r="HWK1" s="181"/>
      <c r="HWL1" s="181"/>
      <c r="HWM1" s="181"/>
      <c r="HWN1" s="181"/>
      <c r="HWO1" s="182"/>
      <c r="HWP1" s="183"/>
      <c r="HWQ1" s="184"/>
      <c r="HWR1" s="184"/>
      <c r="HWS1" s="184"/>
      <c r="HWT1" s="184"/>
      <c r="HWU1" s="184"/>
      <c r="HWV1" s="184"/>
      <c r="HWW1" s="184"/>
      <c r="HWX1" s="184"/>
      <c r="HWY1" s="185"/>
      <c r="HWZ1" s="180"/>
      <c r="HXA1" s="181"/>
      <c r="HXB1" s="181"/>
      <c r="HXC1" s="181"/>
      <c r="HXD1" s="181"/>
      <c r="HXE1" s="181"/>
      <c r="HXF1" s="181"/>
      <c r="HXG1" s="181"/>
      <c r="HXH1" s="181"/>
      <c r="HXI1" s="182"/>
      <c r="HXJ1" s="183"/>
      <c r="HXK1" s="184"/>
      <c r="HXL1" s="184"/>
      <c r="HXM1" s="184"/>
      <c r="HXN1" s="184"/>
      <c r="HXO1" s="184"/>
      <c r="HXP1" s="184"/>
      <c r="HXQ1" s="184"/>
      <c r="HXR1" s="184"/>
      <c r="HXS1" s="185"/>
      <c r="HXT1" s="180"/>
      <c r="HXU1" s="181"/>
      <c r="HXV1" s="181"/>
      <c r="HXW1" s="181"/>
      <c r="HXX1" s="181"/>
      <c r="HXY1" s="181"/>
      <c r="HXZ1" s="181"/>
      <c r="HYA1" s="181"/>
      <c r="HYB1" s="181"/>
      <c r="HYC1" s="182"/>
      <c r="HYD1" s="183"/>
      <c r="HYE1" s="184"/>
      <c r="HYF1" s="184"/>
      <c r="HYG1" s="184"/>
      <c r="HYH1" s="184"/>
      <c r="HYI1" s="184"/>
      <c r="HYJ1" s="184"/>
      <c r="HYK1" s="184"/>
      <c r="HYL1" s="184"/>
      <c r="HYM1" s="185"/>
      <c r="HYN1" s="180"/>
      <c r="HYO1" s="181"/>
      <c r="HYP1" s="181"/>
      <c r="HYQ1" s="181"/>
      <c r="HYR1" s="181"/>
      <c r="HYS1" s="181"/>
      <c r="HYT1" s="181"/>
      <c r="HYU1" s="181"/>
      <c r="HYV1" s="181"/>
      <c r="HYW1" s="182"/>
      <c r="HYX1" s="183"/>
      <c r="HYY1" s="184"/>
      <c r="HYZ1" s="184"/>
      <c r="HZA1" s="184"/>
      <c r="HZB1" s="184"/>
      <c r="HZC1" s="184"/>
      <c r="HZD1" s="184"/>
      <c r="HZE1" s="184"/>
      <c r="HZF1" s="184"/>
      <c r="HZG1" s="185"/>
      <c r="HZH1" s="180"/>
      <c r="HZI1" s="181"/>
      <c r="HZJ1" s="181"/>
      <c r="HZK1" s="181"/>
      <c r="HZL1" s="181"/>
      <c r="HZM1" s="181"/>
      <c r="HZN1" s="181"/>
      <c r="HZO1" s="181"/>
      <c r="HZP1" s="181"/>
      <c r="HZQ1" s="182"/>
      <c r="HZR1" s="183"/>
      <c r="HZS1" s="184"/>
      <c r="HZT1" s="184"/>
      <c r="HZU1" s="184"/>
      <c r="HZV1" s="184"/>
      <c r="HZW1" s="184"/>
      <c r="HZX1" s="184"/>
      <c r="HZY1" s="184"/>
      <c r="HZZ1" s="184"/>
      <c r="IAA1" s="185"/>
      <c r="IAB1" s="180"/>
      <c r="IAC1" s="181"/>
      <c r="IAD1" s="181"/>
      <c r="IAE1" s="181"/>
      <c r="IAF1" s="181"/>
      <c r="IAG1" s="181"/>
      <c r="IAH1" s="181"/>
      <c r="IAI1" s="181"/>
      <c r="IAJ1" s="181"/>
      <c r="IAK1" s="182"/>
      <c r="IAL1" s="183"/>
      <c r="IAM1" s="184"/>
      <c r="IAN1" s="184"/>
      <c r="IAO1" s="184"/>
      <c r="IAP1" s="184"/>
      <c r="IAQ1" s="184"/>
      <c r="IAR1" s="184"/>
      <c r="IAS1" s="184"/>
      <c r="IAT1" s="184"/>
      <c r="IAU1" s="185"/>
      <c r="IAV1" s="180"/>
      <c r="IAW1" s="181"/>
      <c r="IAX1" s="181"/>
      <c r="IAY1" s="181"/>
      <c r="IAZ1" s="181"/>
      <c r="IBA1" s="181"/>
      <c r="IBB1" s="181"/>
      <c r="IBC1" s="181"/>
      <c r="IBD1" s="181"/>
      <c r="IBE1" s="182"/>
      <c r="IBF1" s="183"/>
      <c r="IBG1" s="184"/>
      <c r="IBH1" s="184"/>
      <c r="IBI1" s="184"/>
      <c r="IBJ1" s="184"/>
      <c r="IBK1" s="184"/>
      <c r="IBL1" s="184"/>
      <c r="IBM1" s="184"/>
      <c r="IBN1" s="184"/>
      <c r="IBO1" s="185"/>
      <c r="IBP1" s="180"/>
      <c r="IBQ1" s="181"/>
      <c r="IBR1" s="181"/>
      <c r="IBS1" s="181"/>
      <c r="IBT1" s="181"/>
      <c r="IBU1" s="181"/>
      <c r="IBV1" s="181"/>
      <c r="IBW1" s="181"/>
      <c r="IBX1" s="181"/>
      <c r="IBY1" s="182"/>
      <c r="IBZ1" s="183"/>
      <c r="ICA1" s="184"/>
      <c r="ICB1" s="184"/>
      <c r="ICC1" s="184"/>
      <c r="ICD1" s="184"/>
      <c r="ICE1" s="184"/>
      <c r="ICF1" s="184"/>
      <c r="ICG1" s="184"/>
      <c r="ICH1" s="184"/>
      <c r="ICI1" s="185"/>
      <c r="ICJ1" s="180"/>
      <c r="ICK1" s="181"/>
      <c r="ICL1" s="181"/>
      <c r="ICM1" s="181"/>
      <c r="ICN1" s="181"/>
      <c r="ICO1" s="181"/>
      <c r="ICP1" s="181"/>
      <c r="ICQ1" s="181"/>
      <c r="ICR1" s="181"/>
      <c r="ICS1" s="182"/>
      <c r="ICT1" s="183"/>
      <c r="ICU1" s="184"/>
      <c r="ICV1" s="184"/>
      <c r="ICW1" s="184"/>
      <c r="ICX1" s="184"/>
      <c r="ICY1" s="184"/>
      <c r="ICZ1" s="184"/>
      <c r="IDA1" s="184"/>
      <c r="IDB1" s="184"/>
      <c r="IDC1" s="185"/>
      <c r="IDD1" s="180"/>
      <c r="IDE1" s="181"/>
      <c r="IDF1" s="181"/>
      <c r="IDG1" s="181"/>
      <c r="IDH1" s="181"/>
      <c r="IDI1" s="181"/>
      <c r="IDJ1" s="181"/>
      <c r="IDK1" s="181"/>
      <c r="IDL1" s="181"/>
      <c r="IDM1" s="182"/>
      <c r="IDN1" s="183"/>
      <c r="IDO1" s="184"/>
      <c r="IDP1" s="184"/>
      <c r="IDQ1" s="184"/>
      <c r="IDR1" s="184"/>
      <c r="IDS1" s="184"/>
      <c r="IDT1" s="184"/>
      <c r="IDU1" s="184"/>
      <c r="IDV1" s="184"/>
      <c r="IDW1" s="185"/>
      <c r="IDX1" s="180"/>
      <c r="IDY1" s="181"/>
      <c r="IDZ1" s="181"/>
      <c r="IEA1" s="181"/>
      <c r="IEB1" s="181"/>
      <c r="IEC1" s="181"/>
      <c r="IED1" s="181"/>
      <c r="IEE1" s="181"/>
      <c r="IEF1" s="181"/>
      <c r="IEG1" s="182"/>
      <c r="IEH1" s="183"/>
      <c r="IEI1" s="184"/>
      <c r="IEJ1" s="184"/>
      <c r="IEK1" s="184"/>
      <c r="IEL1" s="184"/>
      <c r="IEM1" s="184"/>
      <c r="IEN1" s="184"/>
      <c r="IEO1" s="184"/>
      <c r="IEP1" s="184"/>
      <c r="IEQ1" s="185"/>
      <c r="IER1" s="180"/>
      <c r="IES1" s="181"/>
      <c r="IET1" s="181"/>
      <c r="IEU1" s="181"/>
      <c r="IEV1" s="181"/>
      <c r="IEW1" s="181"/>
      <c r="IEX1" s="181"/>
      <c r="IEY1" s="181"/>
      <c r="IEZ1" s="181"/>
      <c r="IFA1" s="182"/>
      <c r="IFB1" s="183"/>
      <c r="IFC1" s="184"/>
      <c r="IFD1" s="184"/>
      <c r="IFE1" s="184"/>
      <c r="IFF1" s="184"/>
      <c r="IFG1" s="184"/>
      <c r="IFH1" s="184"/>
      <c r="IFI1" s="184"/>
      <c r="IFJ1" s="184"/>
      <c r="IFK1" s="185"/>
      <c r="IFL1" s="180"/>
      <c r="IFM1" s="181"/>
      <c r="IFN1" s="181"/>
      <c r="IFO1" s="181"/>
      <c r="IFP1" s="181"/>
      <c r="IFQ1" s="181"/>
      <c r="IFR1" s="181"/>
      <c r="IFS1" s="181"/>
      <c r="IFT1" s="181"/>
      <c r="IFU1" s="182"/>
      <c r="IFV1" s="183"/>
      <c r="IFW1" s="184"/>
      <c r="IFX1" s="184"/>
      <c r="IFY1" s="184"/>
      <c r="IFZ1" s="184"/>
      <c r="IGA1" s="184"/>
      <c r="IGB1" s="184"/>
      <c r="IGC1" s="184"/>
      <c r="IGD1" s="184"/>
      <c r="IGE1" s="185"/>
      <c r="IGF1" s="180"/>
      <c r="IGG1" s="181"/>
      <c r="IGH1" s="181"/>
      <c r="IGI1" s="181"/>
      <c r="IGJ1" s="181"/>
      <c r="IGK1" s="181"/>
      <c r="IGL1" s="181"/>
      <c r="IGM1" s="181"/>
      <c r="IGN1" s="181"/>
      <c r="IGO1" s="182"/>
      <c r="IGP1" s="183"/>
      <c r="IGQ1" s="184"/>
      <c r="IGR1" s="184"/>
      <c r="IGS1" s="184"/>
      <c r="IGT1" s="184"/>
      <c r="IGU1" s="184"/>
      <c r="IGV1" s="184"/>
      <c r="IGW1" s="184"/>
      <c r="IGX1" s="184"/>
      <c r="IGY1" s="185"/>
      <c r="IGZ1" s="180"/>
      <c r="IHA1" s="181"/>
      <c r="IHB1" s="181"/>
      <c r="IHC1" s="181"/>
      <c r="IHD1" s="181"/>
      <c r="IHE1" s="181"/>
      <c r="IHF1" s="181"/>
      <c r="IHG1" s="181"/>
      <c r="IHH1" s="181"/>
      <c r="IHI1" s="182"/>
      <c r="IHJ1" s="183"/>
      <c r="IHK1" s="184"/>
      <c r="IHL1" s="184"/>
      <c r="IHM1" s="184"/>
      <c r="IHN1" s="184"/>
      <c r="IHO1" s="184"/>
      <c r="IHP1" s="184"/>
      <c r="IHQ1" s="184"/>
      <c r="IHR1" s="184"/>
      <c r="IHS1" s="185"/>
      <c r="IHT1" s="180"/>
      <c r="IHU1" s="181"/>
      <c r="IHV1" s="181"/>
      <c r="IHW1" s="181"/>
      <c r="IHX1" s="181"/>
      <c r="IHY1" s="181"/>
      <c r="IHZ1" s="181"/>
      <c r="IIA1" s="181"/>
      <c r="IIB1" s="181"/>
      <c r="IIC1" s="182"/>
      <c r="IID1" s="183"/>
      <c r="IIE1" s="184"/>
      <c r="IIF1" s="184"/>
      <c r="IIG1" s="184"/>
      <c r="IIH1" s="184"/>
      <c r="III1" s="184"/>
      <c r="IIJ1" s="184"/>
      <c r="IIK1" s="184"/>
      <c r="IIL1" s="184"/>
      <c r="IIM1" s="185"/>
      <c r="IIN1" s="180"/>
      <c r="IIO1" s="181"/>
      <c r="IIP1" s="181"/>
      <c r="IIQ1" s="181"/>
      <c r="IIR1" s="181"/>
      <c r="IIS1" s="181"/>
      <c r="IIT1" s="181"/>
      <c r="IIU1" s="181"/>
      <c r="IIV1" s="181"/>
      <c r="IIW1" s="182"/>
      <c r="IIX1" s="183"/>
      <c r="IIY1" s="184"/>
      <c r="IIZ1" s="184"/>
      <c r="IJA1" s="184"/>
      <c r="IJB1" s="184"/>
      <c r="IJC1" s="184"/>
      <c r="IJD1" s="184"/>
      <c r="IJE1" s="184"/>
      <c r="IJF1" s="184"/>
      <c r="IJG1" s="185"/>
      <c r="IJH1" s="180"/>
      <c r="IJI1" s="181"/>
      <c r="IJJ1" s="181"/>
      <c r="IJK1" s="181"/>
      <c r="IJL1" s="181"/>
      <c r="IJM1" s="181"/>
      <c r="IJN1" s="181"/>
      <c r="IJO1" s="181"/>
      <c r="IJP1" s="181"/>
      <c r="IJQ1" s="182"/>
      <c r="IJR1" s="183"/>
      <c r="IJS1" s="184"/>
      <c r="IJT1" s="184"/>
      <c r="IJU1" s="184"/>
      <c r="IJV1" s="184"/>
      <c r="IJW1" s="184"/>
      <c r="IJX1" s="184"/>
      <c r="IJY1" s="184"/>
      <c r="IJZ1" s="184"/>
      <c r="IKA1" s="185"/>
      <c r="IKB1" s="180"/>
      <c r="IKC1" s="181"/>
      <c r="IKD1" s="181"/>
      <c r="IKE1" s="181"/>
      <c r="IKF1" s="181"/>
      <c r="IKG1" s="181"/>
      <c r="IKH1" s="181"/>
      <c r="IKI1" s="181"/>
      <c r="IKJ1" s="181"/>
      <c r="IKK1" s="182"/>
      <c r="IKL1" s="183"/>
      <c r="IKM1" s="184"/>
      <c r="IKN1" s="184"/>
      <c r="IKO1" s="184"/>
      <c r="IKP1" s="184"/>
      <c r="IKQ1" s="184"/>
      <c r="IKR1" s="184"/>
      <c r="IKS1" s="184"/>
      <c r="IKT1" s="184"/>
      <c r="IKU1" s="185"/>
      <c r="IKV1" s="180"/>
      <c r="IKW1" s="181"/>
      <c r="IKX1" s="181"/>
      <c r="IKY1" s="181"/>
      <c r="IKZ1" s="181"/>
      <c r="ILA1" s="181"/>
      <c r="ILB1" s="181"/>
      <c r="ILC1" s="181"/>
      <c r="ILD1" s="181"/>
      <c r="ILE1" s="182"/>
      <c r="ILF1" s="183"/>
      <c r="ILG1" s="184"/>
      <c r="ILH1" s="184"/>
      <c r="ILI1" s="184"/>
      <c r="ILJ1" s="184"/>
      <c r="ILK1" s="184"/>
      <c r="ILL1" s="184"/>
      <c r="ILM1" s="184"/>
      <c r="ILN1" s="184"/>
      <c r="ILO1" s="185"/>
      <c r="ILP1" s="180"/>
      <c r="ILQ1" s="181"/>
      <c r="ILR1" s="181"/>
      <c r="ILS1" s="181"/>
      <c r="ILT1" s="181"/>
      <c r="ILU1" s="181"/>
      <c r="ILV1" s="181"/>
      <c r="ILW1" s="181"/>
      <c r="ILX1" s="181"/>
      <c r="ILY1" s="182"/>
      <c r="ILZ1" s="183"/>
      <c r="IMA1" s="184"/>
      <c r="IMB1" s="184"/>
      <c r="IMC1" s="184"/>
      <c r="IMD1" s="184"/>
      <c r="IME1" s="184"/>
      <c r="IMF1" s="184"/>
      <c r="IMG1" s="184"/>
      <c r="IMH1" s="184"/>
      <c r="IMI1" s="185"/>
      <c r="IMJ1" s="180"/>
      <c r="IMK1" s="181"/>
      <c r="IML1" s="181"/>
      <c r="IMM1" s="181"/>
      <c r="IMN1" s="181"/>
      <c r="IMO1" s="181"/>
      <c r="IMP1" s="181"/>
      <c r="IMQ1" s="181"/>
      <c r="IMR1" s="181"/>
      <c r="IMS1" s="182"/>
      <c r="IMT1" s="183"/>
      <c r="IMU1" s="184"/>
      <c r="IMV1" s="184"/>
      <c r="IMW1" s="184"/>
      <c r="IMX1" s="184"/>
      <c r="IMY1" s="184"/>
      <c r="IMZ1" s="184"/>
      <c r="INA1" s="184"/>
      <c r="INB1" s="184"/>
      <c r="INC1" s="185"/>
      <c r="IND1" s="180"/>
      <c r="INE1" s="181"/>
      <c r="INF1" s="181"/>
      <c r="ING1" s="181"/>
      <c r="INH1" s="181"/>
      <c r="INI1" s="181"/>
      <c r="INJ1" s="181"/>
      <c r="INK1" s="181"/>
      <c r="INL1" s="181"/>
      <c r="INM1" s="182"/>
      <c r="INN1" s="183"/>
      <c r="INO1" s="184"/>
      <c r="INP1" s="184"/>
      <c r="INQ1" s="184"/>
      <c r="INR1" s="184"/>
      <c r="INS1" s="184"/>
      <c r="INT1" s="184"/>
      <c r="INU1" s="184"/>
      <c r="INV1" s="184"/>
      <c r="INW1" s="185"/>
      <c r="INX1" s="180"/>
      <c r="INY1" s="181"/>
      <c r="INZ1" s="181"/>
      <c r="IOA1" s="181"/>
      <c r="IOB1" s="181"/>
      <c r="IOC1" s="181"/>
      <c r="IOD1" s="181"/>
      <c r="IOE1" s="181"/>
      <c r="IOF1" s="181"/>
      <c r="IOG1" s="182"/>
      <c r="IOH1" s="183"/>
      <c r="IOI1" s="184"/>
      <c r="IOJ1" s="184"/>
      <c r="IOK1" s="184"/>
      <c r="IOL1" s="184"/>
      <c r="IOM1" s="184"/>
      <c r="ION1" s="184"/>
      <c r="IOO1" s="184"/>
      <c r="IOP1" s="184"/>
      <c r="IOQ1" s="185"/>
      <c r="IOR1" s="180"/>
      <c r="IOS1" s="181"/>
      <c r="IOT1" s="181"/>
      <c r="IOU1" s="181"/>
      <c r="IOV1" s="181"/>
      <c r="IOW1" s="181"/>
      <c r="IOX1" s="181"/>
      <c r="IOY1" s="181"/>
      <c r="IOZ1" s="181"/>
      <c r="IPA1" s="182"/>
      <c r="IPB1" s="183"/>
      <c r="IPC1" s="184"/>
      <c r="IPD1" s="184"/>
      <c r="IPE1" s="184"/>
      <c r="IPF1" s="184"/>
      <c r="IPG1" s="184"/>
      <c r="IPH1" s="184"/>
      <c r="IPI1" s="184"/>
      <c r="IPJ1" s="184"/>
      <c r="IPK1" s="185"/>
      <c r="IPL1" s="180"/>
      <c r="IPM1" s="181"/>
      <c r="IPN1" s="181"/>
      <c r="IPO1" s="181"/>
      <c r="IPP1" s="181"/>
      <c r="IPQ1" s="181"/>
      <c r="IPR1" s="181"/>
      <c r="IPS1" s="181"/>
      <c r="IPT1" s="181"/>
      <c r="IPU1" s="182"/>
      <c r="IPV1" s="183"/>
      <c r="IPW1" s="184"/>
      <c r="IPX1" s="184"/>
      <c r="IPY1" s="184"/>
      <c r="IPZ1" s="184"/>
      <c r="IQA1" s="184"/>
      <c r="IQB1" s="184"/>
      <c r="IQC1" s="184"/>
      <c r="IQD1" s="184"/>
      <c r="IQE1" s="185"/>
      <c r="IQF1" s="180"/>
      <c r="IQG1" s="181"/>
      <c r="IQH1" s="181"/>
      <c r="IQI1" s="181"/>
      <c r="IQJ1" s="181"/>
      <c r="IQK1" s="181"/>
      <c r="IQL1" s="181"/>
      <c r="IQM1" s="181"/>
      <c r="IQN1" s="181"/>
      <c r="IQO1" s="182"/>
      <c r="IQP1" s="183"/>
      <c r="IQQ1" s="184"/>
      <c r="IQR1" s="184"/>
      <c r="IQS1" s="184"/>
      <c r="IQT1" s="184"/>
      <c r="IQU1" s="184"/>
      <c r="IQV1" s="184"/>
      <c r="IQW1" s="184"/>
      <c r="IQX1" s="184"/>
      <c r="IQY1" s="185"/>
      <c r="IQZ1" s="180"/>
      <c r="IRA1" s="181"/>
      <c r="IRB1" s="181"/>
      <c r="IRC1" s="181"/>
      <c r="IRD1" s="181"/>
      <c r="IRE1" s="181"/>
      <c r="IRF1" s="181"/>
      <c r="IRG1" s="181"/>
      <c r="IRH1" s="181"/>
      <c r="IRI1" s="182"/>
      <c r="IRJ1" s="183"/>
      <c r="IRK1" s="184"/>
      <c r="IRL1" s="184"/>
      <c r="IRM1" s="184"/>
      <c r="IRN1" s="184"/>
      <c r="IRO1" s="184"/>
      <c r="IRP1" s="184"/>
      <c r="IRQ1" s="184"/>
      <c r="IRR1" s="184"/>
      <c r="IRS1" s="185"/>
      <c r="IRT1" s="180"/>
      <c r="IRU1" s="181"/>
      <c r="IRV1" s="181"/>
      <c r="IRW1" s="181"/>
      <c r="IRX1" s="181"/>
      <c r="IRY1" s="181"/>
      <c r="IRZ1" s="181"/>
      <c r="ISA1" s="181"/>
      <c r="ISB1" s="181"/>
      <c r="ISC1" s="182"/>
      <c r="ISD1" s="183"/>
      <c r="ISE1" s="184"/>
      <c r="ISF1" s="184"/>
      <c r="ISG1" s="184"/>
      <c r="ISH1" s="184"/>
      <c r="ISI1" s="184"/>
      <c r="ISJ1" s="184"/>
      <c r="ISK1" s="184"/>
      <c r="ISL1" s="184"/>
      <c r="ISM1" s="185"/>
      <c r="ISN1" s="180"/>
      <c r="ISO1" s="181"/>
      <c r="ISP1" s="181"/>
      <c r="ISQ1" s="181"/>
      <c r="ISR1" s="181"/>
      <c r="ISS1" s="181"/>
      <c r="IST1" s="181"/>
      <c r="ISU1" s="181"/>
      <c r="ISV1" s="181"/>
      <c r="ISW1" s="182"/>
      <c r="ISX1" s="183"/>
      <c r="ISY1" s="184"/>
      <c r="ISZ1" s="184"/>
      <c r="ITA1" s="184"/>
      <c r="ITB1" s="184"/>
      <c r="ITC1" s="184"/>
      <c r="ITD1" s="184"/>
      <c r="ITE1" s="184"/>
      <c r="ITF1" s="184"/>
      <c r="ITG1" s="185"/>
      <c r="ITH1" s="180"/>
      <c r="ITI1" s="181"/>
      <c r="ITJ1" s="181"/>
      <c r="ITK1" s="181"/>
      <c r="ITL1" s="181"/>
      <c r="ITM1" s="181"/>
      <c r="ITN1" s="181"/>
      <c r="ITO1" s="181"/>
      <c r="ITP1" s="181"/>
      <c r="ITQ1" s="182"/>
      <c r="ITR1" s="183"/>
      <c r="ITS1" s="184"/>
      <c r="ITT1" s="184"/>
      <c r="ITU1" s="184"/>
      <c r="ITV1" s="184"/>
      <c r="ITW1" s="184"/>
      <c r="ITX1" s="184"/>
      <c r="ITY1" s="184"/>
      <c r="ITZ1" s="184"/>
      <c r="IUA1" s="185"/>
      <c r="IUB1" s="180"/>
      <c r="IUC1" s="181"/>
      <c r="IUD1" s="181"/>
      <c r="IUE1" s="181"/>
      <c r="IUF1" s="181"/>
      <c r="IUG1" s="181"/>
      <c r="IUH1" s="181"/>
      <c r="IUI1" s="181"/>
      <c r="IUJ1" s="181"/>
      <c r="IUK1" s="182"/>
      <c r="IUL1" s="183"/>
      <c r="IUM1" s="184"/>
      <c r="IUN1" s="184"/>
      <c r="IUO1" s="184"/>
      <c r="IUP1" s="184"/>
      <c r="IUQ1" s="184"/>
      <c r="IUR1" s="184"/>
      <c r="IUS1" s="184"/>
      <c r="IUT1" s="184"/>
      <c r="IUU1" s="185"/>
      <c r="IUV1" s="180"/>
      <c r="IUW1" s="181"/>
      <c r="IUX1" s="181"/>
      <c r="IUY1" s="181"/>
      <c r="IUZ1" s="181"/>
      <c r="IVA1" s="181"/>
      <c r="IVB1" s="181"/>
      <c r="IVC1" s="181"/>
      <c r="IVD1" s="181"/>
      <c r="IVE1" s="182"/>
      <c r="IVF1" s="183"/>
      <c r="IVG1" s="184"/>
      <c r="IVH1" s="184"/>
      <c r="IVI1" s="184"/>
      <c r="IVJ1" s="184"/>
      <c r="IVK1" s="184"/>
      <c r="IVL1" s="184"/>
      <c r="IVM1" s="184"/>
      <c r="IVN1" s="184"/>
      <c r="IVO1" s="185"/>
      <c r="IVP1" s="180"/>
      <c r="IVQ1" s="181"/>
      <c r="IVR1" s="181"/>
      <c r="IVS1" s="181"/>
      <c r="IVT1" s="181"/>
      <c r="IVU1" s="181"/>
      <c r="IVV1" s="181"/>
      <c r="IVW1" s="181"/>
      <c r="IVX1" s="181"/>
      <c r="IVY1" s="182"/>
      <c r="IVZ1" s="183"/>
      <c r="IWA1" s="184"/>
      <c r="IWB1" s="184"/>
      <c r="IWC1" s="184"/>
      <c r="IWD1" s="184"/>
      <c r="IWE1" s="184"/>
      <c r="IWF1" s="184"/>
      <c r="IWG1" s="184"/>
      <c r="IWH1" s="184"/>
      <c r="IWI1" s="185"/>
      <c r="IWJ1" s="180"/>
      <c r="IWK1" s="181"/>
      <c r="IWL1" s="181"/>
      <c r="IWM1" s="181"/>
      <c r="IWN1" s="181"/>
      <c r="IWO1" s="181"/>
      <c r="IWP1" s="181"/>
      <c r="IWQ1" s="181"/>
      <c r="IWR1" s="181"/>
      <c r="IWS1" s="182"/>
      <c r="IWT1" s="183"/>
      <c r="IWU1" s="184"/>
      <c r="IWV1" s="184"/>
      <c r="IWW1" s="184"/>
      <c r="IWX1" s="184"/>
      <c r="IWY1" s="184"/>
      <c r="IWZ1" s="184"/>
      <c r="IXA1" s="184"/>
      <c r="IXB1" s="184"/>
      <c r="IXC1" s="185"/>
      <c r="IXD1" s="180"/>
      <c r="IXE1" s="181"/>
      <c r="IXF1" s="181"/>
      <c r="IXG1" s="181"/>
      <c r="IXH1" s="181"/>
      <c r="IXI1" s="181"/>
      <c r="IXJ1" s="181"/>
      <c r="IXK1" s="181"/>
      <c r="IXL1" s="181"/>
      <c r="IXM1" s="182"/>
      <c r="IXN1" s="183"/>
      <c r="IXO1" s="184"/>
      <c r="IXP1" s="184"/>
      <c r="IXQ1" s="184"/>
      <c r="IXR1" s="184"/>
      <c r="IXS1" s="184"/>
      <c r="IXT1" s="184"/>
      <c r="IXU1" s="184"/>
      <c r="IXV1" s="184"/>
      <c r="IXW1" s="185"/>
      <c r="IXX1" s="180"/>
      <c r="IXY1" s="181"/>
      <c r="IXZ1" s="181"/>
      <c r="IYA1" s="181"/>
      <c r="IYB1" s="181"/>
      <c r="IYC1" s="181"/>
      <c r="IYD1" s="181"/>
      <c r="IYE1" s="181"/>
      <c r="IYF1" s="181"/>
      <c r="IYG1" s="182"/>
      <c r="IYH1" s="183"/>
      <c r="IYI1" s="184"/>
      <c r="IYJ1" s="184"/>
      <c r="IYK1" s="184"/>
      <c r="IYL1" s="184"/>
      <c r="IYM1" s="184"/>
      <c r="IYN1" s="184"/>
      <c r="IYO1" s="184"/>
      <c r="IYP1" s="184"/>
      <c r="IYQ1" s="185"/>
      <c r="IYR1" s="180"/>
      <c r="IYS1" s="181"/>
      <c r="IYT1" s="181"/>
      <c r="IYU1" s="181"/>
      <c r="IYV1" s="181"/>
      <c r="IYW1" s="181"/>
      <c r="IYX1" s="181"/>
      <c r="IYY1" s="181"/>
      <c r="IYZ1" s="181"/>
      <c r="IZA1" s="182"/>
      <c r="IZB1" s="183"/>
      <c r="IZC1" s="184"/>
      <c r="IZD1" s="184"/>
      <c r="IZE1" s="184"/>
      <c r="IZF1" s="184"/>
      <c r="IZG1" s="184"/>
      <c r="IZH1" s="184"/>
      <c r="IZI1" s="184"/>
      <c r="IZJ1" s="184"/>
      <c r="IZK1" s="185"/>
      <c r="IZL1" s="180"/>
      <c r="IZM1" s="181"/>
      <c r="IZN1" s="181"/>
      <c r="IZO1" s="181"/>
      <c r="IZP1" s="181"/>
      <c r="IZQ1" s="181"/>
      <c r="IZR1" s="181"/>
      <c r="IZS1" s="181"/>
      <c r="IZT1" s="181"/>
      <c r="IZU1" s="182"/>
      <c r="IZV1" s="183"/>
      <c r="IZW1" s="184"/>
      <c r="IZX1" s="184"/>
      <c r="IZY1" s="184"/>
      <c r="IZZ1" s="184"/>
      <c r="JAA1" s="184"/>
      <c r="JAB1" s="184"/>
      <c r="JAC1" s="184"/>
      <c r="JAD1" s="184"/>
      <c r="JAE1" s="185"/>
      <c r="JAF1" s="180"/>
      <c r="JAG1" s="181"/>
      <c r="JAH1" s="181"/>
      <c r="JAI1" s="181"/>
      <c r="JAJ1" s="181"/>
      <c r="JAK1" s="181"/>
      <c r="JAL1" s="181"/>
      <c r="JAM1" s="181"/>
      <c r="JAN1" s="181"/>
      <c r="JAO1" s="182"/>
      <c r="JAP1" s="183"/>
      <c r="JAQ1" s="184"/>
      <c r="JAR1" s="184"/>
      <c r="JAS1" s="184"/>
      <c r="JAT1" s="184"/>
      <c r="JAU1" s="184"/>
      <c r="JAV1" s="184"/>
      <c r="JAW1" s="184"/>
      <c r="JAX1" s="184"/>
      <c r="JAY1" s="185"/>
      <c r="JAZ1" s="180"/>
      <c r="JBA1" s="181"/>
      <c r="JBB1" s="181"/>
      <c r="JBC1" s="181"/>
      <c r="JBD1" s="181"/>
      <c r="JBE1" s="181"/>
      <c r="JBF1" s="181"/>
      <c r="JBG1" s="181"/>
      <c r="JBH1" s="181"/>
      <c r="JBI1" s="182"/>
      <c r="JBJ1" s="183"/>
      <c r="JBK1" s="184"/>
      <c r="JBL1" s="184"/>
      <c r="JBM1" s="184"/>
      <c r="JBN1" s="184"/>
      <c r="JBO1" s="184"/>
      <c r="JBP1" s="184"/>
      <c r="JBQ1" s="184"/>
      <c r="JBR1" s="184"/>
      <c r="JBS1" s="185"/>
      <c r="JBT1" s="180"/>
      <c r="JBU1" s="181"/>
      <c r="JBV1" s="181"/>
      <c r="JBW1" s="181"/>
      <c r="JBX1" s="181"/>
      <c r="JBY1" s="181"/>
      <c r="JBZ1" s="181"/>
      <c r="JCA1" s="181"/>
      <c r="JCB1" s="181"/>
      <c r="JCC1" s="182"/>
      <c r="JCD1" s="183"/>
      <c r="JCE1" s="184"/>
      <c r="JCF1" s="184"/>
      <c r="JCG1" s="184"/>
      <c r="JCH1" s="184"/>
      <c r="JCI1" s="184"/>
      <c r="JCJ1" s="184"/>
      <c r="JCK1" s="184"/>
      <c r="JCL1" s="184"/>
      <c r="JCM1" s="185"/>
      <c r="JCN1" s="180"/>
      <c r="JCO1" s="181"/>
      <c r="JCP1" s="181"/>
      <c r="JCQ1" s="181"/>
      <c r="JCR1" s="181"/>
      <c r="JCS1" s="181"/>
      <c r="JCT1" s="181"/>
      <c r="JCU1" s="181"/>
      <c r="JCV1" s="181"/>
      <c r="JCW1" s="182"/>
      <c r="JCX1" s="183"/>
      <c r="JCY1" s="184"/>
      <c r="JCZ1" s="184"/>
      <c r="JDA1" s="184"/>
      <c r="JDB1" s="184"/>
      <c r="JDC1" s="184"/>
      <c r="JDD1" s="184"/>
      <c r="JDE1" s="184"/>
      <c r="JDF1" s="184"/>
      <c r="JDG1" s="185"/>
      <c r="JDH1" s="180"/>
      <c r="JDI1" s="181"/>
      <c r="JDJ1" s="181"/>
      <c r="JDK1" s="181"/>
      <c r="JDL1" s="181"/>
      <c r="JDM1" s="181"/>
      <c r="JDN1" s="181"/>
      <c r="JDO1" s="181"/>
      <c r="JDP1" s="181"/>
      <c r="JDQ1" s="182"/>
      <c r="JDR1" s="183"/>
      <c r="JDS1" s="184"/>
      <c r="JDT1" s="184"/>
      <c r="JDU1" s="184"/>
      <c r="JDV1" s="184"/>
      <c r="JDW1" s="184"/>
      <c r="JDX1" s="184"/>
      <c r="JDY1" s="184"/>
      <c r="JDZ1" s="184"/>
      <c r="JEA1" s="185"/>
      <c r="JEB1" s="180"/>
      <c r="JEC1" s="181"/>
      <c r="JED1" s="181"/>
      <c r="JEE1" s="181"/>
      <c r="JEF1" s="181"/>
      <c r="JEG1" s="181"/>
      <c r="JEH1" s="181"/>
      <c r="JEI1" s="181"/>
      <c r="JEJ1" s="181"/>
      <c r="JEK1" s="182"/>
      <c r="JEL1" s="183"/>
      <c r="JEM1" s="184"/>
      <c r="JEN1" s="184"/>
      <c r="JEO1" s="184"/>
      <c r="JEP1" s="184"/>
      <c r="JEQ1" s="184"/>
      <c r="JER1" s="184"/>
      <c r="JES1" s="184"/>
      <c r="JET1" s="184"/>
      <c r="JEU1" s="185"/>
      <c r="JEV1" s="180"/>
      <c r="JEW1" s="181"/>
      <c r="JEX1" s="181"/>
      <c r="JEY1" s="181"/>
      <c r="JEZ1" s="181"/>
      <c r="JFA1" s="181"/>
      <c r="JFB1" s="181"/>
      <c r="JFC1" s="181"/>
      <c r="JFD1" s="181"/>
      <c r="JFE1" s="182"/>
      <c r="JFF1" s="183"/>
      <c r="JFG1" s="184"/>
      <c r="JFH1" s="184"/>
      <c r="JFI1" s="184"/>
      <c r="JFJ1" s="184"/>
      <c r="JFK1" s="184"/>
      <c r="JFL1" s="184"/>
      <c r="JFM1" s="184"/>
      <c r="JFN1" s="184"/>
      <c r="JFO1" s="185"/>
      <c r="JFP1" s="180"/>
      <c r="JFQ1" s="181"/>
      <c r="JFR1" s="181"/>
      <c r="JFS1" s="181"/>
      <c r="JFT1" s="181"/>
      <c r="JFU1" s="181"/>
      <c r="JFV1" s="181"/>
      <c r="JFW1" s="181"/>
      <c r="JFX1" s="181"/>
      <c r="JFY1" s="182"/>
      <c r="JFZ1" s="183"/>
      <c r="JGA1" s="184"/>
      <c r="JGB1" s="184"/>
      <c r="JGC1" s="184"/>
      <c r="JGD1" s="184"/>
      <c r="JGE1" s="184"/>
      <c r="JGF1" s="184"/>
      <c r="JGG1" s="184"/>
      <c r="JGH1" s="184"/>
      <c r="JGI1" s="185"/>
      <c r="JGJ1" s="180"/>
      <c r="JGK1" s="181"/>
      <c r="JGL1" s="181"/>
      <c r="JGM1" s="181"/>
      <c r="JGN1" s="181"/>
      <c r="JGO1" s="181"/>
      <c r="JGP1" s="181"/>
      <c r="JGQ1" s="181"/>
      <c r="JGR1" s="181"/>
      <c r="JGS1" s="182"/>
      <c r="JGT1" s="183"/>
      <c r="JGU1" s="184"/>
      <c r="JGV1" s="184"/>
      <c r="JGW1" s="184"/>
      <c r="JGX1" s="184"/>
      <c r="JGY1" s="184"/>
      <c r="JGZ1" s="184"/>
      <c r="JHA1" s="184"/>
      <c r="JHB1" s="184"/>
      <c r="JHC1" s="185"/>
      <c r="JHD1" s="180"/>
      <c r="JHE1" s="181"/>
      <c r="JHF1" s="181"/>
      <c r="JHG1" s="181"/>
      <c r="JHH1" s="181"/>
      <c r="JHI1" s="181"/>
      <c r="JHJ1" s="181"/>
      <c r="JHK1" s="181"/>
      <c r="JHL1" s="181"/>
      <c r="JHM1" s="182"/>
      <c r="JHN1" s="183"/>
      <c r="JHO1" s="184"/>
      <c r="JHP1" s="184"/>
      <c r="JHQ1" s="184"/>
      <c r="JHR1" s="184"/>
      <c r="JHS1" s="184"/>
      <c r="JHT1" s="184"/>
      <c r="JHU1" s="184"/>
      <c r="JHV1" s="184"/>
      <c r="JHW1" s="185"/>
      <c r="JHX1" s="180"/>
      <c r="JHY1" s="181"/>
      <c r="JHZ1" s="181"/>
      <c r="JIA1" s="181"/>
      <c r="JIB1" s="181"/>
      <c r="JIC1" s="181"/>
      <c r="JID1" s="181"/>
      <c r="JIE1" s="181"/>
      <c r="JIF1" s="181"/>
      <c r="JIG1" s="182"/>
      <c r="JIH1" s="183"/>
      <c r="JII1" s="184"/>
      <c r="JIJ1" s="184"/>
      <c r="JIK1" s="184"/>
      <c r="JIL1" s="184"/>
      <c r="JIM1" s="184"/>
      <c r="JIN1" s="184"/>
      <c r="JIO1" s="184"/>
      <c r="JIP1" s="184"/>
      <c r="JIQ1" s="185"/>
      <c r="JIR1" s="180"/>
      <c r="JIS1" s="181"/>
      <c r="JIT1" s="181"/>
      <c r="JIU1" s="181"/>
      <c r="JIV1" s="181"/>
      <c r="JIW1" s="181"/>
      <c r="JIX1" s="181"/>
      <c r="JIY1" s="181"/>
      <c r="JIZ1" s="181"/>
      <c r="JJA1" s="182"/>
      <c r="JJB1" s="183"/>
      <c r="JJC1" s="184"/>
      <c r="JJD1" s="184"/>
      <c r="JJE1" s="184"/>
      <c r="JJF1" s="184"/>
      <c r="JJG1" s="184"/>
      <c r="JJH1" s="184"/>
      <c r="JJI1" s="184"/>
      <c r="JJJ1" s="184"/>
      <c r="JJK1" s="185"/>
      <c r="JJL1" s="180"/>
      <c r="JJM1" s="181"/>
      <c r="JJN1" s="181"/>
      <c r="JJO1" s="181"/>
      <c r="JJP1" s="181"/>
      <c r="JJQ1" s="181"/>
      <c r="JJR1" s="181"/>
      <c r="JJS1" s="181"/>
      <c r="JJT1" s="181"/>
      <c r="JJU1" s="182"/>
      <c r="JJV1" s="183"/>
      <c r="JJW1" s="184"/>
      <c r="JJX1" s="184"/>
      <c r="JJY1" s="184"/>
      <c r="JJZ1" s="184"/>
      <c r="JKA1" s="184"/>
      <c r="JKB1" s="184"/>
      <c r="JKC1" s="184"/>
      <c r="JKD1" s="184"/>
      <c r="JKE1" s="185"/>
      <c r="JKF1" s="180"/>
      <c r="JKG1" s="181"/>
      <c r="JKH1" s="181"/>
      <c r="JKI1" s="181"/>
      <c r="JKJ1" s="181"/>
      <c r="JKK1" s="181"/>
      <c r="JKL1" s="181"/>
      <c r="JKM1" s="181"/>
      <c r="JKN1" s="181"/>
      <c r="JKO1" s="182"/>
      <c r="JKP1" s="183"/>
      <c r="JKQ1" s="184"/>
      <c r="JKR1" s="184"/>
      <c r="JKS1" s="184"/>
      <c r="JKT1" s="184"/>
      <c r="JKU1" s="184"/>
      <c r="JKV1" s="184"/>
      <c r="JKW1" s="184"/>
      <c r="JKX1" s="184"/>
      <c r="JKY1" s="185"/>
      <c r="JKZ1" s="180"/>
      <c r="JLA1" s="181"/>
      <c r="JLB1" s="181"/>
      <c r="JLC1" s="181"/>
      <c r="JLD1" s="181"/>
      <c r="JLE1" s="181"/>
      <c r="JLF1" s="181"/>
      <c r="JLG1" s="181"/>
      <c r="JLH1" s="181"/>
      <c r="JLI1" s="182"/>
      <c r="JLJ1" s="183"/>
      <c r="JLK1" s="184"/>
      <c r="JLL1" s="184"/>
      <c r="JLM1" s="184"/>
      <c r="JLN1" s="184"/>
      <c r="JLO1" s="184"/>
      <c r="JLP1" s="184"/>
      <c r="JLQ1" s="184"/>
      <c r="JLR1" s="184"/>
      <c r="JLS1" s="185"/>
      <c r="JLT1" s="180"/>
      <c r="JLU1" s="181"/>
      <c r="JLV1" s="181"/>
      <c r="JLW1" s="181"/>
      <c r="JLX1" s="181"/>
      <c r="JLY1" s="181"/>
      <c r="JLZ1" s="181"/>
      <c r="JMA1" s="181"/>
      <c r="JMB1" s="181"/>
      <c r="JMC1" s="182"/>
      <c r="JMD1" s="183"/>
      <c r="JME1" s="184"/>
      <c r="JMF1" s="184"/>
      <c r="JMG1" s="184"/>
      <c r="JMH1" s="184"/>
      <c r="JMI1" s="184"/>
      <c r="JMJ1" s="184"/>
      <c r="JMK1" s="184"/>
      <c r="JML1" s="184"/>
      <c r="JMM1" s="185"/>
      <c r="JMN1" s="180"/>
      <c r="JMO1" s="181"/>
      <c r="JMP1" s="181"/>
      <c r="JMQ1" s="181"/>
      <c r="JMR1" s="181"/>
      <c r="JMS1" s="181"/>
      <c r="JMT1" s="181"/>
      <c r="JMU1" s="181"/>
      <c r="JMV1" s="181"/>
      <c r="JMW1" s="182"/>
      <c r="JMX1" s="183"/>
      <c r="JMY1" s="184"/>
      <c r="JMZ1" s="184"/>
      <c r="JNA1" s="184"/>
      <c r="JNB1" s="184"/>
      <c r="JNC1" s="184"/>
      <c r="JND1" s="184"/>
      <c r="JNE1" s="184"/>
      <c r="JNF1" s="184"/>
      <c r="JNG1" s="185"/>
      <c r="JNH1" s="180"/>
      <c r="JNI1" s="181"/>
      <c r="JNJ1" s="181"/>
      <c r="JNK1" s="181"/>
      <c r="JNL1" s="181"/>
      <c r="JNM1" s="181"/>
      <c r="JNN1" s="181"/>
      <c r="JNO1" s="181"/>
      <c r="JNP1" s="181"/>
      <c r="JNQ1" s="182"/>
      <c r="JNR1" s="183"/>
      <c r="JNS1" s="184"/>
      <c r="JNT1" s="184"/>
      <c r="JNU1" s="184"/>
      <c r="JNV1" s="184"/>
      <c r="JNW1" s="184"/>
      <c r="JNX1" s="184"/>
      <c r="JNY1" s="184"/>
      <c r="JNZ1" s="184"/>
      <c r="JOA1" s="185"/>
      <c r="JOB1" s="180"/>
      <c r="JOC1" s="181"/>
      <c r="JOD1" s="181"/>
      <c r="JOE1" s="181"/>
      <c r="JOF1" s="181"/>
      <c r="JOG1" s="181"/>
      <c r="JOH1" s="181"/>
      <c r="JOI1" s="181"/>
      <c r="JOJ1" s="181"/>
      <c r="JOK1" s="182"/>
      <c r="JOL1" s="183"/>
      <c r="JOM1" s="184"/>
      <c r="JON1" s="184"/>
      <c r="JOO1" s="184"/>
      <c r="JOP1" s="184"/>
      <c r="JOQ1" s="184"/>
      <c r="JOR1" s="184"/>
      <c r="JOS1" s="184"/>
      <c r="JOT1" s="184"/>
      <c r="JOU1" s="185"/>
      <c r="JOV1" s="180"/>
      <c r="JOW1" s="181"/>
      <c r="JOX1" s="181"/>
      <c r="JOY1" s="181"/>
      <c r="JOZ1" s="181"/>
      <c r="JPA1" s="181"/>
      <c r="JPB1" s="181"/>
      <c r="JPC1" s="181"/>
      <c r="JPD1" s="181"/>
      <c r="JPE1" s="182"/>
      <c r="JPF1" s="183"/>
      <c r="JPG1" s="184"/>
      <c r="JPH1" s="184"/>
      <c r="JPI1" s="184"/>
      <c r="JPJ1" s="184"/>
      <c r="JPK1" s="184"/>
      <c r="JPL1" s="184"/>
      <c r="JPM1" s="184"/>
      <c r="JPN1" s="184"/>
      <c r="JPO1" s="185"/>
      <c r="JPP1" s="180"/>
      <c r="JPQ1" s="181"/>
      <c r="JPR1" s="181"/>
      <c r="JPS1" s="181"/>
      <c r="JPT1" s="181"/>
      <c r="JPU1" s="181"/>
      <c r="JPV1" s="181"/>
      <c r="JPW1" s="181"/>
      <c r="JPX1" s="181"/>
      <c r="JPY1" s="182"/>
      <c r="JPZ1" s="183"/>
      <c r="JQA1" s="184"/>
      <c r="JQB1" s="184"/>
      <c r="JQC1" s="184"/>
      <c r="JQD1" s="184"/>
      <c r="JQE1" s="184"/>
      <c r="JQF1" s="184"/>
      <c r="JQG1" s="184"/>
      <c r="JQH1" s="184"/>
      <c r="JQI1" s="185"/>
      <c r="JQJ1" s="180"/>
      <c r="JQK1" s="181"/>
      <c r="JQL1" s="181"/>
      <c r="JQM1" s="181"/>
      <c r="JQN1" s="181"/>
      <c r="JQO1" s="181"/>
      <c r="JQP1" s="181"/>
      <c r="JQQ1" s="181"/>
      <c r="JQR1" s="181"/>
      <c r="JQS1" s="182"/>
      <c r="JQT1" s="183"/>
      <c r="JQU1" s="184"/>
      <c r="JQV1" s="184"/>
      <c r="JQW1" s="184"/>
      <c r="JQX1" s="184"/>
      <c r="JQY1" s="184"/>
      <c r="JQZ1" s="184"/>
      <c r="JRA1" s="184"/>
      <c r="JRB1" s="184"/>
      <c r="JRC1" s="185"/>
      <c r="JRD1" s="180"/>
      <c r="JRE1" s="181"/>
      <c r="JRF1" s="181"/>
      <c r="JRG1" s="181"/>
      <c r="JRH1" s="181"/>
      <c r="JRI1" s="181"/>
      <c r="JRJ1" s="181"/>
      <c r="JRK1" s="181"/>
      <c r="JRL1" s="181"/>
      <c r="JRM1" s="182"/>
      <c r="JRN1" s="183"/>
      <c r="JRO1" s="184"/>
      <c r="JRP1" s="184"/>
      <c r="JRQ1" s="184"/>
      <c r="JRR1" s="184"/>
      <c r="JRS1" s="184"/>
      <c r="JRT1" s="184"/>
      <c r="JRU1" s="184"/>
      <c r="JRV1" s="184"/>
      <c r="JRW1" s="185"/>
      <c r="JRX1" s="180"/>
      <c r="JRY1" s="181"/>
      <c r="JRZ1" s="181"/>
      <c r="JSA1" s="181"/>
      <c r="JSB1" s="181"/>
      <c r="JSC1" s="181"/>
      <c r="JSD1" s="181"/>
      <c r="JSE1" s="181"/>
      <c r="JSF1" s="181"/>
      <c r="JSG1" s="182"/>
      <c r="JSH1" s="183"/>
      <c r="JSI1" s="184"/>
      <c r="JSJ1" s="184"/>
      <c r="JSK1" s="184"/>
      <c r="JSL1" s="184"/>
      <c r="JSM1" s="184"/>
      <c r="JSN1" s="184"/>
      <c r="JSO1" s="184"/>
      <c r="JSP1" s="184"/>
      <c r="JSQ1" s="185"/>
      <c r="JSR1" s="180"/>
      <c r="JSS1" s="181"/>
      <c r="JST1" s="181"/>
      <c r="JSU1" s="181"/>
      <c r="JSV1" s="181"/>
      <c r="JSW1" s="181"/>
      <c r="JSX1" s="181"/>
      <c r="JSY1" s="181"/>
      <c r="JSZ1" s="181"/>
      <c r="JTA1" s="182"/>
      <c r="JTB1" s="183"/>
      <c r="JTC1" s="184"/>
      <c r="JTD1" s="184"/>
      <c r="JTE1" s="184"/>
      <c r="JTF1" s="184"/>
      <c r="JTG1" s="184"/>
      <c r="JTH1" s="184"/>
      <c r="JTI1" s="184"/>
      <c r="JTJ1" s="184"/>
      <c r="JTK1" s="185"/>
      <c r="JTL1" s="180"/>
      <c r="JTM1" s="181"/>
      <c r="JTN1" s="181"/>
      <c r="JTO1" s="181"/>
      <c r="JTP1" s="181"/>
      <c r="JTQ1" s="181"/>
      <c r="JTR1" s="181"/>
      <c r="JTS1" s="181"/>
      <c r="JTT1" s="181"/>
      <c r="JTU1" s="182"/>
      <c r="JTV1" s="183"/>
      <c r="JTW1" s="184"/>
      <c r="JTX1" s="184"/>
      <c r="JTY1" s="184"/>
      <c r="JTZ1" s="184"/>
      <c r="JUA1" s="184"/>
      <c r="JUB1" s="184"/>
      <c r="JUC1" s="184"/>
      <c r="JUD1" s="184"/>
      <c r="JUE1" s="185"/>
      <c r="JUF1" s="180"/>
      <c r="JUG1" s="181"/>
      <c r="JUH1" s="181"/>
      <c r="JUI1" s="181"/>
      <c r="JUJ1" s="181"/>
      <c r="JUK1" s="181"/>
      <c r="JUL1" s="181"/>
      <c r="JUM1" s="181"/>
      <c r="JUN1" s="181"/>
      <c r="JUO1" s="182"/>
      <c r="JUP1" s="183"/>
      <c r="JUQ1" s="184"/>
      <c r="JUR1" s="184"/>
      <c r="JUS1" s="184"/>
      <c r="JUT1" s="184"/>
      <c r="JUU1" s="184"/>
      <c r="JUV1" s="184"/>
      <c r="JUW1" s="184"/>
      <c r="JUX1" s="184"/>
      <c r="JUY1" s="185"/>
      <c r="JUZ1" s="180"/>
      <c r="JVA1" s="181"/>
      <c r="JVB1" s="181"/>
      <c r="JVC1" s="181"/>
      <c r="JVD1" s="181"/>
      <c r="JVE1" s="181"/>
      <c r="JVF1" s="181"/>
      <c r="JVG1" s="181"/>
      <c r="JVH1" s="181"/>
      <c r="JVI1" s="182"/>
      <c r="JVJ1" s="183"/>
      <c r="JVK1" s="184"/>
      <c r="JVL1" s="184"/>
      <c r="JVM1" s="184"/>
      <c r="JVN1" s="184"/>
      <c r="JVO1" s="184"/>
      <c r="JVP1" s="184"/>
      <c r="JVQ1" s="184"/>
      <c r="JVR1" s="184"/>
      <c r="JVS1" s="185"/>
      <c r="JVT1" s="180"/>
      <c r="JVU1" s="181"/>
      <c r="JVV1" s="181"/>
      <c r="JVW1" s="181"/>
      <c r="JVX1" s="181"/>
      <c r="JVY1" s="181"/>
      <c r="JVZ1" s="181"/>
      <c r="JWA1" s="181"/>
      <c r="JWB1" s="181"/>
      <c r="JWC1" s="182"/>
      <c r="JWD1" s="183"/>
      <c r="JWE1" s="184"/>
      <c r="JWF1" s="184"/>
      <c r="JWG1" s="184"/>
      <c r="JWH1" s="184"/>
      <c r="JWI1" s="184"/>
      <c r="JWJ1" s="184"/>
      <c r="JWK1" s="184"/>
      <c r="JWL1" s="184"/>
      <c r="JWM1" s="185"/>
      <c r="JWN1" s="180"/>
      <c r="JWO1" s="181"/>
      <c r="JWP1" s="181"/>
      <c r="JWQ1" s="181"/>
      <c r="JWR1" s="181"/>
      <c r="JWS1" s="181"/>
      <c r="JWT1" s="181"/>
      <c r="JWU1" s="181"/>
      <c r="JWV1" s="181"/>
      <c r="JWW1" s="182"/>
      <c r="JWX1" s="183"/>
      <c r="JWY1" s="184"/>
      <c r="JWZ1" s="184"/>
      <c r="JXA1" s="184"/>
      <c r="JXB1" s="184"/>
      <c r="JXC1" s="184"/>
      <c r="JXD1" s="184"/>
      <c r="JXE1" s="184"/>
      <c r="JXF1" s="184"/>
      <c r="JXG1" s="185"/>
      <c r="JXH1" s="180"/>
      <c r="JXI1" s="181"/>
      <c r="JXJ1" s="181"/>
      <c r="JXK1" s="181"/>
      <c r="JXL1" s="181"/>
      <c r="JXM1" s="181"/>
      <c r="JXN1" s="181"/>
      <c r="JXO1" s="181"/>
      <c r="JXP1" s="181"/>
      <c r="JXQ1" s="182"/>
      <c r="JXR1" s="183"/>
      <c r="JXS1" s="184"/>
      <c r="JXT1" s="184"/>
      <c r="JXU1" s="184"/>
      <c r="JXV1" s="184"/>
      <c r="JXW1" s="184"/>
      <c r="JXX1" s="184"/>
      <c r="JXY1" s="184"/>
      <c r="JXZ1" s="184"/>
      <c r="JYA1" s="185"/>
      <c r="JYB1" s="180"/>
      <c r="JYC1" s="181"/>
      <c r="JYD1" s="181"/>
      <c r="JYE1" s="181"/>
      <c r="JYF1" s="181"/>
      <c r="JYG1" s="181"/>
      <c r="JYH1" s="181"/>
      <c r="JYI1" s="181"/>
      <c r="JYJ1" s="181"/>
      <c r="JYK1" s="182"/>
      <c r="JYL1" s="183"/>
      <c r="JYM1" s="184"/>
      <c r="JYN1" s="184"/>
      <c r="JYO1" s="184"/>
      <c r="JYP1" s="184"/>
      <c r="JYQ1" s="184"/>
      <c r="JYR1" s="184"/>
      <c r="JYS1" s="184"/>
      <c r="JYT1" s="184"/>
      <c r="JYU1" s="185"/>
      <c r="JYV1" s="180"/>
      <c r="JYW1" s="181"/>
      <c r="JYX1" s="181"/>
      <c r="JYY1" s="181"/>
      <c r="JYZ1" s="181"/>
      <c r="JZA1" s="181"/>
      <c r="JZB1" s="181"/>
      <c r="JZC1" s="181"/>
      <c r="JZD1" s="181"/>
      <c r="JZE1" s="182"/>
      <c r="JZF1" s="183"/>
      <c r="JZG1" s="184"/>
      <c r="JZH1" s="184"/>
      <c r="JZI1" s="184"/>
      <c r="JZJ1" s="184"/>
      <c r="JZK1" s="184"/>
      <c r="JZL1" s="184"/>
      <c r="JZM1" s="184"/>
      <c r="JZN1" s="184"/>
      <c r="JZO1" s="185"/>
      <c r="JZP1" s="180"/>
      <c r="JZQ1" s="181"/>
      <c r="JZR1" s="181"/>
      <c r="JZS1" s="181"/>
      <c r="JZT1" s="181"/>
      <c r="JZU1" s="181"/>
      <c r="JZV1" s="181"/>
      <c r="JZW1" s="181"/>
      <c r="JZX1" s="181"/>
      <c r="JZY1" s="182"/>
      <c r="JZZ1" s="183"/>
      <c r="KAA1" s="184"/>
      <c r="KAB1" s="184"/>
      <c r="KAC1" s="184"/>
      <c r="KAD1" s="184"/>
      <c r="KAE1" s="184"/>
      <c r="KAF1" s="184"/>
      <c r="KAG1" s="184"/>
      <c r="KAH1" s="184"/>
      <c r="KAI1" s="185"/>
      <c r="KAJ1" s="180"/>
      <c r="KAK1" s="181"/>
      <c r="KAL1" s="181"/>
      <c r="KAM1" s="181"/>
      <c r="KAN1" s="181"/>
      <c r="KAO1" s="181"/>
      <c r="KAP1" s="181"/>
      <c r="KAQ1" s="181"/>
      <c r="KAR1" s="181"/>
      <c r="KAS1" s="182"/>
      <c r="KAT1" s="183"/>
      <c r="KAU1" s="184"/>
      <c r="KAV1" s="184"/>
      <c r="KAW1" s="184"/>
      <c r="KAX1" s="184"/>
      <c r="KAY1" s="184"/>
      <c r="KAZ1" s="184"/>
      <c r="KBA1" s="184"/>
      <c r="KBB1" s="184"/>
      <c r="KBC1" s="185"/>
      <c r="KBD1" s="180"/>
      <c r="KBE1" s="181"/>
      <c r="KBF1" s="181"/>
      <c r="KBG1" s="181"/>
      <c r="KBH1" s="181"/>
      <c r="KBI1" s="181"/>
      <c r="KBJ1" s="181"/>
      <c r="KBK1" s="181"/>
      <c r="KBL1" s="181"/>
      <c r="KBM1" s="182"/>
      <c r="KBN1" s="183"/>
      <c r="KBO1" s="184"/>
      <c r="KBP1" s="184"/>
      <c r="KBQ1" s="184"/>
      <c r="KBR1" s="184"/>
      <c r="KBS1" s="184"/>
      <c r="KBT1" s="184"/>
      <c r="KBU1" s="184"/>
      <c r="KBV1" s="184"/>
      <c r="KBW1" s="185"/>
      <c r="KBX1" s="180"/>
      <c r="KBY1" s="181"/>
      <c r="KBZ1" s="181"/>
      <c r="KCA1" s="181"/>
      <c r="KCB1" s="181"/>
      <c r="KCC1" s="181"/>
      <c r="KCD1" s="181"/>
      <c r="KCE1" s="181"/>
      <c r="KCF1" s="181"/>
      <c r="KCG1" s="182"/>
      <c r="KCH1" s="183"/>
      <c r="KCI1" s="184"/>
      <c r="KCJ1" s="184"/>
      <c r="KCK1" s="184"/>
      <c r="KCL1" s="184"/>
      <c r="KCM1" s="184"/>
      <c r="KCN1" s="184"/>
      <c r="KCO1" s="184"/>
      <c r="KCP1" s="184"/>
      <c r="KCQ1" s="185"/>
      <c r="KCR1" s="180"/>
      <c r="KCS1" s="181"/>
      <c r="KCT1" s="181"/>
      <c r="KCU1" s="181"/>
      <c r="KCV1" s="181"/>
      <c r="KCW1" s="181"/>
      <c r="KCX1" s="181"/>
      <c r="KCY1" s="181"/>
      <c r="KCZ1" s="181"/>
      <c r="KDA1" s="182"/>
      <c r="KDB1" s="183"/>
      <c r="KDC1" s="184"/>
      <c r="KDD1" s="184"/>
      <c r="KDE1" s="184"/>
      <c r="KDF1" s="184"/>
      <c r="KDG1" s="184"/>
      <c r="KDH1" s="184"/>
      <c r="KDI1" s="184"/>
      <c r="KDJ1" s="184"/>
      <c r="KDK1" s="185"/>
      <c r="KDL1" s="180"/>
      <c r="KDM1" s="181"/>
      <c r="KDN1" s="181"/>
      <c r="KDO1" s="181"/>
      <c r="KDP1" s="181"/>
      <c r="KDQ1" s="181"/>
      <c r="KDR1" s="181"/>
      <c r="KDS1" s="181"/>
      <c r="KDT1" s="181"/>
      <c r="KDU1" s="182"/>
      <c r="KDV1" s="183"/>
      <c r="KDW1" s="184"/>
      <c r="KDX1" s="184"/>
      <c r="KDY1" s="184"/>
      <c r="KDZ1" s="184"/>
      <c r="KEA1" s="184"/>
      <c r="KEB1" s="184"/>
      <c r="KEC1" s="184"/>
      <c r="KED1" s="184"/>
      <c r="KEE1" s="185"/>
      <c r="KEF1" s="180"/>
      <c r="KEG1" s="181"/>
      <c r="KEH1" s="181"/>
      <c r="KEI1" s="181"/>
      <c r="KEJ1" s="181"/>
      <c r="KEK1" s="181"/>
      <c r="KEL1" s="181"/>
      <c r="KEM1" s="181"/>
      <c r="KEN1" s="181"/>
      <c r="KEO1" s="182"/>
      <c r="KEP1" s="183"/>
      <c r="KEQ1" s="184"/>
      <c r="KER1" s="184"/>
      <c r="KES1" s="184"/>
      <c r="KET1" s="184"/>
      <c r="KEU1" s="184"/>
      <c r="KEV1" s="184"/>
      <c r="KEW1" s="184"/>
      <c r="KEX1" s="184"/>
      <c r="KEY1" s="185"/>
      <c r="KEZ1" s="180"/>
      <c r="KFA1" s="181"/>
      <c r="KFB1" s="181"/>
      <c r="KFC1" s="181"/>
      <c r="KFD1" s="181"/>
      <c r="KFE1" s="181"/>
      <c r="KFF1" s="181"/>
      <c r="KFG1" s="181"/>
      <c r="KFH1" s="181"/>
      <c r="KFI1" s="182"/>
      <c r="KFJ1" s="183"/>
      <c r="KFK1" s="184"/>
      <c r="KFL1" s="184"/>
      <c r="KFM1" s="184"/>
      <c r="KFN1" s="184"/>
      <c r="KFO1" s="184"/>
      <c r="KFP1" s="184"/>
      <c r="KFQ1" s="184"/>
      <c r="KFR1" s="184"/>
      <c r="KFS1" s="185"/>
      <c r="KFT1" s="180"/>
      <c r="KFU1" s="181"/>
      <c r="KFV1" s="181"/>
      <c r="KFW1" s="181"/>
      <c r="KFX1" s="181"/>
      <c r="KFY1" s="181"/>
      <c r="KFZ1" s="181"/>
      <c r="KGA1" s="181"/>
      <c r="KGB1" s="181"/>
      <c r="KGC1" s="182"/>
      <c r="KGD1" s="183"/>
      <c r="KGE1" s="184"/>
      <c r="KGF1" s="184"/>
      <c r="KGG1" s="184"/>
      <c r="KGH1" s="184"/>
      <c r="KGI1" s="184"/>
      <c r="KGJ1" s="184"/>
      <c r="KGK1" s="184"/>
      <c r="KGL1" s="184"/>
      <c r="KGM1" s="185"/>
      <c r="KGN1" s="180"/>
      <c r="KGO1" s="181"/>
      <c r="KGP1" s="181"/>
      <c r="KGQ1" s="181"/>
      <c r="KGR1" s="181"/>
      <c r="KGS1" s="181"/>
      <c r="KGT1" s="181"/>
      <c r="KGU1" s="181"/>
      <c r="KGV1" s="181"/>
      <c r="KGW1" s="182"/>
      <c r="KGX1" s="183"/>
      <c r="KGY1" s="184"/>
      <c r="KGZ1" s="184"/>
      <c r="KHA1" s="184"/>
      <c r="KHB1" s="184"/>
      <c r="KHC1" s="184"/>
      <c r="KHD1" s="184"/>
      <c r="KHE1" s="184"/>
      <c r="KHF1" s="184"/>
      <c r="KHG1" s="185"/>
      <c r="KHH1" s="180"/>
      <c r="KHI1" s="181"/>
      <c r="KHJ1" s="181"/>
      <c r="KHK1" s="181"/>
      <c r="KHL1" s="181"/>
      <c r="KHM1" s="181"/>
      <c r="KHN1" s="181"/>
      <c r="KHO1" s="181"/>
      <c r="KHP1" s="181"/>
      <c r="KHQ1" s="182"/>
      <c r="KHR1" s="183"/>
      <c r="KHS1" s="184"/>
      <c r="KHT1" s="184"/>
      <c r="KHU1" s="184"/>
      <c r="KHV1" s="184"/>
      <c r="KHW1" s="184"/>
      <c r="KHX1" s="184"/>
      <c r="KHY1" s="184"/>
      <c r="KHZ1" s="184"/>
      <c r="KIA1" s="185"/>
      <c r="KIB1" s="180"/>
      <c r="KIC1" s="181"/>
      <c r="KID1" s="181"/>
      <c r="KIE1" s="181"/>
      <c r="KIF1" s="181"/>
      <c r="KIG1" s="181"/>
      <c r="KIH1" s="181"/>
      <c r="KII1" s="181"/>
      <c r="KIJ1" s="181"/>
      <c r="KIK1" s="182"/>
      <c r="KIL1" s="183"/>
      <c r="KIM1" s="184"/>
      <c r="KIN1" s="184"/>
      <c r="KIO1" s="184"/>
      <c r="KIP1" s="184"/>
      <c r="KIQ1" s="184"/>
      <c r="KIR1" s="184"/>
      <c r="KIS1" s="184"/>
      <c r="KIT1" s="184"/>
      <c r="KIU1" s="185"/>
      <c r="KIV1" s="180"/>
      <c r="KIW1" s="181"/>
      <c r="KIX1" s="181"/>
      <c r="KIY1" s="181"/>
      <c r="KIZ1" s="181"/>
      <c r="KJA1" s="181"/>
      <c r="KJB1" s="181"/>
      <c r="KJC1" s="181"/>
      <c r="KJD1" s="181"/>
      <c r="KJE1" s="182"/>
      <c r="KJF1" s="183"/>
      <c r="KJG1" s="184"/>
      <c r="KJH1" s="184"/>
      <c r="KJI1" s="184"/>
      <c r="KJJ1" s="184"/>
      <c r="KJK1" s="184"/>
      <c r="KJL1" s="184"/>
      <c r="KJM1" s="184"/>
      <c r="KJN1" s="184"/>
      <c r="KJO1" s="185"/>
      <c r="KJP1" s="180"/>
      <c r="KJQ1" s="181"/>
      <c r="KJR1" s="181"/>
      <c r="KJS1" s="181"/>
      <c r="KJT1" s="181"/>
      <c r="KJU1" s="181"/>
      <c r="KJV1" s="181"/>
      <c r="KJW1" s="181"/>
      <c r="KJX1" s="181"/>
      <c r="KJY1" s="182"/>
      <c r="KJZ1" s="183"/>
      <c r="KKA1" s="184"/>
      <c r="KKB1" s="184"/>
      <c r="KKC1" s="184"/>
      <c r="KKD1" s="184"/>
      <c r="KKE1" s="184"/>
      <c r="KKF1" s="184"/>
      <c r="KKG1" s="184"/>
      <c r="KKH1" s="184"/>
      <c r="KKI1" s="185"/>
      <c r="KKJ1" s="180"/>
      <c r="KKK1" s="181"/>
      <c r="KKL1" s="181"/>
      <c r="KKM1" s="181"/>
      <c r="KKN1" s="181"/>
      <c r="KKO1" s="181"/>
      <c r="KKP1" s="181"/>
      <c r="KKQ1" s="181"/>
      <c r="KKR1" s="181"/>
      <c r="KKS1" s="182"/>
      <c r="KKT1" s="183"/>
      <c r="KKU1" s="184"/>
      <c r="KKV1" s="184"/>
      <c r="KKW1" s="184"/>
      <c r="KKX1" s="184"/>
      <c r="KKY1" s="184"/>
      <c r="KKZ1" s="184"/>
      <c r="KLA1" s="184"/>
      <c r="KLB1" s="184"/>
      <c r="KLC1" s="185"/>
      <c r="KLD1" s="180"/>
      <c r="KLE1" s="181"/>
      <c r="KLF1" s="181"/>
      <c r="KLG1" s="181"/>
      <c r="KLH1" s="181"/>
      <c r="KLI1" s="181"/>
      <c r="KLJ1" s="181"/>
      <c r="KLK1" s="181"/>
      <c r="KLL1" s="181"/>
      <c r="KLM1" s="182"/>
      <c r="KLN1" s="183"/>
      <c r="KLO1" s="184"/>
      <c r="KLP1" s="184"/>
      <c r="KLQ1" s="184"/>
      <c r="KLR1" s="184"/>
      <c r="KLS1" s="184"/>
      <c r="KLT1" s="184"/>
      <c r="KLU1" s="184"/>
      <c r="KLV1" s="184"/>
      <c r="KLW1" s="185"/>
      <c r="KLX1" s="180"/>
      <c r="KLY1" s="181"/>
      <c r="KLZ1" s="181"/>
      <c r="KMA1" s="181"/>
      <c r="KMB1" s="181"/>
      <c r="KMC1" s="181"/>
      <c r="KMD1" s="181"/>
      <c r="KME1" s="181"/>
      <c r="KMF1" s="181"/>
      <c r="KMG1" s="182"/>
      <c r="KMH1" s="183"/>
      <c r="KMI1" s="184"/>
      <c r="KMJ1" s="184"/>
      <c r="KMK1" s="184"/>
      <c r="KML1" s="184"/>
      <c r="KMM1" s="184"/>
      <c r="KMN1" s="184"/>
      <c r="KMO1" s="184"/>
      <c r="KMP1" s="184"/>
      <c r="KMQ1" s="185"/>
      <c r="KMR1" s="180"/>
      <c r="KMS1" s="181"/>
      <c r="KMT1" s="181"/>
      <c r="KMU1" s="181"/>
      <c r="KMV1" s="181"/>
      <c r="KMW1" s="181"/>
      <c r="KMX1" s="181"/>
      <c r="KMY1" s="181"/>
      <c r="KMZ1" s="181"/>
      <c r="KNA1" s="182"/>
      <c r="KNB1" s="183"/>
      <c r="KNC1" s="184"/>
      <c r="KND1" s="184"/>
      <c r="KNE1" s="184"/>
      <c r="KNF1" s="184"/>
      <c r="KNG1" s="184"/>
      <c r="KNH1" s="184"/>
      <c r="KNI1" s="184"/>
      <c r="KNJ1" s="184"/>
      <c r="KNK1" s="185"/>
      <c r="KNL1" s="180"/>
      <c r="KNM1" s="181"/>
      <c r="KNN1" s="181"/>
      <c r="KNO1" s="181"/>
      <c r="KNP1" s="181"/>
      <c r="KNQ1" s="181"/>
      <c r="KNR1" s="181"/>
      <c r="KNS1" s="181"/>
      <c r="KNT1" s="181"/>
      <c r="KNU1" s="182"/>
      <c r="KNV1" s="183"/>
      <c r="KNW1" s="184"/>
      <c r="KNX1" s="184"/>
      <c r="KNY1" s="184"/>
      <c r="KNZ1" s="184"/>
      <c r="KOA1" s="184"/>
      <c r="KOB1" s="184"/>
      <c r="KOC1" s="184"/>
      <c r="KOD1" s="184"/>
      <c r="KOE1" s="185"/>
      <c r="KOF1" s="180"/>
      <c r="KOG1" s="181"/>
      <c r="KOH1" s="181"/>
      <c r="KOI1" s="181"/>
      <c r="KOJ1" s="181"/>
      <c r="KOK1" s="181"/>
      <c r="KOL1" s="181"/>
      <c r="KOM1" s="181"/>
      <c r="KON1" s="181"/>
      <c r="KOO1" s="182"/>
      <c r="KOP1" s="183"/>
      <c r="KOQ1" s="184"/>
      <c r="KOR1" s="184"/>
      <c r="KOS1" s="184"/>
      <c r="KOT1" s="184"/>
      <c r="KOU1" s="184"/>
      <c r="KOV1" s="184"/>
      <c r="KOW1" s="184"/>
      <c r="KOX1" s="184"/>
      <c r="KOY1" s="185"/>
      <c r="KOZ1" s="180"/>
      <c r="KPA1" s="181"/>
      <c r="KPB1" s="181"/>
      <c r="KPC1" s="181"/>
      <c r="KPD1" s="181"/>
      <c r="KPE1" s="181"/>
      <c r="KPF1" s="181"/>
      <c r="KPG1" s="181"/>
      <c r="KPH1" s="181"/>
      <c r="KPI1" s="182"/>
      <c r="KPJ1" s="183"/>
      <c r="KPK1" s="184"/>
      <c r="KPL1" s="184"/>
      <c r="KPM1" s="184"/>
      <c r="KPN1" s="184"/>
      <c r="KPO1" s="184"/>
      <c r="KPP1" s="184"/>
      <c r="KPQ1" s="184"/>
      <c r="KPR1" s="184"/>
      <c r="KPS1" s="185"/>
      <c r="KPT1" s="180"/>
      <c r="KPU1" s="181"/>
      <c r="KPV1" s="181"/>
      <c r="KPW1" s="181"/>
      <c r="KPX1" s="181"/>
      <c r="KPY1" s="181"/>
      <c r="KPZ1" s="181"/>
      <c r="KQA1" s="181"/>
      <c r="KQB1" s="181"/>
      <c r="KQC1" s="182"/>
      <c r="KQD1" s="183"/>
      <c r="KQE1" s="184"/>
      <c r="KQF1" s="184"/>
      <c r="KQG1" s="184"/>
      <c r="KQH1" s="184"/>
      <c r="KQI1" s="184"/>
      <c r="KQJ1" s="184"/>
      <c r="KQK1" s="184"/>
      <c r="KQL1" s="184"/>
      <c r="KQM1" s="185"/>
      <c r="KQN1" s="180"/>
      <c r="KQO1" s="181"/>
      <c r="KQP1" s="181"/>
      <c r="KQQ1" s="181"/>
      <c r="KQR1" s="181"/>
      <c r="KQS1" s="181"/>
      <c r="KQT1" s="181"/>
      <c r="KQU1" s="181"/>
      <c r="KQV1" s="181"/>
      <c r="KQW1" s="182"/>
      <c r="KQX1" s="183"/>
      <c r="KQY1" s="184"/>
      <c r="KQZ1" s="184"/>
      <c r="KRA1" s="184"/>
      <c r="KRB1" s="184"/>
      <c r="KRC1" s="184"/>
      <c r="KRD1" s="184"/>
      <c r="KRE1" s="184"/>
      <c r="KRF1" s="184"/>
      <c r="KRG1" s="185"/>
      <c r="KRH1" s="180"/>
      <c r="KRI1" s="181"/>
      <c r="KRJ1" s="181"/>
      <c r="KRK1" s="181"/>
      <c r="KRL1" s="181"/>
      <c r="KRM1" s="181"/>
      <c r="KRN1" s="181"/>
      <c r="KRO1" s="181"/>
      <c r="KRP1" s="181"/>
      <c r="KRQ1" s="182"/>
      <c r="KRR1" s="183"/>
      <c r="KRS1" s="184"/>
      <c r="KRT1" s="184"/>
      <c r="KRU1" s="184"/>
      <c r="KRV1" s="184"/>
      <c r="KRW1" s="184"/>
      <c r="KRX1" s="184"/>
      <c r="KRY1" s="184"/>
      <c r="KRZ1" s="184"/>
      <c r="KSA1" s="185"/>
      <c r="KSB1" s="180"/>
      <c r="KSC1" s="181"/>
      <c r="KSD1" s="181"/>
      <c r="KSE1" s="181"/>
      <c r="KSF1" s="181"/>
      <c r="KSG1" s="181"/>
      <c r="KSH1" s="181"/>
      <c r="KSI1" s="181"/>
      <c r="KSJ1" s="181"/>
      <c r="KSK1" s="182"/>
      <c r="KSL1" s="183"/>
      <c r="KSM1" s="184"/>
      <c r="KSN1" s="184"/>
      <c r="KSO1" s="184"/>
      <c r="KSP1" s="184"/>
      <c r="KSQ1" s="184"/>
      <c r="KSR1" s="184"/>
      <c r="KSS1" s="184"/>
      <c r="KST1" s="184"/>
      <c r="KSU1" s="185"/>
      <c r="KSV1" s="180"/>
      <c r="KSW1" s="181"/>
      <c r="KSX1" s="181"/>
      <c r="KSY1" s="181"/>
      <c r="KSZ1" s="181"/>
      <c r="KTA1" s="181"/>
      <c r="KTB1" s="181"/>
      <c r="KTC1" s="181"/>
      <c r="KTD1" s="181"/>
      <c r="KTE1" s="182"/>
      <c r="KTF1" s="183"/>
      <c r="KTG1" s="184"/>
      <c r="KTH1" s="184"/>
      <c r="KTI1" s="184"/>
      <c r="KTJ1" s="184"/>
      <c r="KTK1" s="184"/>
      <c r="KTL1" s="184"/>
      <c r="KTM1" s="184"/>
      <c r="KTN1" s="184"/>
      <c r="KTO1" s="185"/>
      <c r="KTP1" s="180"/>
      <c r="KTQ1" s="181"/>
      <c r="KTR1" s="181"/>
      <c r="KTS1" s="181"/>
      <c r="KTT1" s="181"/>
      <c r="KTU1" s="181"/>
      <c r="KTV1" s="181"/>
      <c r="KTW1" s="181"/>
      <c r="KTX1" s="181"/>
      <c r="KTY1" s="182"/>
      <c r="KTZ1" s="183"/>
      <c r="KUA1" s="184"/>
      <c r="KUB1" s="184"/>
      <c r="KUC1" s="184"/>
      <c r="KUD1" s="184"/>
      <c r="KUE1" s="184"/>
      <c r="KUF1" s="184"/>
      <c r="KUG1" s="184"/>
      <c r="KUH1" s="184"/>
      <c r="KUI1" s="185"/>
      <c r="KUJ1" s="180"/>
      <c r="KUK1" s="181"/>
      <c r="KUL1" s="181"/>
      <c r="KUM1" s="181"/>
      <c r="KUN1" s="181"/>
      <c r="KUO1" s="181"/>
      <c r="KUP1" s="181"/>
      <c r="KUQ1" s="181"/>
      <c r="KUR1" s="181"/>
      <c r="KUS1" s="182"/>
      <c r="KUT1" s="183"/>
      <c r="KUU1" s="184"/>
      <c r="KUV1" s="184"/>
      <c r="KUW1" s="184"/>
      <c r="KUX1" s="184"/>
      <c r="KUY1" s="184"/>
      <c r="KUZ1" s="184"/>
      <c r="KVA1" s="184"/>
      <c r="KVB1" s="184"/>
      <c r="KVC1" s="185"/>
      <c r="KVD1" s="180"/>
      <c r="KVE1" s="181"/>
      <c r="KVF1" s="181"/>
      <c r="KVG1" s="181"/>
      <c r="KVH1" s="181"/>
      <c r="KVI1" s="181"/>
      <c r="KVJ1" s="181"/>
      <c r="KVK1" s="181"/>
      <c r="KVL1" s="181"/>
      <c r="KVM1" s="182"/>
      <c r="KVN1" s="183"/>
      <c r="KVO1" s="184"/>
      <c r="KVP1" s="184"/>
      <c r="KVQ1" s="184"/>
      <c r="KVR1" s="184"/>
      <c r="KVS1" s="184"/>
      <c r="KVT1" s="184"/>
      <c r="KVU1" s="184"/>
      <c r="KVV1" s="184"/>
      <c r="KVW1" s="185"/>
      <c r="KVX1" s="180"/>
      <c r="KVY1" s="181"/>
      <c r="KVZ1" s="181"/>
      <c r="KWA1" s="181"/>
      <c r="KWB1" s="181"/>
      <c r="KWC1" s="181"/>
      <c r="KWD1" s="181"/>
      <c r="KWE1" s="181"/>
      <c r="KWF1" s="181"/>
      <c r="KWG1" s="182"/>
      <c r="KWH1" s="183"/>
      <c r="KWI1" s="184"/>
      <c r="KWJ1" s="184"/>
      <c r="KWK1" s="184"/>
      <c r="KWL1" s="184"/>
      <c r="KWM1" s="184"/>
      <c r="KWN1" s="184"/>
      <c r="KWO1" s="184"/>
      <c r="KWP1" s="184"/>
      <c r="KWQ1" s="185"/>
      <c r="KWR1" s="180"/>
      <c r="KWS1" s="181"/>
      <c r="KWT1" s="181"/>
      <c r="KWU1" s="181"/>
      <c r="KWV1" s="181"/>
      <c r="KWW1" s="181"/>
      <c r="KWX1" s="181"/>
      <c r="KWY1" s="181"/>
      <c r="KWZ1" s="181"/>
      <c r="KXA1" s="182"/>
      <c r="KXB1" s="183"/>
      <c r="KXC1" s="184"/>
      <c r="KXD1" s="184"/>
      <c r="KXE1" s="184"/>
      <c r="KXF1" s="184"/>
      <c r="KXG1" s="184"/>
      <c r="KXH1" s="184"/>
      <c r="KXI1" s="184"/>
      <c r="KXJ1" s="184"/>
      <c r="KXK1" s="185"/>
      <c r="KXL1" s="180"/>
      <c r="KXM1" s="181"/>
      <c r="KXN1" s="181"/>
      <c r="KXO1" s="181"/>
      <c r="KXP1" s="181"/>
      <c r="KXQ1" s="181"/>
      <c r="KXR1" s="181"/>
      <c r="KXS1" s="181"/>
      <c r="KXT1" s="181"/>
      <c r="KXU1" s="182"/>
      <c r="KXV1" s="183"/>
      <c r="KXW1" s="184"/>
      <c r="KXX1" s="184"/>
      <c r="KXY1" s="184"/>
      <c r="KXZ1" s="184"/>
      <c r="KYA1" s="184"/>
      <c r="KYB1" s="184"/>
      <c r="KYC1" s="184"/>
      <c r="KYD1" s="184"/>
      <c r="KYE1" s="185"/>
      <c r="KYF1" s="180"/>
      <c r="KYG1" s="181"/>
      <c r="KYH1" s="181"/>
      <c r="KYI1" s="181"/>
      <c r="KYJ1" s="181"/>
      <c r="KYK1" s="181"/>
      <c r="KYL1" s="181"/>
      <c r="KYM1" s="181"/>
      <c r="KYN1" s="181"/>
      <c r="KYO1" s="182"/>
      <c r="KYP1" s="183"/>
      <c r="KYQ1" s="184"/>
      <c r="KYR1" s="184"/>
      <c r="KYS1" s="184"/>
      <c r="KYT1" s="184"/>
      <c r="KYU1" s="184"/>
      <c r="KYV1" s="184"/>
      <c r="KYW1" s="184"/>
      <c r="KYX1" s="184"/>
      <c r="KYY1" s="185"/>
      <c r="KYZ1" s="180"/>
      <c r="KZA1" s="181"/>
      <c r="KZB1" s="181"/>
      <c r="KZC1" s="181"/>
      <c r="KZD1" s="181"/>
      <c r="KZE1" s="181"/>
      <c r="KZF1" s="181"/>
      <c r="KZG1" s="181"/>
      <c r="KZH1" s="181"/>
      <c r="KZI1" s="182"/>
      <c r="KZJ1" s="183"/>
      <c r="KZK1" s="184"/>
      <c r="KZL1" s="184"/>
      <c r="KZM1" s="184"/>
      <c r="KZN1" s="184"/>
      <c r="KZO1" s="184"/>
      <c r="KZP1" s="184"/>
      <c r="KZQ1" s="184"/>
      <c r="KZR1" s="184"/>
      <c r="KZS1" s="185"/>
      <c r="KZT1" s="180"/>
      <c r="KZU1" s="181"/>
      <c r="KZV1" s="181"/>
      <c r="KZW1" s="181"/>
      <c r="KZX1" s="181"/>
      <c r="KZY1" s="181"/>
      <c r="KZZ1" s="181"/>
      <c r="LAA1" s="181"/>
      <c r="LAB1" s="181"/>
      <c r="LAC1" s="182"/>
      <c r="LAD1" s="183"/>
      <c r="LAE1" s="184"/>
      <c r="LAF1" s="184"/>
      <c r="LAG1" s="184"/>
      <c r="LAH1" s="184"/>
      <c r="LAI1" s="184"/>
      <c r="LAJ1" s="184"/>
      <c r="LAK1" s="184"/>
      <c r="LAL1" s="184"/>
      <c r="LAM1" s="185"/>
      <c r="LAN1" s="180"/>
      <c r="LAO1" s="181"/>
      <c r="LAP1" s="181"/>
      <c r="LAQ1" s="181"/>
      <c r="LAR1" s="181"/>
      <c r="LAS1" s="181"/>
      <c r="LAT1" s="181"/>
      <c r="LAU1" s="181"/>
      <c r="LAV1" s="181"/>
      <c r="LAW1" s="182"/>
      <c r="LAX1" s="183"/>
      <c r="LAY1" s="184"/>
      <c r="LAZ1" s="184"/>
      <c r="LBA1" s="184"/>
      <c r="LBB1" s="184"/>
      <c r="LBC1" s="184"/>
      <c r="LBD1" s="184"/>
      <c r="LBE1" s="184"/>
      <c r="LBF1" s="184"/>
      <c r="LBG1" s="185"/>
      <c r="LBH1" s="180"/>
      <c r="LBI1" s="181"/>
      <c r="LBJ1" s="181"/>
      <c r="LBK1" s="181"/>
      <c r="LBL1" s="181"/>
      <c r="LBM1" s="181"/>
      <c r="LBN1" s="181"/>
      <c r="LBO1" s="181"/>
      <c r="LBP1" s="181"/>
      <c r="LBQ1" s="182"/>
      <c r="LBR1" s="183"/>
      <c r="LBS1" s="184"/>
      <c r="LBT1" s="184"/>
      <c r="LBU1" s="184"/>
      <c r="LBV1" s="184"/>
      <c r="LBW1" s="184"/>
      <c r="LBX1" s="184"/>
      <c r="LBY1" s="184"/>
      <c r="LBZ1" s="184"/>
      <c r="LCA1" s="185"/>
      <c r="LCB1" s="180"/>
      <c r="LCC1" s="181"/>
      <c r="LCD1" s="181"/>
      <c r="LCE1" s="181"/>
      <c r="LCF1" s="181"/>
      <c r="LCG1" s="181"/>
      <c r="LCH1" s="181"/>
      <c r="LCI1" s="181"/>
      <c r="LCJ1" s="181"/>
      <c r="LCK1" s="182"/>
      <c r="LCL1" s="183"/>
      <c r="LCM1" s="184"/>
      <c r="LCN1" s="184"/>
      <c r="LCO1" s="184"/>
      <c r="LCP1" s="184"/>
      <c r="LCQ1" s="184"/>
      <c r="LCR1" s="184"/>
      <c r="LCS1" s="184"/>
      <c r="LCT1" s="184"/>
      <c r="LCU1" s="185"/>
      <c r="LCV1" s="180"/>
      <c r="LCW1" s="181"/>
      <c r="LCX1" s="181"/>
      <c r="LCY1" s="181"/>
      <c r="LCZ1" s="181"/>
      <c r="LDA1" s="181"/>
      <c r="LDB1" s="181"/>
      <c r="LDC1" s="181"/>
      <c r="LDD1" s="181"/>
      <c r="LDE1" s="182"/>
      <c r="LDF1" s="183"/>
      <c r="LDG1" s="184"/>
      <c r="LDH1" s="184"/>
      <c r="LDI1" s="184"/>
      <c r="LDJ1" s="184"/>
      <c r="LDK1" s="184"/>
      <c r="LDL1" s="184"/>
      <c r="LDM1" s="184"/>
      <c r="LDN1" s="184"/>
      <c r="LDO1" s="185"/>
      <c r="LDP1" s="180"/>
      <c r="LDQ1" s="181"/>
      <c r="LDR1" s="181"/>
      <c r="LDS1" s="181"/>
      <c r="LDT1" s="181"/>
      <c r="LDU1" s="181"/>
      <c r="LDV1" s="181"/>
      <c r="LDW1" s="181"/>
      <c r="LDX1" s="181"/>
      <c r="LDY1" s="182"/>
      <c r="LDZ1" s="183"/>
      <c r="LEA1" s="184"/>
      <c r="LEB1" s="184"/>
      <c r="LEC1" s="184"/>
      <c r="LED1" s="184"/>
      <c r="LEE1" s="184"/>
      <c r="LEF1" s="184"/>
      <c r="LEG1" s="184"/>
      <c r="LEH1" s="184"/>
      <c r="LEI1" s="185"/>
      <c r="LEJ1" s="180"/>
      <c r="LEK1" s="181"/>
      <c r="LEL1" s="181"/>
      <c r="LEM1" s="181"/>
      <c r="LEN1" s="181"/>
      <c r="LEO1" s="181"/>
      <c r="LEP1" s="181"/>
      <c r="LEQ1" s="181"/>
      <c r="LER1" s="181"/>
      <c r="LES1" s="182"/>
      <c r="LET1" s="183"/>
      <c r="LEU1" s="184"/>
      <c r="LEV1" s="184"/>
      <c r="LEW1" s="184"/>
      <c r="LEX1" s="184"/>
      <c r="LEY1" s="184"/>
      <c r="LEZ1" s="184"/>
      <c r="LFA1" s="184"/>
      <c r="LFB1" s="184"/>
      <c r="LFC1" s="185"/>
      <c r="LFD1" s="180"/>
      <c r="LFE1" s="181"/>
      <c r="LFF1" s="181"/>
      <c r="LFG1" s="181"/>
      <c r="LFH1" s="181"/>
      <c r="LFI1" s="181"/>
      <c r="LFJ1" s="181"/>
      <c r="LFK1" s="181"/>
      <c r="LFL1" s="181"/>
      <c r="LFM1" s="182"/>
      <c r="LFN1" s="183"/>
      <c r="LFO1" s="184"/>
      <c r="LFP1" s="184"/>
      <c r="LFQ1" s="184"/>
      <c r="LFR1" s="184"/>
      <c r="LFS1" s="184"/>
      <c r="LFT1" s="184"/>
      <c r="LFU1" s="184"/>
      <c r="LFV1" s="184"/>
      <c r="LFW1" s="185"/>
      <c r="LFX1" s="180"/>
      <c r="LFY1" s="181"/>
      <c r="LFZ1" s="181"/>
      <c r="LGA1" s="181"/>
      <c r="LGB1" s="181"/>
      <c r="LGC1" s="181"/>
      <c r="LGD1" s="181"/>
      <c r="LGE1" s="181"/>
      <c r="LGF1" s="181"/>
      <c r="LGG1" s="182"/>
      <c r="LGH1" s="183"/>
      <c r="LGI1" s="184"/>
      <c r="LGJ1" s="184"/>
      <c r="LGK1" s="184"/>
      <c r="LGL1" s="184"/>
      <c r="LGM1" s="184"/>
      <c r="LGN1" s="184"/>
      <c r="LGO1" s="184"/>
      <c r="LGP1" s="184"/>
      <c r="LGQ1" s="185"/>
      <c r="LGR1" s="180"/>
      <c r="LGS1" s="181"/>
      <c r="LGT1" s="181"/>
      <c r="LGU1" s="181"/>
      <c r="LGV1" s="181"/>
      <c r="LGW1" s="181"/>
      <c r="LGX1" s="181"/>
      <c r="LGY1" s="181"/>
      <c r="LGZ1" s="181"/>
      <c r="LHA1" s="182"/>
      <c r="LHB1" s="183"/>
      <c r="LHC1" s="184"/>
      <c r="LHD1" s="184"/>
      <c r="LHE1" s="184"/>
      <c r="LHF1" s="184"/>
      <c r="LHG1" s="184"/>
      <c r="LHH1" s="184"/>
      <c r="LHI1" s="184"/>
      <c r="LHJ1" s="184"/>
      <c r="LHK1" s="185"/>
      <c r="LHL1" s="180"/>
      <c r="LHM1" s="181"/>
      <c r="LHN1" s="181"/>
      <c r="LHO1" s="181"/>
      <c r="LHP1" s="181"/>
      <c r="LHQ1" s="181"/>
      <c r="LHR1" s="181"/>
      <c r="LHS1" s="181"/>
      <c r="LHT1" s="181"/>
      <c r="LHU1" s="182"/>
      <c r="LHV1" s="183"/>
      <c r="LHW1" s="184"/>
      <c r="LHX1" s="184"/>
      <c r="LHY1" s="184"/>
      <c r="LHZ1" s="184"/>
      <c r="LIA1" s="184"/>
      <c r="LIB1" s="184"/>
      <c r="LIC1" s="184"/>
      <c r="LID1" s="184"/>
      <c r="LIE1" s="185"/>
      <c r="LIF1" s="180"/>
      <c r="LIG1" s="181"/>
      <c r="LIH1" s="181"/>
      <c r="LII1" s="181"/>
      <c r="LIJ1" s="181"/>
      <c r="LIK1" s="181"/>
      <c r="LIL1" s="181"/>
      <c r="LIM1" s="181"/>
      <c r="LIN1" s="181"/>
      <c r="LIO1" s="182"/>
      <c r="LIP1" s="183"/>
      <c r="LIQ1" s="184"/>
      <c r="LIR1" s="184"/>
      <c r="LIS1" s="184"/>
      <c r="LIT1" s="184"/>
      <c r="LIU1" s="184"/>
      <c r="LIV1" s="184"/>
      <c r="LIW1" s="184"/>
      <c r="LIX1" s="184"/>
      <c r="LIY1" s="185"/>
      <c r="LIZ1" s="180"/>
      <c r="LJA1" s="181"/>
      <c r="LJB1" s="181"/>
      <c r="LJC1" s="181"/>
      <c r="LJD1" s="181"/>
      <c r="LJE1" s="181"/>
      <c r="LJF1" s="181"/>
      <c r="LJG1" s="181"/>
      <c r="LJH1" s="181"/>
      <c r="LJI1" s="182"/>
      <c r="LJJ1" s="183"/>
      <c r="LJK1" s="184"/>
      <c r="LJL1" s="184"/>
      <c r="LJM1" s="184"/>
      <c r="LJN1" s="184"/>
      <c r="LJO1" s="184"/>
      <c r="LJP1" s="184"/>
      <c r="LJQ1" s="184"/>
      <c r="LJR1" s="184"/>
      <c r="LJS1" s="185"/>
      <c r="LJT1" s="180"/>
      <c r="LJU1" s="181"/>
      <c r="LJV1" s="181"/>
      <c r="LJW1" s="181"/>
      <c r="LJX1" s="181"/>
      <c r="LJY1" s="181"/>
      <c r="LJZ1" s="181"/>
      <c r="LKA1" s="181"/>
      <c r="LKB1" s="181"/>
      <c r="LKC1" s="182"/>
      <c r="LKD1" s="183"/>
      <c r="LKE1" s="184"/>
      <c r="LKF1" s="184"/>
      <c r="LKG1" s="184"/>
      <c r="LKH1" s="184"/>
      <c r="LKI1" s="184"/>
      <c r="LKJ1" s="184"/>
      <c r="LKK1" s="184"/>
      <c r="LKL1" s="184"/>
      <c r="LKM1" s="185"/>
      <c r="LKN1" s="180"/>
      <c r="LKO1" s="181"/>
      <c r="LKP1" s="181"/>
      <c r="LKQ1" s="181"/>
      <c r="LKR1" s="181"/>
      <c r="LKS1" s="181"/>
      <c r="LKT1" s="181"/>
      <c r="LKU1" s="181"/>
      <c r="LKV1" s="181"/>
      <c r="LKW1" s="182"/>
      <c r="LKX1" s="183"/>
      <c r="LKY1" s="184"/>
      <c r="LKZ1" s="184"/>
      <c r="LLA1" s="184"/>
      <c r="LLB1" s="184"/>
      <c r="LLC1" s="184"/>
      <c r="LLD1" s="184"/>
      <c r="LLE1" s="184"/>
      <c r="LLF1" s="184"/>
      <c r="LLG1" s="185"/>
      <c r="LLH1" s="180"/>
      <c r="LLI1" s="181"/>
      <c r="LLJ1" s="181"/>
      <c r="LLK1" s="181"/>
      <c r="LLL1" s="181"/>
      <c r="LLM1" s="181"/>
      <c r="LLN1" s="181"/>
      <c r="LLO1" s="181"/>
      <c r="LLP1" s="181"/>
      <c r="LLQ1" s="182"/>
      <c r="LLR1" s="183"/>
      <c r="LLS1" s="184"/>
      <c r="LLT1" s="184"/>
      <c r="LLU1" s="184"/>
      <c r="LLV1" s="184"/>
      <c r="LLW1" s="184"/>
      <c r="LLX1" s="184"/>
      <c r="LLY1" s="184"/>
      <c r="LLZ1" s="184"/>
      <c r="LMA1" s="185"/>
      <c r="LMB1" s="180"/>
      <c r="LMC1" s="181"/>
      <c r="LMD1" s="181"/>
      <c r="LME1" s="181"/>
      <c r="LMF1" s="181"/>
      <c r="LMG1" s="181"/>
      <c r="LMH1" s="181"/>
      <c r="LMI1" s="181"/>
      <c r="LMJ1" s="181"/>
      <c r="LMK1" s="182"/>
      <c r="LML1" s="183"/>
      <c r="LMM1" s="184"/>
      <c r="LMN1" s="184"/>
      <c r="LMO1" s="184"/>
      <c r="LMP1" s="184"/>
      <c r="LMQ1" s="184"/>
      <c r="LMR1" s="184"/>
      <c r="LMS1" s="184"/>
      <c r="LMT1" s="184"/>
      <c r="LMU1" s="185"/>
      <c r="LMV1" s="180"/>
      <c r="LMW1" s="181"/>
      <c r="LMX1" s="181"/>
      <c r="LMY1" s="181"/>
      <c r="LMZ1" s="181"/>
      <c r="LNA1" s="181"/>
      <c r="LNB1" s="181"/>
      <c r="LNC1" s="181"/>
      <c r="LND1" s="181"/>
      <c r="LNE1" s="182"/>
      <c r="LNF1" s="183"/>
      <c r="LNG1" s="184"/>
      <c r="LNH1" s="184"/>
      <c r="LNI1" s="184"/>
      <c r="LNJ1" s="184"/>
      <c r="LNK1" s="184"/>
      <c r="LNL1" s="184"/>
      <c r="LNM1" s="184"/>
      <c r="LNN1" s="184"/>
      <c r="LNO1" s="185"/>
      <c r="LNP1" s="180"/>
      <c r="LNQ1" s="181"/>
      <c r="LNR1" s="181"/>
      <c r="LNS1" s="181"/>
      <c r="LNT1" s="181"/>
      <c r="LNU1" s="181"/>
      <c r="LNV1" s="181"/>
      <c r="LNW1" s="181"/>
      <c r="LNX1" s="181"/>
      <c r="LNY1" s="182"/>
      <c r="LNZ1" s="183"/>
      <c r="LOA1" s="184"/>
      <c r="LOB1" s="184"/>
      <c r="LOC1" s="184"/>
      <c r="LOD1" s="184"/>
      <c r="LOE1" s="184"/>
      <c r="LOF1" s="184"/>
      <c r="LOG1" s="184"/>
      <c r="LOH1" s="184"/>
      <c r="LOI1" s="185"/>
      <c r="LOJ1" s="180"/>
      <c r="LOK1" s="181"/>
      <c r="LOL1" s="181"/>
      <c r="LOM1" s="181"/>
      <c r="LON1" s="181"/>
      <c r="LOO1" s="181"/>
      <c r="LOP1" s="181"/>
      <c r="LOQ1" s="181"/>
      <c r="LOR1" s="181"/>
      <c r="LOS1" s="182"/>
      <c r="LOT1" s="183"/>
      <c r="LOU1" s="184"/>
      <c r="LOV1" s="184"/>
      <c r="LOW1" s="184"/>
      <c r="LOX1" s="184"/>
      <c r="LOY1" s="184"/>
      <c r="LOZ1" s="184"/>
      <c r="LPA1" s="184"/>
      <c r="LPB1" s="184"/>
      <c r="LPC1" s="185"/>
      <c r="LPD1" s="180"/>
      <c r="LPE1" s="181"/>
      <c r="LPF1" s="181"/>
      <c r="LPG1" s="181"/>
      <c r="LPH1" s="181"/>
      <c r="LPI1" s="181"/>
      <c r="LPJ1" s="181"/>
      <c r="LPK1" s="181"/>
      <c r="LPL1" s="181"/>
      <c r="LPM1" s="182"/>
      <c r="LPN1" s="183"/>
      <c r="LPO1" s="184"/>
      <c r="LPP1" s="184"/>
      <c r="LPQ1" s="184"/>
      <c r="LPR1" s="184"/>
      <c r="LPS1" s="184"/>
      <c r="LPT1" s="184"/>
      <c r="LPU1" s="184"/>
      <c r="LPV1" s="184"/>
      <c r="LPW1" s="185"/>
      <c r="LPX1" s="180"/>
      <c r="LPY1" s="181"/>
      <c r="LPZ1" s="181"/>
      <c r="LQA1" s="181"/>
      <c r="LQB1" s="181"/>
      <c r="LQC1" s="181"/>
      <c r="LQD1" s="181"/>
      <c r="LQE1" s="181"/>
      <c r="LQF1" s="181"/>
      <c r="LQG1" s="182"/>
      <c r="LQH1" s="183"/>
      <c r="LQI1" s="184"/>
      <c r="LQJ1" s="184"/>
      <c r="LQK1" s="184"/>
      <c r="LQL1" s="184"/>
      <c r="LQM1" s="184"/>
      <c r="LQN1" s="184"/>
      <c r="LQO1" s="184"/>
      <c r="LQP1" s="184"/>
      <c r="LQQ1" s="185"/>
      <c r="LQR1" s="180"/>
      <c r="LQS1" s="181"/>
      <c r="LQT1" s="181"/>
      <c r="LQU1" s="181"/>
      <c r="LQV1" s="181"/>
      <c r="LQW1" s="181"/>
      <c r="LQX1" s="181"/>
      <c r="LQY1" s="181"/>
      <c r="LQZ1" s="181"/>
      <c r="LRA1" s="182"/>
      <c r="LRB1" s="183"/>
      <c r="LRC1" s="184"/>
      <c r="LRD1" s="184"/>
      <c r="LRE1" s="184"/>
      <c r="LRF1" s="184"/>
      <c r="LRG1" s="184"/>
      <c r="LRH1" s="184"/>
      <c r="LRI1" s="184"/>
      <c r="LRJ1" s="184"/>
      <c r="LRK1" s="185"/>
      <c r="LRL1" s="180"/>
      <c r="LRM1" s="181"/>
      <c r="LRN1" s="181"/>
      <c r="LRO1" s="181"/>
      <c r="LRP1" s="181"/>
      <c r="LRQ1" s="181"/>
      <c r="LRR1" s="181"/>
      <c r="LRS1" s="181"/>
      <c r="LRT1" s="181"/>
      <c r="LRU1" s="182"/>
      <c r="LRV1" s="183"/>
      <c r="LRW1" s="184"/>
      <c r="LRX1" s="184"/>
      <c r="LRY1" s="184"/>
      <c r="LRZ1" s="184"/>
      <c r="LSA1" s="184"/>
      <c r="LSB1" s="184"/>
      <c r="LSC1" s="184"/>
      <c r="LSD1" s="184"/>
      <c r="LSE1" s="185"/>
      <c r="LSF1" s="180"/>
      <c r="LSG1" s="181"/>
      <c r="LSH1" s="181"/>
      <c r="LSI1" s="181"/>
      <c r="LSJ1" s="181"/>
      <c r="LSK1" s="181"/>
      <c r="LSL1" s="181"/>
      <c r="LSM1" s="181"/>
      <c r="LSN1" s="181"/>
      <c r="LSO1" s="182"/>
      <c r="LSP1" s="183"/>
      <c r="LSQ1" s="184"/>
      <c r="LSR1" s="184"/>
      <c r="LSS1" s="184"/>
      <c r="LST1" s="184"/>
      <c r="LSU1" s="184"/>
      <c r="LSV1" s="184"/>
      <c r="LSW1" s="184"/>
      <c r="LSX1" s="184"/>
      <c r="LSY1" s="185"/>
      <c r="LSZ1" s="180"/>
      <c r="LTA1" s="181"/>
      <c r="LTB1" s="181"/>
      <c r="LTC1" s="181"/>
      <c r="LTD1" s="181"/>
      <c r="LTE1" s="181"/>
      <c r="LTF1" s="181"/>
      <c r="LTG1" s="181"/>
      <c r="LTH1" s="181"/>
      <c r="LTI1" s="182"/>
      <c r="LTJ1" s="183"/>
      <c r="LTK1" s="184"/>
      <c r="LTL1" s="184"/>
      <c r="LTM1" s="184"/>
      <c r="LTN1" s="184"/>
      <c r="LTO1" s="184"/>
      <c r="LTP1" s="184"/>
      <c r="LTQ1" s="184"/>
      <c r="LTR1" s="184"/>
      <c r="LTS1" s="185"/>
      <c r="LTT1" s="180"/>
      <c r="LTU1" s="181"/>
      <c r="LTV1" s="181"/>
      <c r="LTW1" s="181"/>
      <c r="LTX1" s="181"/>
      <c r="LTY1" s="181"/>
      <c r="LTZ1" s="181"/>
      <c r="LUA1" s="181"/>
      <c r="LUB1" s="181"/>
      <c r="LUC1" s="182"/>
      <c r="LUD1" s="183"/>
      <c r="LUE1" s="184"/>
      <c r="LUF1" s="184"/>
      <c r="LUG1" s="184"/>
      <c r="LUH1" s="184"/>
      <c r="LUI1" s="184"/>
      <c r="LUJ1" s="184"/>
      <c r="LUK1" s="184"/>
      <c r="LUL1" s="184"/>
      <c r="LUM1" s="185"/>
      <c r="LUN1" s="180"/>
      <c r="LUO1" s="181"/>
      <c r="LUP1" s="181"/>
      <c r="LUQ1" s="181"/>
      <c r="LUR1" s="181"/>
      <c r="LUS1" s="181"/>
      <c r="LUT1" s="181"/>
      <c r="LUU1" s="181"/>
      <c r="LUV1" s="181"/>
      <c r="LUW1" s="182"/>
      <c r="LUX1" s="183"/>
      <c r="LUY1" s="184"/>
      <c r="LUZ1" s="184"/>
      <c r="LVA1" s="184"/>
      <c r="LVB1" s="184"/>
      <c r="LVC1" s="184"/>
      <c r="LVD1" s="184"/>
      <c r="LVE1" s="184"/>
      <c r="LVF1" s="184"/>
      <c r="LVG1" s="185"/>
      <c r="LVH1" s="180"/>
      <c r="LVI1" s="181"/>
      <c r="LVJ1" s="181"/>
      <c r="LVK1" s="181"/>
      <c r="LVL1" s="181"/>
      <c r="LVM1" s="181"/>
      <c r="LVN1" s="181"/>
      <c r="LVO1" s="181"/>
      <c r="LVP1" s="181"/>
      <c r="LVQ1" s="182"/>
      <c r="LVR1" s="183"/>
      <c r="LVS1" s="184"/>
      <c r="LVT1" s="184"/>
      <c r="LVU1" s="184"/>
      <c r="LVV1" s="184"/>
      <c r="LVW1" s="184"/>
      <c r="LVX1" s="184"/>
      <c r="LVY1" s="184"/>
      <c r="LVZ1" s="184"/>
      <c r="LWA1" s="185"/>
      <c r="LWB1" s="180"/>
      <c r="LWC1" s="181"/>
      <c r="LWD1" s="181"/>
      <c r="LWE1" s="181"/>
      <c r="LWF1" s="181"/>
      <c r="LWG1" s="181"/>
      <c r="LWH1" s="181"/>
      <c r="LWI1" s="181"/>
      <c r="LWJ1" s="181"/>
      <c r="LWK1" s="182"/>
      <c r="LWL1" s="183"/>
      <c r="LWM1" s="184"/>
      <c r="LWN1" s="184"/>
      <c r="LWO1" s="184"/>
      <c r="LWP1" s="184"/>
      <c r="LWQ1" s="184"/>
      <c r="LWR1" s="184"/>
      <c r="LWS1" s="184"/>
      <c r="LWT1" s="184"/>
      <c r="LWU1" s="185"/>
      <c r="LWV1" s="180"/>
      <c r="LWW1" s="181"/>
      <c r="LWX1" s="181"/>
      <c r="LWY1" s="181"/>
      <c r="LWZ1" s="181"/>
      <c r="LXA1" s="181"/>
      <c r="LXB1" s="181"/>
      <c r="LXC1" s="181"/>
      <c r="LXD1" s="181"/>
      <c r="LXE1" s="182"/>
      <c r="LXF1" s="183"/>
      <c r="LXG1" s="184"/>
      <c r="LXH1" s="184"/>
      <c r="LXI1" s="184"/>
      <c r="LXJ1" s="184"/>
      <c r="LXK1" s="184"/>
      <c r="LXL1" s="184"/>
      <c r="LXM1" s="184"/>
      <c r="LXN1" s="184"/>
      <c r="LXO1" s="185"/>
      <c r="LXP1" s="180"/>
      <c r="LXQ1" s="181"/>
      <c r="LXR1" s="181"/>
      <c r="LXS1" s="181"/>
      <c r="LXT1" s="181"/>
      <c r="LXU1" s="181"/>
      <c r="LXV1" s="181"/>
      <c r="LXW1" s="181"/>
      <c r="LXX1" s="181"/>
      <c r="LXY1" s="182"/>
      <c r="LXZ1" s="183"/>
      <c r="LYA1" s="184"/>
      <c r="LYB1" s="184"/>
      <c r="LYC1" s="184"/>
      <c r="LYD1" s="184"/>
      <c r="LYE1" s="184"/>
      <c r="LYF1" s="184"/>
      <c r="LYG1" s="184"/>
      <c r="LYH1" s="184"/>
      <c r="LYI1" s="185"/>
      <c r="LYJ1" s="180"/>
      <c r="LYK1" s="181"/>
      <c r="LYL1" s="181"/>
      <c r="LYM1" s="181"/>
      <c r="LYN1" s="181"/>
      <c r="LYO1" s="181"/>
      <c r="LYP1" s="181"/>
      <c r="LYQ1" s="181"/>
      <c r="LYR1" s="181"/>
      <c r="LYS1" s="182"/>
      <c r="LYT1" s="183"/>
      <c r="LYU1" s="184"/>
      <c r="LYV1" s="184"/>
      <c r="LYW1" s="184"/>
      <c r="LYX1" s="184"/>
      <c r="LYY1" s="184"/>
      <c r="LYZ1" s="184"/>
      <c r="LZA1" s="184"/>
      <c r="LZB1" s="184"/>
      <c r="LZC1" s="185"/>
      <c r="LZD1" s="180"/>
      <c r="LZE1" s="181"/>
      <c r="LZF1" s="181"/>
      <c r="LZG1" s="181"/>
      <c r="LZH1" s="181"/>
      <c r="LZI1" s="181"/>
      <c r="LZJ1" s="181"/>
      <c r="LZK1" s="181"/>
      <c r="LZL1" s="181"/>
      <c r="LZM1" s="182"/>
      <c r="LZN1" s="183"/>
      <c r="LZO1" s="184"/>
      <c r="LZP1" s="184"/>
      <c r="LZQ1" s="184"/>
      <c r="LZR1" s="184"/>
      <c r="LZS1" s="184"/>
      <c r="LZT1" s="184"/>
      <c r="LZU1" s="184"/>
      <c r="LZV1" s="184"/>
      <c r="LZW1" s="185"/>
      <c r="LZX1" s="180"/>
      <c r="LZY1" s="181"/>
      <c r="LZZ1" s="181"/>
      <c r="MAA1" s="181"/>
      <c r="MAB1" s="181"/>
      <c r="MAC1" s="181"/>
      <c r="MAD1" s="181"/>
      <c r="MAE1" s="181"/>
      <c r="MAF1" s="181"/>
      <c r="MAG1" s="182"/>
      <c r="MAH1" s="183"/>
      <c r="MAI1" s="184"/>
      <c r="MAJ1" s="184"/>
      <c r="MAK1" s="184"/>
      <c r="MAL1" s="184"/>
      <c r="MAM1" s="184"/>
      <c r="MAN1" s="184"/>
      <c r="MAO1" s="184"/>
      <c r="MAP1" s="184"/>
      <c r="MAQ1" s="185"/>
      <c r="MAR1" s="180"/>
      <c r="MAS1" s="181"/>
      <c r="MAT1" s="181"/>
      <c r="MAU1" s="181"/>
      <c r="MAV1" s="181"/>
      <c r="MAW1" s="181"/>
      <c r="MAX1" s="181"/>
      <c r="MAY1" s="181"/>
      <c r="MAZ1" s="181"/>
      <c r="MBA1" s="182"/>
      <c r="MBB1" s="183"/>
      <c r="MBC1" s="184"/>
      <c r="MBD1" s="184"/>
      <c r="MBE1" s="184"/>
      <c r="MBF1" s="184"/>
      <c r="MBG1" s="184"/>
      <c r="MBH1" s="184"/>
      <c r="MBI1" s="184"/>
      <c r="MBJ1" s="184"/>
      <c r="MBK1" s="185"/>
      <c r="MBL1" s="180"/>
      <c r="MBM1" s="181"/>
      <c r="MBN1" s="181"/>
      <c r="MBO1" s="181"/>
      <c r="MBP1" s="181"/>
      <c r="MBQ1" s="181"/>
      <c r="MBR1" s="181"/>
      <c r="MBS1" s="181"/>
      <c r="MBT1" s="181"/>
      <c r="MBU1" s="182"/>
      <c r="MBV1" s="183"/>
      <c r="MBW1" s="184"/>
      <c r="MBX1" s="184"/>
      <c r="MBY1" s="184"/>
      <c r="MBZ1" s="184"/>
      <c r="MCA1" s="184"/>
      <c r="MCB1" s="184"/>
      <c r="MCC1" s="184"/>
      <c r="MCD1" s="184"/>
      <c r="MCE1" s="185"/>
      <c r="MCF1" s="180"/>
      <c r="MCG1" s="181"/>
      <c r="MCH1" s="181"/>
      <c r="MCI1" s="181"/>
      <c r="MCJ1" s="181"/>
      <c r="MCK1" s="181"/>
      <c r="MCL1" s="181"/>
      <c r="MCM1" s="181"/>
      <c r="MCN1" s="181"/>
      <c r="MCO1" s="182"/>
      <c r="MCP1" s="183"/>
      <c r="MCQ1" s="184"/>
      <c r="MCR1" s="184"/>
      <c r="MCS1" s="184"/>
      <c r="MCT1" s="184"/>
      <c r="MCU1" s="184"/>
      <c r="MCV1" s="184"/>
      <c r="MCW1" s="184"/>
      <c r="MCX1" s="184"/>
      <c r="MCY1" s="185"/>
      <c r="MCZ1" s="180"/>
      <c r="MDA1" s="181"/>
      <c r="MDB1" s="181"/>
      <c r="MDC1" s="181"/>
      <c r="MDD1" s="181"/>
      <c r="MDE1" s="181"/>
      <c r="MDF1" s="181"/>
      <c r="MDG1" s="181"/>
      <c r="MDH1" s="181"/>
      <c r="MDI1" s="182"/>
      <c r="MDJ1" s="183"/>
      <c r="MDK1" s="184"/>
      <c r="MDL1" s="184"/>
      <c r="MDM1" s="184"/>
      <c r="MDN1" s="184"/>
      <c r="MDO1" s="184"/>
      <c r="MDP1" s="184"/>
      <c r="MDQ1" s="184"/>
      <c r="MDR1" s="184"/>
      <c r="MDS1" s="185"/>
      <c r="MDT1" s="180"/>
      <c r="MDU1" s="181"/>
      <c r="MDV1" s="181"/>
      <c r="MDW1" s="181"/>
      <c r="MDX1" s="181"/>
      <c r="MDY1" s="181"/>
      <c r="MDZ1" s="181"/>
      <c r="MEA1" s="181"/>
      <c r="MEB1" s="181"/>
      <c r="MEC1" s="182"/>
      <c r="MED1" s="183"/>
      <c r="MEE1" s="184"/>
      <c r="MEF1" s="184"/>
      <c r="MEG1" s="184"/>
      <c r="MEH1" s="184"/>
      <c r="MEI1" s="184"/>
      <c r="MEJ1" s="184"/>
      <c r="MEK1" s="184"/>
      <c r="MEL1" s="184"/>
      <c r="MEM1" s="185"/>
      <c r="MEN1" s="180"/>
      <c r="MEO1" s="181"/>
      <c r="MEP1" s="181"/>
      <c r="MEQ1" s="181"/>
      <c r="MER1" s="181"/>
      <c r="MES1" s="181"/>
      <c r="MET1" s="181"/>
      <c r="MEU1" s="181"/>
      <c r="MEV1" s="181"/>
      <c r="MEW1" s="182"/>
      <c r="MEX1" s="183"/>
      <c r="MEY1" s="184"/>
      <c r="MEZ1" s="184"/>
      <c r="MFA1" s="184"/>
      <c r="MFB1" s="184"/>
      <c r="MFC1" s="184"/>
      <c r="MFD1" s="184"/>
      <c r="MFE1" s="184"/>
      <c r="MFF1" s="184"/>
      <c r="MFG1" s="185"/>
      <c r="MFH1" s="180"/>
      <c r="MFI1" s="181"/>
      <c r="MFJ1" s="181"/>
      <c r="MFK1" s="181"/>
      <c r="MFL1" s="181"/>
      <c r="MFM1" s="181"/>
      <c r="MFN1" s="181"/>
      <c r="MFO1" s="181"/>
      <c r="MFP1" s="181"/>
      <c r="MFQ1" s="182"/>
      <c r="MFR1" s="183"/>
      <c r="MFS1" s="184"/>
      <c r="MFT1" s="184"/>
      <c r="MFU1" s="184"/>
      <c r="MFV1" s="184"/>
      <c r="MFW1" s="184"/>
      <c r="MFX1" s="184"/>
      <c r="MFY1" s="184"/>
      <c r="MFZ1" s="184"/>
      <c r="MGA1" s="185"/>
      <c r="MGB1" s="180"/>
      <c r="MGC1" s="181"/>
      <c r="MGD1" s="181"/>
      <c r="MGE1" s="181"/>
      <c r="MGF1" s="181"/>
      <c r="MGG1" s="181"/>
      <c r="MGH1" s="181"/>
      <c r="MGI1" s="181"/>
      <c r="MGJ1" s="181"/>
      <c r="MGK1" s="182"/>
      <c r="MGL1" s="183"/>
      <c r="MGM1" s="184"/>
      <c r="MGN1" s="184"/>
      <c r="MGO1" s="184"/>
      <c r="MGP1" s="184"/>
      <c r="MGQ1" s="184"/>
      <c r="MGR1" s="184"/>
      <c r="MGS1" s="184"/>
      <c r="MGT1" s="184"/>
      <c r="MGU1" s="185"/>
      <c r="MGV1" s="180"/>
      <c r="MGW1" s="181"/>
      <c r="MGX1" s="181"/>
      <c r="MGY1" s="181"/>
      <c r="MGZ1" s="181"/>
      <c r="MHA1" s="181"/>
      <c r="MHB1" s="181"/>
      <c r="MHC1" s="181"/>
      <c r="MHD1" s="181"/>
      <c r="MHE1" s="182"/>
      <c r="MHF1" s="183"/>
      <c r="MHG1" s="184"/>
      <c r="MHH1" s="184"/>
      <c r="MHI1" s="184"/>
      <c r="MHJ1" s="184"/>
      <c r="MHK1" s="184"/>
      <c r="MHL1" s="184"/>
      <c r="MHM1" s="184"/>
      <c r="MHN1" s="184"/>
      <c r="MHO1" s="185"/>
      <c r="MHP1" s="180"/>
      <c r="MHQ1" s="181"/>
      <c r="MHR1" s="181"/>
      <c r="MHS1" s="181"/>
      <c r="MHT1" s="181"/>
      <c r="MHU1" s="181"/>
      <c r="MHV1" s="181"/>
      <c r="MHW1" s="181"/>
      <c r="MHX1" s="181"/>
      <c r="MHY1" s="182"/>
      <c r="MHZ1" s="183"/>
      <c r="MIA1" s="184"/>
      <c r="MIB1" s="184"/>
      <c r="MIC1" s="184"/>
      <c r="MID1" s="184"/>
      <c r="MIE1" s="184"/>
      <c r="MIF1" s="184"/>
      <c r="MIG1" s="184"/>
      <c r="MIH1" s="184"/>
      <c r="MII1" s="185"/>
      <c r="MIJ1" s="180"/>
      <c r="MIK1" s="181"/>
      <c r="MIL1" s="181"/>
      <c r="MIM1" s="181"/>
      <c r="MIN1" s="181"/>
      <c r="MIO1" s="181"/>
      <c r="MIP1" s="181"/>
      <c r="MIQ1" s="181"/>
      <c r="MIR1" s="181"/>
      <c r="MIS1" s="182"/>
      <c r="MIT1" s="183"/>
      <c r="MIU1" s="184"/>
      <c r="MIV1" s="184"/>
      <c r="MIW1" s="184"/>
      <c r="MIX1" s="184"/>
      <c r="MIY1" s="184"/>
      <c r="MIZ1" s="184"/>
      <c r="MJA1" s="184"/>
      <c r="MJB1" s="184"/>
      <c r="MJC1" s="185"/>
      <c r="MJD1" s="180"/>
      <c r="MJE1" s="181"/>
      <c r="MJF1" s="181"/>
      <c r="MJG1" s="181"/>
      <c r="MJH1" s="181"/>
      <c r="MJI1" s="181"/>
      <c r="MJJ1" s="181"/>
      <c r="MJK1" s="181"/>
      <c r="MJL1" s="181"/>
      <c r="MJM1" s="182"/>
      <c r="MJN1" s="183"/>
      <c r="MJO1" s="184"/>
      <c r="MJP1" s="184"/>
      <c r="MJQ1" s="184"/>
      <c r="MJR1" s="184"/>
      <c r="MJS1" s="184"/>
      <c r="MJT1" s="184"/>
      <c r="MJU1" s="184"/>
      <c r="MJV1" s="184"/>
      <c r="MJW1" s="185"/>
      <c r="MJX1" s="180"/>
      <c r="MJY1" s="181"/>
      <c r="MJZ1" s="181"/>
      <c r="MKA1" s="181"/>
      <c r="MKB1" s="181"/>
      <c r="MKC1" s="181"/>
      <c r="MKD1" s="181"/>
      <c r="MKE1" s="181"/>
      <c r="MKF1" s="181"/>
      <c r="MKG1" s="182"/>
      <c r="MKH1" s="183"/>
      <c r="MKI1" s="184"/>
      <c r="MKJ1" s="184"/>
      <c r="MKK1" s="184"/>
      <c r="MKL1" s="184"/>
      <c r="MKM1" s="184"/>
      <c r="MKN1" s="184"/>
      <c r="MKO1" s="184"/>
      <c r="MKP1" s="184"/>
      <c r="MKQ1" s="185"/>
      <c r="MKR1" s="180"/>
      <c r="MKS1" s="181"/>
      <c r="MKT1" s="181"/>
      <c r="MKU1" s="181"/>
      <c r="MKV1" s="181"/>
      <c r="MKW1" s="181"/>
      <c r="MKX1" s="181"/>
      <c r="MKY1" s="181"/>
      <c r="MKZ1" s="181"/>
      <c r="MLA1" s="182"/>
      <c r="MLB1" s="183"/>
      <c r="MLC1" s="184"/>
      <c r="MLD1" s="184"/>
      <c r="MLE1" s="184"/>
      <c r="MLF1" s="184"/>
      <c r="MLG1" s="184"/>
      <c r="MLH1" s="184"/>
      <c r="MLI1" s="184"/>
      <c r="MLJ1" s="184"/>
      <c r="MLK1" s="185"/>
      <c r="MLL1" s="180"/>
      <c r="MLM1" s="181"/>
      <c r="MLN1" s="181"/>
      <c r="MLO1" s="181"/>
      <c r="MLP1" s="181"/>
      <c r="MLQ1" s="181"/>
      <c r="MLR1" s="181"/>
      <c r="MLS1" s="181"/>
      <c r="MLT1" s="181"/>
      <c r="MLU1" s="182"/>
      <c r="MLV1" s="183"/>
      <c r="MLW1" s="184"/>
      <c r="MLX1" s="184"/>
      <c r="MLY1" s="184"/>
      <c r="MLZ1" s="184"/>
      <c r="MMA1" s="184"/>
      <c r="MMB1" s="184"/>
      <c r="MMC1" s="184"/>
      <c r="MMD1" s="184"/>
      <c r="MME1" s="185"/>
      <c r="MMF1" s="180"/>
      <c r="MMG1" s="181"/>
      <c r="MMH1" s="181"/>
      <c r="MMI1" s="181"/>
      <c r="MMJ1" s="181"/>
      <c r="MMK1" s="181"/>
      <c r="MML1" s="181"/>
      <c r="MMM1" s="181"/>
      <c r="MMN1" s="181"/>
      <c r="MMO1" s="182"/>
      <c r="MMP1" s="183"/>
      <c r="MMQ1" s="184"/>
      <c r="MMR1" s="184"/>
      <c r="MMS1" s="184"/>
      <c r="MMT1" s="184"/>
      <c r="MMU1" s="184"/>
      <c r="MMV1" s="184"/>
      <c r="MMW1" s="184"/>
      <c r="MMX1" s="184"/>
      <c r="MMY1" s="185"/>
      <c r="MMZ1" s="180"/>
      <c r="MNA1" s="181"/>
      <c r="MNB1" s="181"/>
      <c r="MNC1" s="181"/>
      <c r="MND1" s="181"/>
      <c r="MNE1" s="181"/>
      <c r="MNF1" s="181"/>
      <c r="MNG1" s="181"/>
      <c r="MNH1" s="181"/>
      <c r="MNI1" s="182"/>
      <c r="MNJ1" s="183"/>
      <c r="MNK1" s="184"/>
      <c r="MNL1" s="184"/>
      <c r="MNM1" s="184"/>
      <c r="MNN1" s="184"/>
      <c r="MNO1" s="184"/>
      <c r="MNP1" s="184"/>
      <c r="MNQ1" s="184"/>
      <c r="MNR1" s="184"/>
      <c r="MNS1" s="185"/>
      <c r="MNT1" s="180"/>
      <c r="MNU1" s="181"/>
      <c r="MNV1" s="181"/>
      <c r="MNW1" s="181"/>
      <c r="MNX1" s="181"/>
      <c r="MNY1" s="181"/>
      <c r="MNZ1" s="181"/>
      <c r="MOA1" s="181"/>
      <c r="MOB1" s="181"/>
      <c r="MOC1" s="182"/>
      <c r="MOD1" s="183"/>
      <c r="MOE1" s="184"/>
      <c r="MOF1" s="184"/>
      <c r="MOG1" s="184"/>
      <c r="MOH1" s="184"/>
      <c r="MOI1" s="184"/>
      <c r="MOJ1" s="184"/>
      <c r="MOK1" s="184"/>
      <c r="MOL1" s="184"/>
      <c r="MOM1" s="185"/>
      <c r="MON1" s="180"/>
      <c r="MOO1" s="181"/>
      <c r="MOP1" s="181"/>
      <c r="MOQ1" s="181"/>
      <c r="MOR1" s="181"/>
      <c r="MOS1" s="181"/>
      <c r="MOT1" s="181"/>
      <c r="MOU1" s="181"/>
      <c r="MOV1" s="181"/>
      <c r="MOW1" s="182"/>
      <c r="MOX1" s="183"/>
      <c r="MOY1" s="184"/>
      <c r="MOZ1" s="184"/>
      <c r="MPA1" s="184"/>
      <c r="MPB1" s="184"/>
      <c r="MPC1" s="184"/>
      <c r="MPD1" s="184"/>
      <c r="MPE1" s="184"/>
      <c r="MPF1" s="184"/>
      <c r="MPG1" s="185"/>
      <c r="MPH1" s="180"/>
      <c r="MPI1" s="181"/>
      <c r="MPJ1" s="181"/>
      <c r="MPK1" s="181"/>
      <c r="MPL1" s="181"/>
      <c r="MPM1" s="181"/>
      <c r="MPN1" s="181"/>
      <c r="MPO1" s="181"/>
      <c r="MPP1" s="181"/>
      <c r="MPQ1" s="182"/>
      <c r="MPR1" s="183"/>
      <c r="MPS1" s="184"/>
      <c r="MPT1" s="184"/>
      <c r="MPU1" s="184"/>
      <c r="MPV1" s="184"/>
      <c r="MPW1" s="184"/>
      <c r="MPX1" s="184"/>
      <c r="MPY1" s="184"/>
      <c r="MPZ1" s="184"/>
      <c r="MQA1" s="185"/>
      <c r="MQB1" s="180"/>
      <c r="MQC1" s="181"/>
      <c r="MQD1" s="181"/>
      <c r="MQE1" s="181"/>
      <c r="MQF1" s="181"/>
      <c r="MQG1" s="181"/>
      <c r="MQH1" s="181"/>
      <c r="MQI1" s="181"/>
      <c r="MQJ1" s="181"/>
      <c r="MQK1" s="182"/>
      <c r="MQL1" s="183"/>
      <c r="MQM1" s="184"/>
      <c r="MQN1" s="184"/>
      <c r="MQO1" s="184"/>
      <c r="MQP1" s="184"/>
      <c r="MQQ1" s="184"/>
      <c r="MQR1" s="184"/>
      <c r="MQS1" s="184"/>
      <c r="MQT1" s="184"/>
      <c r="MQU1" s="185"/>
      <c r="MQV1" s="180"/>
      <c r="MQW1" s="181"/>
      <c r="MQX1" s="181"/>
      <c r="MQY1" s="181"/>
      <c r="MQZ1" s="181"/>
      <c r="MRA1" s="181"/>
      <c r="MRB1" s="181"/>
      <c r="MRC1" s="181"/>
      <c r="MRD1" s="181"/>
      <c r="MRE1" s="182"/>
      <c r="MRF1" s="183"/>
      <c r="MRG1" s="184"/>
      <c r="MRH1" s="184"/>
      <c r="MRI1" s="184"/>
      <c r="MRJ1" s="184"/>
      <c r="MRK1" s="184"/>
      <c r="MRL1" s="184"/>
      <c r="MRM1" s="184"/>
      <c r="MRN1" s="184"/>
      <c r="MRO1" s="185"/>
      <c r="MRP1" s="180"/>
      <c r="MRQ1" s="181"/>
      <c r="MRR1" s="181"/>
      <c r="MRS1" s="181"/>
      <c r="MRT1" s="181"/>
      <c r="MRU1" s="181"/>
      <c r="MRV1" s="181"/>
      <c r="MRW1" s="181"/>
      <c r="MRX1" s="181"/>
      <c r="MRY1" s="182"/>
      <c r="MRZ1" s="183"/>
      <c r="MSA1" s="184"/>
      <c r="MSB1" s="184"/>
      <c r="MSC1" s="184"/>
      <c r="MSD1" s="184"/>
      <c r="MSE1" s="184"/>
      <c r="MSF1" s="184"/>
      <c r="MSG1" s="184"/>
      <c r="MSH1" s="184"/>
      <c r="MSI1" s="185"/>
      <c r="MSJ1" s="180"/>
      <c r="MSK1" s="181"/>
      <c r="MSL1" s="181"/>
      <c r="MSM1" s="181"/>
      <c r="MSN1" s="181"/>
      <c r="MSO1" s="181"/>
      <c r="MSP1" s="181"/>
      <c r="MSQ1" s="181"/>
      <c r="MSR1" s="181"/>
      <c r="MSS1" s="182"/>
      <c r="MST1" s="183"/>
      <c r="MSU1" s="184"/>
      <c r="MSV1" s="184"/>
      <c r="MSW1" s="184"/>
      <c r="MSX1" s="184"/>
      <c r="MSY1" s="184"/>
      <c r="MSZ1" s="184"/>
      <c r="MTA1" s="184"/>
      <c r="MTB1" s="184"/>
      <c r="MTC1" s="185"/>
      <c r="MTD1" s="180"/>
      <c r="MTE1" s="181"/>
      <c r="MTF1" s="181"/>
      <c r="MTG1" s="181"/>
      <c r="MTH1" s="181"/>
      <c r="MTI1" s="181"/>
      <c r="MTJ1" s="181"/>
      <c r="MTK1" s="181"/>
      <c r="MTL1" s="181"/>
      <c r="MTM1" s="182"/>
      <c r="MTN1" s="183"/>
      <c r="MTO1" s="184"/>
      <c r="MTP1" s="184"/>
      <c r="MTQ1" s="184"/>
      <c r="MTR1" s="184"/>
      <c r="MTS1" s="184"/>
      <c r="MTT1" s="184"/>
      <c r="MTU1" s="184"/>
      <c r="MTV1" s="184"/>
      <c r="MTW1" s="185"/>
      <c r="MTX1" s="180"/>
      <c r="MTY1" s="181"/>
      <c r="MTZ1" s="181"/>
      <c r="MUA1" s="181"/>
      <c r="MUB1" s="181"/>
      <c r="MUC1" s="181"/>
      <c r="MUD1" s="181"/>
      <c r="MUE1" s="181"/>
      <c r="MUF1" s="181"/>
      <c r="MUG1" s="182"/>
      <c r="MUH1" s="183"/>
      <c r="MUI1" s="184"/>
      <c r="MUJ1" s="184"/>
      <c r="MUK1" s="184"/>
      <c r="MUL1" s="184"/>
      <c r="MUM1" s="184"/>
      <c r="MUN1" s="184"/>
      <c r="MUO1" s="184"/>
      <c r="MUP1" s="184"/>
      <c r="MUQ1" s="185"/>
      <c r="MUR1" s="180"/>
      <c r="MUS1" s="181"/>
      <c r="MUT1" s="181"/>
      <c r="MUU1" s="181"/>
      <c r="MUV1" s="181"/>
      <c r="MUW1" s="181"/>
      <c r="MUX1" s="181"/>
      <c r="MUY1" s="181"/>
      <c r="MUZ1" s="181"/>
      <c r="MVA1" s="182"/>
      <c r="MVB1" s="183"/>
      <c r="MVC1" s="184"/>
      <c r="MVD1" s="184"/>
      <c r="MVE1" s="184"/>
      <c r="MVF1" s="184"/>
      <c r="MVG1" s="184"/>
      <c r="MVH1" s="184"/>
      <c r="MVI1" s="184"/>
      <c r="MVJ1" s="184"/>
      <c r="MVK1" s="185"/>
      <c r="MVL1" s="180"/>
      <c r="MVM1" s="181"/>
      <c r="MVN1" s="181"/>
      <c r="MVO1" s="181"/>
      <c r="MVP1" s="181"/>
      <c r="MVQ1" s="181"/>
      <c r="MVR1" s="181"/>
      <c r="MVS1" s="181"/>
      <c r="MVT1" s="181"/>
      <c r="MVU1" s="182"/>
      <c r="MVV1" s="183"/>
      <c r="MVW1" s="184"/>
      <c r="MVX1" s="184"/>
      <c r="MVY1" s="184"/>
      <c r="MVZ1" s="184"/>
      <c r="MWA1" s="184"/>
      <c r="MWB1" s="184"/>
      <c r="MWC1" s="184"/>
      <c r="MWD1" s="184"/>
      <c r="MWE1" s="185"/>
      <c r="MWF1" s="180"/>
      <c r="MWG1" s="181"/>
      <c r="MWH1" s="181"/>
      <c r="MWI1" s="181"/>
      <c r="MWJ1" s="181"/>
      <c r="MWK1" s="181"/>
      <c r="MWL1" s="181"/>
      <c r="MWM1" s="181"/>
      <c r="MWN1" s="181"/>
      <c r="MWO1" s="182"/>
      <c r="MWP1" s="183"/>
      <c r="MWQ1" s="184"/>
      <c r="MWR1" s="184"/>
      <c r="MWS1" s="184"/>
      <c r="MWT1" s="184"/>
      <c r="MWU1" s="184"/>
      <c r="MWV1" s="184"/>
      <c r="MWW1" s="184"/>
      <c r="MWX1" s="184"/>
      <c r="MWY1" s="185"/>
      <c r="MWZ1" s="180"/>
      <c r="MXA1" s="181"/>
      <c r="MXB1" s="181"/>
      <c r="MXC1" s="181"/>
      <c r="MXD1" s="181"/>
      <c r="MXE1" s="181"/>
      <c r="MXF1" s="181"/>
      <c r="MXG1" s="181"/>
      <c r="MXH1" s="181"/>
      <c r="MXI1" s="182"/>
      <c r="MXJ1" s="183"/>
      <c r="MXK1" s="184"/>
      <c r="MXL1" s="184"/>
      <c r="MXM1" s="184"/>
      <c r="MXN1" s="184"/>
      <c r="MXO1" s="184"/>
      <c r="MXP1" s="184"/>
      <c r="MXQ1" s="184"/>
      <c r="MXR1" s="184"/>
      <c r="MXS1" s="185"/>
      <c r="MXT1" s="180"/>
      <c r="MXU1" s="181"/>
      <c r="MXV1" s="181"/>
      <c r="MXW1" s="181"/>
      <c r="MXX1" s="181"/>
      <c r="MXY1" s="181"/>
      <c r="MXZ1" s="181"/>
      <c r="MYA1" s="181"/>
      <c r="MYB1" s="181"/>
      <c r="MYC1" s="182"/>
      <c r="MYD1" s="183"/>
      <c r="MYE1" s="184"/>
      <c r="MYF1" s="184"/>
      <c r="MYG1" s="184"/>
      <c r="MYH1" s="184"/>
      <c r="MYI1" s="184"/>
      <c r="MYJ1" s="184"/>
      <c r="MYK1" s="184"/>
      <c r="MYL1" s="184"/>
      <c r="MYM1" s="185"/>
      <c r="MYN1" s="180"/>
      <c r="MYO1" s="181"/>
      <c r="MYP1" s="181"/>
      <c r="MYQ1" s="181"/>
      <c r="MYR1" s="181"/>
      <c r="MYS1" s="181"/>
      <c r="MYT1" s="181"/>
      <c r="MYU1" s="181"/>
      <c r="MYV1" s="181"/>
      <c r="MYW1" s="182"/>
      <c r="MYX1" s="183"/>
      <c r="MYY1" s="184"/>
      <c r="MYZ1" s="184"/>
      <c r="MZA1" s="184"/>
      <c r="MZB1" s="184"/>
      <c r="MZC1" s="184"/>
      <c r="MZD1" s="184"/>
      <c r="MZE1" s="184"/>
      <c r="MZF1" s="184"/>
      <c r="MZG1" s="185"/>
      <c r="MZH1" s="180"/>
      <c r="MZI1" s="181"/>
      <c r="MZJ1" s="181"/>
      <c r="MZK1" s="181"/>
      <c r="MZL1" s="181"/>
      <c r="MZM1" s="181"/>
      <c r="MZN1" s="181"/>
      <c r="MZO1" s="181"/>
      <c r="MZP1" s="181"/>
      <c r="MZQ1" s="182"/>
      <c r="MZR1" s="183"/>
      <c r="MZS1" s="184"/>
      <c r="MZT1" s="184"/>
      <c r="MZU1" s="184"/>
      <c r="MZV1" s="184"/>
      <c r="MZW1" s="184"/>
      <c r="MZX1" s="184"/>
      <c r="MZY1" s="184"/>
      <c r="MZZ1" s="184"/>
      <c r="NAA1" s="185"/>
      <c r="NAB1" s="180"/>
      <c r="NAC1" s="181"/>
      <c r="NAD1" s="181"/>
      <c r="NAE1" s="181"/>
      <c r="NAF1" s="181"/>
      <c r="NAG1" s="181"/>
      <c r="NAH1" s="181"/>
      <c r="NAI1" s="181"/>
      <c r="NAJ1" s="181"/>
      <c r="NAK1" s="182"/>
      <c r="NAL1" s="183"/>
      <c r="NAM1" s="184"/>
      <c r="NAN1" s="184"/>
      <c r="NAO1" s="184"/>
      <c r="NAP1" s="184"/>
      <c r="NAQ1" s="184"/>
      <c r="NAR1" s="184"/>
      <c r="NAS1" s="184"/>
      <c r="NAT1" s="184"/>
      <c r="NAU1" s="185"/>
      <c r="NAV1" s="180"/>
      <c r="NAW1" s="181"/>
      <c r="NAX1" s="181"/>
      <c r="NAY1" s="181"/>
      <c r="NAZ1" s="181"/>
      <c r="NBA1" s="181"/>
      <c r="NBB1" s="181"/>
      <c r="NBC1" s="181"/>
      <c r="NBD1" s="181"/>
      <c r="NBE1" s="182"/>
      <c r="NBF1" s="183"/>
      <c r="NBG1" s="184"/>
      <c r="NBH1" s="184"/>
      <c r="NBI1" s="184"/>
      <c r="NBJ1" s="184"/>
      <c r="NBK1" s="184"/>
      <c r="NBL1" s="184"/>
      <c r="NBM1" s="184"/>
      <c r="NBN1" s="184"/>
      <c r="NBO1" s="185"/>
      <c r="NBP1" s="180"/>
      <c r="NBQ1" s="181"/>
      <c r="NBR1" s="181"/>
      <c r="NBS1" s="181"/>
      <c r="NBT1" s="181"/>
      <c r="NBU1" s="181"/>
      <c r="NBV1" s="181"/>
      <c r="NBW1" s="181"/>
      <c r="NBX1" s="181"/>
      <c r="NBY1" s="182"/>
      <c r="NBZ1" s="183"/>
      <c r="NCA1" s="184"/>
      <c r="NCB1" s="184"/>
      <c r="NCC1" s="184"/>
      <c r="NCD1" s="184"/>
      <c r="NCE1" s="184"/>
      <c r="NCF1" s="184"/>
      <c r="NCG1" s="184"/>
      <c r="NCH1" s="184"/>
      <c r="NCI1" s="185"/>
      <c r="NCJ1" s="180"/>
      <c r="NCK1" s="181"/>
      <c r="NCL1" s="181"/>
      <c r="NCM1" s="181"/>
      <c r="NCN1" s="181"/>
      <c r="NCO1" s="181"/>
      <c r="NCP1" s="181"/>
      <c r="NCQ1" s="181"/>
      <c r="NCR1" s="181"/>
      <c r="NCS1" s="182"/>
      <c r="NCT1" s="183"/>
      <c r="NCU1" s="184"/>
      <c r="NCV1" s="184"/>
      <c r="NCW1" s="184"/>
      <c r="NCX1" s="184"/>
      <c r="NCY1" s="184"/>
      <c r="NCZ1" s="184"/>
      <c r="NDA1" s="184"/>
      <c r="NDB1" s="184"/>
      <c r="NDC1" s="185"/>
      <c r="NDD1" s="180"/>
      <c r="NDE1" s="181"/>
      <c r="NDF1" s="181"/>
      <c r="NDG1" s="181"/>
      <c r="NDH1" s="181"/>
      <c r="NDI1" s="181"/>
      <c r="NDJ1" s="181"/>
      <c r="NDK1" s="181"/>
      <c r="NDL1" s="181"/>
      <c r="NDM1" s="182"/>
      <c r="NDN1" s="183"/>
      <c r="NDO1" s="184"/>
      <c r="NDP1" s="184"/>
      <c r="NDQ1" s="184"/>
      <c r="NDR1" s="184"/>
      <c r="NDS1" s="184"/>
      <c r="NDT1" s="184"/>
      <c r="NDU1" s="184"/>
      <c r="NDV1" s="184"/>
      <c r="NDW1" s="185"/>
      <c r="NDX1" s="180"/>
      <c r="NDY1" s="181"/>
      <c r="NDZ1" s="181"/>
      <c r="NEA1" s="181"/>
      <c r="NEB1" s="181"/>
      <c r="NEC1" s="181"/>
      <c r="NED1" s="181"/>
      <c r="NEE1" s="181"/>
      <c r="NEF1" s="181"/>
      <c r="NEG1" s="182"/>
      <c r="NEH1" s="183"/>
      <c r="NEI1" s="184"/>
      <c r="NEJ1" s="184"/>
      <c r="NEK1" s="184"/>
      <c r="NEL1" s="184"/>
      <c r="NEM1" s="184"/>
      <c r="NEN1" s="184"/>
      <c r="NEO1" s="184"/>
      <c r="NEP1" s="184"/>
      <c r="NEQ1" s="185"/>
      <c r="NER1" s="180"/>
      <c r="NES1" s="181"/>
      <c r="NET1" s="181"/>
      <c r="NEU1" s="181"/>
      <c r="NEV1" s="181"/>
      <c r="NEW1" s="181"/>
      <c r="NEX1" s="181"/>
      <c r="NEY1" s="181"/>
      <c r="NEZ1" s="181"/>
      <c r="NFA1" s="182"/>
      <c r="NFB1" s="183"/>
      <c r="NFC1" s="184"/>
      <c r="NFD1" s="184"/>
      <c r="NFE1" s="184"/>
      <c r="NFF1" s="184"/>
      <c r="NFG1" s="184"/>
      <c r="NFH1" s="184"/>
      <c r="NFI1" s="184"/>
      <c r="NFJ1" s="184"/>
      <c r="NFK1" s="185"/>
      <c r="NFL1" s="180"/>
      <c r="NFM1" s="181"/>
      <c r="NFN1" s="181"/>
      <c r="NFO1" s="181"/>
      <c r="NFP1" s="181"/>
      <c r="NFQ1" s="181"/>
      <c r="NFR1" s="181"/>
      <c r="NFS1" s="181"/>
      <c r="NFT1" s="181"/>
      <c r="NFU1" s="182"/>
      <c r="NFV1" s="183"/>
      <c r="NFW1" s="184"/>
      <c r="NFX1" s="184"/>
      <c r="NFY1" s="184"/>
      <c r="NFZ1" s="184"/>
      <c r="NGA1" s="184"/>
      <c r="NGB1" s="184"/>
      <c r="NGC1" s="184"/>
      <c r="NGD1" s="184"/>
      <c r="NGE1" s="185"/>
      <c r="NGF1" s="180"/>
      <c r="NGG1" s="181"/>
      <c r="NGH1" s="181"/>
      <c r="NGI1" s="181"/>
      <c r="NGJ1" s="181"/>
      <c r="NGK1" s="181"/>
      <c r="NGL1" s="181"/>
      <c r="NGM1" s="181"/>
      <c r="NGN1" s="181"/>
      <c r="NGO1" s="182"/>
      <c r="NGP1" s="183"/>
      <c r="NGQ1" s="184"/>
      <c r="NGR1" s="184"/>
      <c r="NGS1" s="184"/>
      <c r="NGT1" s="184"/>
      <c r="NGU1" s="184"/>
      <c r="NGV1" s="184"/>
      <c r="NGW1" s="184"/>
      <c r="NGX1" s="184"/>
      <c r="NGY1" s="185"/>
      <c r="NGZ1" s="180"/>
      <c r="NHA1" s="181"/>
      <c r="NHB1" s="181"/>
      <c r="NHC1" s="181"/>
      <c r="NHD1" s="181"/>
      <c r="NHE1" s="181"/>
      <c r="NHF1" s="181"/>
      <c r="NHG1" s="181"/>
      <c r="NHH1" s="181"/>
      <c r="NHI1" s="182"/>
      <c r="NHJ1" s="183"/>
      <c r="NHK1" s="184"/>
      <c r="NHL1" s="184"/>
      <c r="NHM1" s="184"/>
      <c r="NHN1" s="184"/>
      <c r="NHO1" s="184"/>
      <c r="NHP1" s="184"/>
      <c r="NHQ1" s="184"/>
      <c r="NHR1" s="184"/>
      <c r="NHS1" s="185"/>
      <c r="NHT1" s="180"/>
      <c r="NHU1" s="181"/>
      <c r="NHV1" s="181"/>
      <c r="NHW1" s="181"/>
      <c r="NHX1" s="181"/>
      <c r="NHY1" s="181"/>
      <c r="NHZ1" s="181"/>
      <c r="NIA1" s="181"/>
      <c r="NIB1" s="181"/>
      <c r="NIC1" s="182"/>
      <c r="NID1" s="183"/>
      <c r="NIE1" s="184"/>
      <c r="NIF1" s="184"/>
      <c r="NIG1" s="184"/>
      <c r="NIH1" s="184"/>
      <c r="NII1" s="184"/>
      <c r="NIJ1" s="184"/>
      <c r="NIK1" s="184"/>
      <c r="NIL1" s="184"/>
      <c r="NIM1" s="185"/>
      <c r="NIN1" s="180"/>
      <c r="NIO1" s="181"/>
      <c r="NIP1" s="181"/>
      <c r="NIQ1" s="181"/>
      <c r="NIR1" s="181"/>
      <c r="NIS1" s="181"/>
      <c r="NIT1" s="181"/>
      <c r="NIU1" s="181"/>
      <c r="NIV1" s="181"/>
      <c r="NIW1" s="182"/>
      <c r="NIX1" s="183"/>
      <c r="NIY1" s="184"/>
      <c r="NIZ1" s="184"/>
      <c r="NJA1" s="184"/>
      <c r="NJB1" s="184"/>
      <c r="NJC1" s="184"/>
      <c r="NJD1" s="184"/>
      <c r="NJE1" s="184"/>
      <c r="NJF1" s="184"/>
      <c r="NJG1" s="185"/>
      <c r="NJH1" s="180"/>
      <c r="NJI1" s="181"/>
      <c r="NJJ1" s="181"/>
      <c r="NJK1" s="181"/>
      <c r="NJL1" s="181"/>
      <c r="NJM1" s="181"/>
      <c r="NJN1" s="181"/>
      <c r="NJO1" s="181"/>
      <c r="NJP1" s="181"/>
      <c r="NJQ1" s="182"/>
      <c r="NJR1" s="183"/>
      <c r="NJS1" s="184"/>
      <c r="NJT1" s="184"/>
      <c r="NJU1" s="184"/>
      <c r="NJV1" s="184"/>
      <c r="NJW1" s="184"/>
      <c r="NJX1" s="184"/>
      <c r="NJY1" s="184"/>
      <c r="NJZ1" s="184"/>
      <c r="NKA1" s="185"/>
      <c r="NKB1" s="180"/>
      <c r="NKC1" s="181"/>
      <c r="NKD1" s="181"/>
      <c r="NKE1" s="181"/>
      <c r="NKF1" s="181"/>
      <c r="NKG1" s="181"/>
      <c r="NKH1" s="181"/>
      <c r="NKI1" s="181"/>
      <c r="NKJ1" s="181"/>
      <c r="NKK1" s="182"/>
      <c r="NKL1" s="183"/>
      <c r="NKM1" s="184"/>
      <c r="NKN1" s="184"/>
      <c r="NKO1" s="184"/>
      <c r="NKP1" s="184"/>
      <c r="NKQ1" s="184"/>
      <c r="NKR1" s="184"/>
      <c r="NKS1" s="184"/>
      <c r="NKT1" s="184"/>
      <c r="NKU1" s="185"/>
      <c r="NKV1" s="180"/>
      <c r="NKW1" s="181"/>
      <c r="NKX1" s="181"/>
      <c r="NKY1" s="181"/>
      <c r="NKZ1" s="181"/>
      <c r="NLA1" s="181"/>
      <c r="NLB1" s="181"/>
      <c r="NLC1" s="181"/>
      <c r="NLD1" s="181"/>
      <c r="NLE1" s="182"/>
      <c r="NLF1" s="183"/>
      <c r="NLG1" s="184"/>
      <c r="NLH1" s="184"/>
      <c r="NLI1" s="184"/>
      <c r="NLJ1" s="184"/>
      <c r="NLK1" s="184"/>
      <c r="NLL1" s="184"/>
      <c r="NLM1" s="184"/>
      <c r="NLN1" s="184"/>
      <c r="NLO1" s="185"/>
      <c r="NLP1" s="180"/>
      <c r="NLQ1" s="181"/>
      <c r="NLR1" s="181"/>
      <c r="NLS1" s="181"/>
      <c r="NLT1" s="181"/>
      <c r="NLU1" s="181"/>
      <c r="NLV1" s="181"/>
      <c r="NLW1" s="181"/>
      <c r="NLX1" s="181"/>
      <c r="NLY1" s="182"/>
      <c r="NLZ1" s="183"/>
      <c r="NMA1" s="184"/>
      <c r="NMB1" s="184"/>
      <c r="NMC1" s="184"/>
      <c r="NMD1" s="184"/>
      <c r="NME1" s="184"/>
      <c r="NMF1" s="184"/>
      <c r="NMG1" s="184"/>
      <c r="NMH1" s="184"/>
      <c r="NMI1" s="185"/>
      <c r="NMJ1" s="180"/>
      <c r="NMK1" s="181"/>
      <c r="NML1" s="181"/>
      <c r="NMM1" s="181"/>
      <c r="NMN1" s="181"/>
      <c r="NMO1" s="181"/>
      <c r="NMP1" s="181"/>
      <c r="NMQ1" s="181"/>
      <c r="NMR1" s="181"/>
      <c r="NMS1" s="182"/>
      <c r="NMT1" s="183"/>
      <c r="NMU1" s="184"/>
      <c r="NMV1" s="184"/>
      <c r="NMW1" s="184"/>
      <c r="NMX1" s="184"/>
      <c r="NMY1" s="184"/>
      <c r="NMZ1" s="184"/>
      <c r="NNA1" s="184"/>
      <c r="NNB1" s="184"/>
      <c r="NNC1" s="185"/>
      <c r="NND1" s="180"/>
      <c r="NNE1" s="181"/>
      <c r="NNF1" s="181"/>
      <c r="NNG1" s="181"/>
      <c r="NNH1" s="181"/>
      <c r="NNI1" s="181"/>
      <c r="NNJ1" s="181"/>
      <c r="NNK1" s="181"/>
      <c r="NNL1" s="181"/>
      <c r="NNM1" s="182"/>
      <c r="NNN1" s="183"/>
      <c r="NNO1" s="184"/>
      <c r="NNP1" s="184"/>
      <c r="NNQ1" s="184"/>
      <c r="NNR1" s="184"/>
      <c r="NNS1" s="184"/>
      <c r="NNT1" s="184"/>
      <c r="NNU1" s="184"/>
      <c r="NNV1" s="184"/>
      <c r="NNW1" s="185"/>
      <c r="NNX1" s="180"/>
      <c r="NNY1" s="181"/>
      <c r="NNZ1" s="181"/>
      <c r="NOA1" s="181"/>
      <c r="NOB1" s="181"/>
      <c r="NOC1" s="181"/>
      <c r="NOD1" s="181"/>
      <c r="NOE1" s="181"/>
      <c r="NOF1" s="181"/>
      <c r="NOG1" s="182"/>
      <c r="NOH1" s="183"/>
      <c r="NOI1" s="184"/>
      <c r="NOJ1" s="184"/>
      <c r="NOK1" s="184"/>
      <c r="NOL1" s="184"/>
      <c r="NOM1" s="184"/>
      <c r="NON1" s="184"/>
      <c r="NOO1" s="184"/>
      <c r="NOP1" s="184"/>
      <c r="NOQ1" s="185"/>
      <c r="NOR1" s="180"/>
      <c r="NOS1" s="181"/>
      <c r="NOT1" s="181"/>
      <c r="NOU1" s="181"/>
      <c r="NOV1" s="181"/>
      <c r="NOW1" s="181"/>
      <c r="NOX1" s="181"/>
      <c r="NOY1" s="181"/>
      <c r="NOZ1" s="181"/>
      <c r="NPA1" s="182"/>
      <c r="NPB1" s="183"/>
      <c r="NPC1" s="184"/>
      <c r="NPD1" s="184"/>
      <c r="NPE1" s="184"/>
      <c r="NPF1" s="184"/>
      <c r="NPG1" s="184"/>
      <c r="NPH1" s="184"/>
      <c r="NPI1" s="184"/>
      <c r="NPJ1" s="184"/>
      <c r="NPK1" s="185"/>
      <c r="NPL1" s="180"/>
      <c r="NPM1" s="181"/>
      <c r="NPN1" s="181"/>
      <c r="NPO1" s="181"/>
      <c r="NPP1" s="181"/>
      <c r="NPQ1" s="181"/>
      <c r="NPR1" s="181"/>
      <c r="NPS1" s="181"/>
      <c r="NPT1" s="181"/>
      <c r="NPU1" s="182"/>
      <c r="NPV1" s="183"/>
      <c r="NPW1" s="184"/>
      <c r="NPX1" s="184"/>
      <c r="NPY1" s="184"/>
      <c r="NPZ1" s="184"/>
      <c r="NQA1" s="184"/>
      <c r="NQB1" s="184"/>
      <c r="NQC1" s="184"/>
      <c r="NQD1" s="184"/>
      <c r="NQE1" s="185"/>
      <c r="NQF1" s="180"/>
      <c r="NQG1" s="181"/>
      <c r="NQH1" s="181"/>
      <c r="NQI1" s="181"/>
      <c r="NQJ1" s="181"/>
      <c r="NQK1" s="181"/>
      <c r="NQL1" s="181"/>
      <c r="NQM1" s="181"/>
      <c r="NQN1" s="181"/>
      <c r="NQO1" s="182"/>
      <c r="NQP1" s="183"/>
      <c r="NQQ1" s="184"/>
      <c r="NQR1" s="184"/>
      <c r="NQS1" s="184"/>
      <c r="NQT1" s="184"/>
      <c r="NQU1" s="184"/>
      <c r="NQV1" s="184"/>
      <c r="NQW1" s="184"/>
      <c r="NQX1" s="184"/>
      <c r="NQY1" s="185"/>
      <c r="NQZ1" s="180"/>
      <c r="NRA1" s="181"/>
      <c r="NRB1" s="181"/>
      <c r="NRC1" s="181"/>
      <c r="NRD1" s="181"/>
      <c r="NRE1" s="181"/>
      <c r="NRF1" s="181"/>
      <c r="NRG1" s="181"/>
      <c r="NRH1" s="181"/>
      <c r="NRI1" s="182"/>
      <c r="NRJ1" s="183"/>
      <c r="NRK1" s="184"/>
      <c r="NRL1" s="184"/>
      <c r="NRM1" s="184"/>
      <c r="NRN1" s="184"/>
      <c r="NRO1" s="184"/>
      <c r="NRP1" s="184"/>
      <c r="NRQ1" s="184"/>
      <c r="NRR1" s="184"/>
      <c r="NRS1" s="185"/>
      <c r="NRT1" s="180"/>
      <c r="NRU1" s="181"/>
      <c r="NRV1" s="181"/>
      <c r="NRW1" s="181"/>
      <c r="NRX1" s="181"/>
      <c r="NRY1" s="181"/>
      <c r="NRZ1" s="181"/>
      <c r="NSA1" s="181"/>
      <c r="NSB1" s="181"/>
      <c r="NSC1" s="182"/>
      <c r="NSD1" s="183"/>
      <c r="NSE1" s="184"/>
      <c r="NSF1" s="184"/>
      <c r="NSG1" s="184"/>
      <c r="NSH1" s="184"/>
      <c r="NSI1" s="184"/>
      <c r="NSJ1" s="184"/>
      <c r="NSK1" s="184"/>
      <c r="NSL1" s="184"/>
      <c r="NSM1" s="185"/>
      <c r="NSN1" s="180"/>
      <c r="NSO1" s="181"/>
      <c r="NSP1" s="181"/>
      <c r="NSQ1" s="181"/>
      <c r="NSR1" s="181"/>
      <c r="NSS1" s="181"/>
      <c r="NST1" s="181"/>
      <c r="NSU1" s="181"/>
      <c r="NSV1" s="181"/>
      <c r="NSW1" s="182"/>
      <c r="NSX1" s="183"/>
      <c r="NSY1" s="184"/>
      <c r="NSZ1" s="184"/>
      <c r="NTA1" s="184"/>
      <c r="NTB1" s="184"/>
      <c r="NTC1" s="184"/>
      <c r="NTD1" s="184"/>
      <c r="NTE1" s="184"/>
      <c r="NTF1" s="184"/>
      <c r="NTG1" s="185"/>
      <c r="NTH1" s="180"/>
      <c r="NTI1" s="181"/>
      <c r="NTJ1" s="181"/>
      <c r="NTK1" s="181"/>
      <c r="NTL1" s="181"/>
      <c r="NTM1" s="181"/>
      <c r="NTN1" s="181"/>
      <c r="NTO1" s="181"/>
      <c r="NTP1" s="181"/>
      <c r="NTQ1" s="182"/>
      <c r="NTR1" s="183"/>
      <c r="NTS1" s="184"/>
      <c r="NTT1" s="184"/>
      <c r="NTU1" s="184"/>
      <c r="NTV1" s="184"/>
      <c r="NTW1" s="184"/>
      <c r="NTX1" s="184"/>
      <c r="NTY1" s="184"/>
      <c r="NTZ1" s="184"/>
      <c r="NUA1" s="185"/>
      <c r="NUB1" s="180"/>
      <c r="NUC1" s="181"/>
      <c r="NUD1" s="181"/>
      <c r="NUE1" s="181"/>
      <c r="NUF1" s="181"/>
      <c r="NUG1" s="181"/>
      <c r="NUH1" s="181"/>
      <c r="NUI1" s="181"/>
      <c r="NUJ1" s="181"/>
      <c r="NUK1" s="182"/>
      <c r="NUL1" s="183"/>
      <c r="NUM1" s="184"/>
      <c r="NUN1" s="184"/>
      <c r="NUO1" s="184"/>
      <c r="NUP1" s="184"/>
      <c r="NUQ1" s="184"/>
      <c r="NUR1" s="184"/>
      <c r="NUS1" s="184"/>
      <c r="NUT1" s="184"/>
      <c r="NUU1" s="185"/>
      <c r="NUV1" s="180"/>
      <c r="NUW1" s="181"/>
      <c r="NUX1" s="181"/>
      <c r="NUY1" s="181"/>
      <c r="NUZ1" s="181"/>
      <c r="NVA1" s="181"/>
      <c r="NVB1" s="181"/>
      <c r="NVC1" s="181"/>
      <c r="NVD1" s="181"/>
      <c r="NVE1" s="182"/>
      <c r="NVF1" s="183"/>
      <c r="NVG1" s="184"/>
      <c r="NVH1" s="184"/>
      <c r="NVI1" s="184"/>
      <c r="NVJ1" s="184"/>
      <c r="NVK1" s="184"/>
      <c r="NVL1" s="184"/>
      <c r="NVM1" s="184"/>
      <c r="NVN1" s="184"/>
      <c r="NVO1" s="185"/>
      <c r="NVP1" s="180"/>
      <c r="NVQ1" s="181"/>
      <c r="NVR1" s="181"/>
      <c r="NVS1" s="181"/>
      <c r="NVT1" s="181"/>
      <c r="NVU1" s="181"/>
      <c r="NVV1" s="181"/>
      <c r="NVW1" s="181"/>
      <c r="NVX1" s="181"/>
      <c r="NVY1" s="182"/>
      <c r="NVZ1" s="183"/>
      <c r="NWA1" s="184"/>
      <c r="NWB1" s="184"/>
      <c r="NWC1" s="184"/>
      <c r="NWD1" s="184"/>
      <c r="NWE1" s="184"/>
      <c r="NWF1" s="184"/>
      <c r="NWG1" s="184"/>
      <c r="NWH1" s="184"/>
      <c r="NWI1" s="185"/>
      <c r="NWJ1" s="180"/>
      <c r="NWK1" s="181"/>
      <c r="NWL1" s="181"/>
      <c r="NWM1" s="181"/>
      <c r="NWN1" s="181"/>
      <c r="NWO1" s="181"/>
      <c r="NWP1" s="181"/>
      <c r="NWQ1" s="181"/>
      <c r="NWR1" s="181"/>
      <c r="NWS1" s="182"/>
      <c r="NWT1" s="183"/>
      <c r="NWU1" s="184"/>
      <c r="NWV1" s="184"/>
      <c r="NWW1" s="184"/>
      <c r="NWX1" s="184"/>
      <c r="NWY1" s="184"/>
      <c r="NWZ1" s="184"/>
      <c r="NXA1" s="184"/>
      <c r="NXB1" s="184"/>
      <c r="NXC1" s="185"/>
      <c r="NXD1" s="180"/>
      <c r="NXE1" s="181"/>
      <c r="NXF1" s="181"/>
      <c r="NXG1" s="181"/>
      <c r="NXH1" s="181"/>
      <c r="NXI1" s="181"/>
      <c r="NXJ1" s="181"/>
      <c r="NXK1" s="181"/>
      <c r="NXL1" s="181"/>
      <c r="NXM1" s="182"/>
      <c r="NXN1" s="183"/>
      <c r="NXO1" s="184"/>
      <c r="NXP1" s="184"/>
      <c r="NXQ1" s="184"/>
      <c r="NXR1" s="184"/>
      <c r="NXS1" s="184"/>
      <c r="NXT1" s="184"/>
      <c r="NXU1" s="184"/>
      <c r="NXV1" s="184"/>
      <c r="NXW1" s="185"/>
      <c r="NXX1" s="180"/>
      <c r="NXY1" s="181"/>
      <c r="NXZ1" s="181"/>
      <c r="NYA1" s="181"/>
      <c r="NYB1" s="181"/>
      <c r="NYC1" s="181"/>
      <c r="NYD1" s="181"/>
      <c r="NYE1" s="181"/>
      <c r="NYF1" s="181"/>
      <c r="NYG1" s="182"/>
      <c r="NYH1" s="183"/>
      <c r="NYI1" s="184"/>
      <c r="NYJ1" s="184"/>
      <c r="NYK1" s="184"/>
      <c r="NYL1" s="184"/>
      <c r="NYM1" s="184"/>
      <c r="NYN1" s="184"/>
      <c r="NYO1" s="184"/>
      <c r="NYP1" s="184"/>
      <c r="NYQ1" s="185"/>
      <c r="NYR1" s="180"/>
      <c r="NYS1" s="181"/>
      <c r="NYT1" s="181"/>
      <c r="NYU1" s="181"/>
      <c r="NYV1" s="181"/>
      <c r="NYW1" s="181"/>
      <c r="NYX1" s="181"/>
      <c r="NYY1" s="181"/>
      <c r="NYZ1" s="181"/>
      <c r="NZA1" s="182"/>
      <c r="NZB1" s="183"/>
      <c r="NZC1" s="184"/>
      <c r="NZD1" s="184"/>
      <c r="NZE1" s="184"/>
      <c r="NZF1" s="184"/>
      <c r="NZG1" s="184"/>
      <c r="NZH1" s="184"/>
      <c r="NZI1" s="184"/>
      <c r="NZJ1" s="184"/>
      <c r="NZK1" s="185"/>
      <c r="NZL1" s="180"/>
      <c r="NZM1" s="181"/>
      <c r="NZN1" s="181"/>
      <c r="NZO1" s="181"/>
      <c r="NZP1" s="181"/>
      <c r="NZQ1" s="181"/>
      <c r="NZR1" s="181"/>
      <c r="NZS1" s="181"/>
      <c r="NZT1" s="181"/>
      <c r="NZU1" s="182"/>
      <c r="NZV1" s="183"/>
      <c r="NZW1" s="184"/>
      <c r="NZX1" s="184"/>
      <c r="NZY1" s="184"/>
      <c r="NZZ1" s="184"/>
      <c r="OAA1" s="184"/>
      <c r="OAB1" s="184"/>
      <c r="OAC1" s="184"/>
      <c r="OAD1" s="184"/>
      <c r="OAE1" s="185"/>
      <c r="OAF1" s="180"/>
      <c r="OAG1" s="181"/>
      <c r="OAH1" s="181"/>
      <c r="OAI1" s="181"/>
      <c r="OAJ1" s="181"/>
      <c r="OAK1" s="181"/>
      <c r="OAL1" s="181"/>
      <c r="OAM1" s="181"/>
      <c r="OAN1" s="181"/>
      <c r="OAO1" s="182"/>
      <c r="OAP1" s="183"/>
      <c r="OAQ1" s="184"/>
      <c r="OAR1" s="184"/>
      <c r="OAS1" s="184"/>
      <c r="OAT1" s="184"/>
      <c r="OAU1" s="184"/>
      <c r="OAV1" s="184"/>
      <c r="OAW1" s="184"/>
      <c r="OAX1" s="184"/>
      <c r="OAY1" s="185"/>
      <c r="OAZ1" s="180"/>
      <c r="OBA1" s="181"/>
      <c r="OBB1" s="181"/>
      <c r="OBC1" s="181"/>
      <c r="OBD1" s="181"/>
      <c r="OBE1" s="181"/>
      <c r="OBF1" s="181"/>
      <c r="OBG1" s="181"/>
      <c r="OBH1" s="181"/>
      <c r="OBI1" s="182"/>
      <c r="OBJ1" s="183"/>
      <c r="OBK1" s="184"/>
      <c r="OBL1" s="184"/>
      <c r="OBM1" s="184"/>
      <c r="OBN1" s="184"/>
      <c r="OBO1" s="184"/>
      <c r="OBP1" s="184"/>
      <c r="OBQ1" s="184"/>
      <c r="OBR1" s="184"/>
      <c r="OBS1" s="185"/>
      <c r="OBT1" s="180"/>
      <c r="OBU1" s="181"/>
      <c r="OBV1" s="181"/>
      <c r="OBW1" s="181"/>
      <c r="OBX1" s="181"/>
      <c r="OBY1" s="181"/>
      <c r="OBZ1" s="181"/>
      <c r="OCA1" s="181"/>
      <c r="OCB1" s="181"/>
      <c r="OCC1" s="182"/>
      <c r="OCD1" s="183"/>
      <c r="OCE1" s="184"/>
      <c r="OCF1" s="184"/>
      <c r="OCG1" s="184"/>
      <c r="OCH1" s="184"/>
      <c r="OCI1" s="184"/>
      <c r="OCJ1" s="184"/>
      <c r="OCK1" s="184"/>
      <c r="OCL1" s="184"/>
      <c r="OCM1" s="185"/>
      <c r="OCN1" s="180"/>
      <c r="OCO1" s="181"/>
      <c r="OCP1" s="181"/>
      <c r="OCQ1" s="181"/>
      <c r="OCR1" s="181"/>
      <c r="OCS1" s="181"/>
      <c r="OCT1" s="181"/>
      <c r="OCU1" s="181"/>
      <c r="OCV1" s="181"/>
      <c r="OCW1" s="182"/>
      <c r="OCX1" s="183"/>
      <c r="OCY1" s="184"/>
      <c r="OCZ1" s="184"/>
      <c r="ODA1" s="184"/>
      <c r="ODB1" s="184"/>
      <c r="ODC1" s="184"/>
      <c r="ODD1" s="184"/>
      <c r="ODE1" s="184"/>
      <c r="ODF1" s="184"/>
      <c r="ODG1" s="185"/>
      <c r="ODH1" s="180"/>
      <c r="ODI1" s="181"/>
      <c r="ODJ1" s="181"/>
      <c r="ODK1" s="181"/>
      <c r="ODL1" s="181"/>
      <c r="ODM1" s="181"/>
      <c r="ODN1" s="181"/>
      <c r="ODO1" s="181"/>
      <c r="ODP1" s="181"/>
      <c r="ODQ1" s="182"/>
      <c r="ODR1" s="183"/>
      <c r="ODS1" s="184"/>
      <c r="ODT1" s="184"/>
      <c r="ODU1" s="184"/>
      <c r="ODV1" s="184"/>
      <c r="ODW1" s="184"/>
      <c r="ODX1" s="184"/>
      <c r="ODY1" s="184"/>
      <c r="ODZ1" s="184"/>
      <c r="OEA1" s="185"/>
      <c r="OEB1" s="180"/>
      <c r="OEC1" s="181"/>
      <c r="OED1" s="181"/>
      <c r="OEE1" s="181"/>
      <c r="OEF1" s="181"/>
      <c r="OEG1" s="181"/>
      <c r="OEH1" s="181"/>
      <c r="OEI1" s="181"/>
      <c r="OEJ1" s="181"/>
      <c r="OEK1" s="182"/>
      <c r="OEL1" s="183"/>
      <c r="OEM1" s="184"/>
      <c r="OEN1" s="184"/>
      <c r="OEO1" s="184"/>
      <c r="OEP1" s="184"/>
      <c r="OEQ1" s="184"/>
      <c r="OER1" s="184"/>
      <c r="OES1" s="184"/>
      <c r="OET1" s="184"/>
      <c r="OEU1" s="185"/>
      <c r="OEV1" s="180"/>
      <c r="OEW1" s="181"/>
      <c r="OEX1" s="181"/>
      <c r="OEY1" s="181"/>
      <c r="OEZ1" s="181"/>
      <c r="OFA1" s="181"/>
      <c r="OFB1" s="181"/>
      <c r="OFC1" s="181"/>
      <c r="OFD1" s="181"/>
      <c r="OFE1" s="182"/>
      <c r="OFF1" s="183"/>
      <c r="OFG1" s="184"/>
      <c r="OFH1" s="184"/>
      <c r="OFI1" s="184"/>
      <c r="OFJ1" s="184"/>
      <c r="OFK1" s="184"/>
      <c r="OFL1" s="184"/>
      <c r="OFM1" s="184"/>
      <c r="OFN1" s="184"/>
      <c r="OFO1" s="185"/>
      <c r="OFP1" s="180"/>
      <c r="OFQ1" s="181"/>
      <c r="OFR1" s="181"/>
      <c r="OFS1" s="181"/>
      <c r="OFT1" s="181"/>
      <c r="OFU1" s="181"/>
      <c r="OFV1" s="181"/>
      <c r="OFW1" s="181"/>
      <c r="OFX1" s="181"/>
      <c r="OFY1" s="182"/>
      <c r="OFZ1" s="183"/>
      <c r="OGA1" s="184"/>
      <c r="OGB1" s="184"/>
      <c r="OGC1" s="184"/>
      <c r="OGD1" s="184"/>
      <c r="OGE1" s="184"/>
      <c r="OGF1" s="184"/>
      <c r="OGG1" s="184"/>
      <c r="OGH1" s="184"/>
      <c r="OGI1" s="185"/>
      <c r="OGJ1" s="180"/>
      <c r="OGK1" s="181"/>
      <c r="OGL1" s="181"/>
      <c r="OGM1" s="181"/>
      <c r="OGN1" s="181"/>
      <c r="OGO1" s="181"/>
      <c r="OGP1" s="181"/>
      <c r="OGQ1" s="181"/>
      <c r="OGR1" s="181"/>
      <c r="OGS1" s="182"/>
      <c r="OGT1" s="183"/>
      <c r="OGU1" s="184"/>
      <c r="OGV1" s="184"/>
      <c r="OGW1" s="184"/>
      <c r="OGX1" s="184"/>
      <c r="OGY1" s="184"/>
      <c r="OGZ1" s="184"/>
      <c r="OHA1" s="184"/>
      <c r="OHB1" s="184"/>
      <c r="OHC1" s="185"/>
      <c r="OHD1" s="180"/>
      <c r="OHE1" s="181"/>
      <c r="OHF1" s="181"/>
      <c r="OHG1" s="181"/>
      <c r="OHH1" s="181"/>
      <c r="OHI1" s="181"/>
      <c r="OHJ1" s="181"/>
      <c r="OHK1" s="181"/>
      <c r="OHL1" s="181"/>
      <c r="OHM1" s="182"/>
      <c r="OHN1" s="183"/>
      <c r="OHO1" s="184"/>
      <c r="OHP1" s="184"/>
      <c r="OHQ1" s="184"/>
      <c r="OHR1" s="184"/>
      <c r="OHS1" s="184"/>
      <c r="OHT1" s="184"/>
      <c r="OHU1" s="184"/>
      <c r="OHV1" s="184"/>
      <c r="OHW1" s="185"/>
      <c r="OHX1" s="180"/>
      <c r="OHY1" s="181"/>
      <c r="OHZ1" s="181"/>
      <c r="OIA1" s="181"/>
      <c r="OIB1" s="181"/>
      <c r="OIC1" s="181"/>
      <c r="OID1" s="181"/>
      <c r="OIE1" s="181"/>
      <c r="OIF1" s="181"/>
      <c r="OIG1" s="182"/>
      <c r="OIH1" s="183"/>
      <c r="OII1" s="184"/>
      <c r="OIJ1" s="184"/>
      <c r="OIK1" s="184"/>
      <c r="OIL1" s="184"/>
      <c r="OIM1" s="184"/>
      <c r="OIN1" s="184"/>
      <c r="OIO1" s="184"/>
      <c r="OIP1" s="184"/>
      <c r="OIQ1" s="185"/>
      <c r="OIR1" s="180"/>
      <c r="OIS1" s="181"/>
      <c r="OIT1" s="181"/>
      <c r="OIU1" s="181"/>
      <c r="OIV1" s="181"/>
      <c r="OIW1" s="181"/>
      <c r="OIX1" s="181"/>
      <c r="OIY1" s="181"/>
      <c r="OIZ1" s="181"/>
      <c r="OJA1" s="182"/>
      <c r="OJB1" s="183"/>
      <c r="OJC1" s="184"/>
      <c r="OJD1" s="184"/>
      <c r="OJE1" s="184"/>
      <c r="OJF1" s="184"/>
      <c r="OJG1" s="184"/>
      <c r="OJH1" s="184"/>
      <c r="OJI1" s="184"/>
      <c r="OJJ1" s="184"/>
      <c r="OJK1" s="185"/>
      <c r="OJL1" s="180"/>
      <c r="OJM1" s="181"/>
      <c r="OJN1" s="181"/>
      <c r="OJO1" s="181"/>
      <c r="OJP1" s="181"/>
      <c r="OJQ1" s="181"/>
      <c r="OJR1" s="181"/>
      <c r="OJS1" s="181"/>
      <c r="OJT1" s="181"/>
      <c r="OJU1" s="182"/>
      <c r="OJV1" s="183"/>
      <c r="OJW1" s="184"/>
      <c r="OJX1" s="184"/>
      <c r="OJY1" s="184"/>
      <c r="OJZ1" s="184"/>
      <c r="OKA1" s="184"/>
      <c r="OKB1" s="184"/>
      <c r="OKC1" s="184"/>
      <c r="OKD1" s="184"/>
      <c r="OKE1" s="185"/>
      <c r="OKF1" s="180"/>
      <c r="OKG1" s="181"/>
      <c r="OKH1" s="181"/>
      <c r="OKI1" s="181"/>
      <c r="OKJ1" s="181"/>
      <c r="OKK1" s="181"/>
      <c r="OKL1" s="181"/>
      <c r="OKM1" s="181"/>
      <c r="OKN1" s="181"/>
      <c r="OKO1" s="182"/>
      <c r="OKP1" s="183"/>
      <c r="OKQ1" s="184"/>
      <c r="OKR1" s="184"/>
      <c r="OKS1" s="184"/>
      <c r="OKT1" s="184"/>
      <c r="OKU1" s="184"/>
      <c r="OKV1" s="184"/>
      <c r="OKW1" s="184"/>
      <c r="OKX1" s="184"/>
      <c r="OKY1" s="185"/>
      <c r="OKZ1" s="180"/>
      <c r="OLA1" s="181"/>
      <c r="OLB1" s="181"/>
      <c r="OLC1" s="181"/>
      <c r="OLD1" s="181"/>
      <c r="OLE1" s="181"/>
      <c r="OLF1" s="181"/>
      <c r="OLG1" s="181"/>
      <c r="OLH1" s="181"/>
      <c r="OLI1" s="182"/>
      <c r="OLJ1" s="183"/>
      <c r="OLK1" s="184"/>
      <c r="OLL1" s="184"/>
      <c r="OLM1" s="184"/>
      <c r="OLN1" s="184"/>
      <c r="OLO1" s="184"/>
      <c r="OLP1" s="184"/>
      <c r="OLQ1" s="184"/>
      <c r="OLR1" s="184"/>
      <c r="OLS1" s="185"/>
      <c r="OLT1" s="180"/>
      <c r="OLU1" s="181"/>
      <c r="OLV1" s="181"/>
      <c r="OLW1" s="181"/>
      <c r="OLX1" s="181"/>
      <c r="OLY1" s="181"/>
      <c r="OLZ1" s="181"/>
      <c r="OMA1" s="181"/>
      <c r="OMB1" s="181"/>
      <c r="OMC1" s="182"/>
      <c r="OMD1" s="183"/>
      <c r="OME1" s="184"/>
      <c r="OMF1" s="184"/>
      <c r="OMG1" s="184"/>
      <c r="OMH1" s="184"/>
      <c r="OMI1" s="184"/>
      <c r="OMJ1" s="184"/>
      <c r="OMK1" s="184"/>
      <c r="OML1" s="184"/>
      <c r="OMM1" s="185"/>
      <c r="OMN1" s="180"/>
      <c r="OMO1" s="181"/>
      <c r="OMP1" s="181"/>
      <c r="OMQ1" s="181"/>
      <c r="OMR1" s="181"/>
      <c r="OMS1" s="181"/>
      <c r="OMT1" s="181"/>
      <c r="OMU1" s="181"/>
      <c r="OMV1" s="181"/>
      <c r="OMW1" s="182"/>
      <c r="OMX1" s="183"/>
      <c r="OMY1" s="184"/>
      <c r="OMZ1" s="184"/>
      <c r="ONA1" s="184"/>
      <c r="ONB1" s="184"/>
      <c r="ONC1" s="184"/>
      <c r="OND1" s="184"/>
      <c r="ONE1" s="184"/>
      <c r="ONF1" s="184"/>
      <c r="ONG1" s="185"/>
      <c r="ONH1" s="180"/>
      <c r="ONI1" s="181"/>
      <c r="ONJ1" s="181"/>
      <c r="ONK1" s="181"/>
      <c r="ONL1" s="181"/>
      <c r="ONM1" s="181"/>
      <c r="ONN1" s="181"/>
      <c r="ONO1" s="181"/>
      <c r="ONP1" s="181"/>
      <c r="ONQ1" s="182"/>
      <c r="ONR1" s="183"/>
      <c r="ONS1" s="184"/>
      <c r="ONT1" s="184"/>
      <c r="ONU1" s="184"/>
      <c r="ONV1" s="184"/>
      <c r="ONW1" s="184"/>
      <c r="ONX1" s="184"/>
      <c r="ONY1" s="184"/>
      <c r="ONZ1" s="184"/>
      <c r="OOA1" s="185"/>
      <c r="OOB1" s="180"/>
      <c r="OOC1" s="181"/>
      <c r="OOD1" s="181"/>
      <c r="OOE1" s="181"/>
      <c r="OOF1" s="181"/>
      <c r="OOG1" s="181"/>
      <c r="OOH1" s="181"/>
      <c r="OOI1" s="181"/>
      <c r="OOJ1" s="181"/>
      <c r="OOK1" s="182"/>
      <c r="OOL1" s="183"/>
      <c r="OOM1" s="184"/>
      <c r="OON1" s="184"/>
      <c r="OOO1" s="184"/>
      <c r="OOP1" s="184"/>
      <c r="OOQ1" s="184"/>
      <c r="OOR1" s="184"/>
      <c r="OOS1" s="184"/>
      <c r="OOT1" s="184"/>
      <c r="OOU1" s="185"/>
      <c r="OOV1" s="180"/>
      <c r="OOW1" s="181"/>
      <c r="OOX1" s="181"/>
      <c r="OOY1" s="181"/>
      <c r="OOZ1" s="181"/>
      <c r="OPA1" s="181"/>
      <c r="OPB1" s="181"/>
      <c r="OPC1" s="181"/>
      <c r="OPD1" s="181"/>
      <c r="OPE1" s="182"/>
      <c r="OPF1" s="183"/>
      <c r="OPG1" s="184"/>
      <c r="OPH1" s="184"/>
      <c r="OPI1" s="184"/>
      <c r="OPJ1" s="184"/>
      <c r="OPK1" s="184"/>
      <c r="OPL1" s="184"/>
      <c r="OPM1" s="184"/>
      <c r="OPN1" s="184"/>
      <c r="OPO1" s="185"/>
      <c r="OPP1" s="180"/>
      <c r="OPQ1" s="181"/>
      <c r="OPR1" s="181"/>
      <c r="OPS1" s="181"/>
      <c r="OPT1" s="181"/>
      <c r="OPU1" s="181"/>
      <c r="OPV1" s="181"/>
      <c r="OPW1" s="181"/>
      <c r="OPX1" s="181"/>
      <c r="OPY1" s="182"/>
      <c r="OPZ1" s="183"/>
      <c r="OQA1" s="184"/>
      <c r="OQB1" s="184"/>
      <c r="OQC1" s="184"/>
      <c r="OQD1" s="184"/>
      <c r="OQE1" s="184"/>
      <c r="OQF1" s="184"/>
      <c r="OQG1" s="184"/>
      <c r="OQH1" s="184"/>
      <c r="OQI1" s="185"/>
      <c r="OQJ1" s="180"/>
      <c r="OQK1" s="181"/>
      <c r="OQL1" s="181"/>
      <c r="OQM1" s="181"/>
      <c r="OQN1" s="181"/>
      <c r="OQO1" s="181"/>
      <c r="OQP1" s="181"/>
      <c r="OQQ1" s="181"/>
      <c r="OQR1" s="181"/>
      <c r="OQS1" s="182"/>
      <c r="OQT1" s="183"/>
      <c r="OQU1" s="184"/>
      <c r="OQV1" s="184"/>
      <c r="OQW1" s="184"/>
      <c r="OQX1" s="184"/>
      <c r="OQY1" s="184"/>
      <c r="OQZ1" s="184"/>
      <c r="ORA1" s="184"/>
      <c r="ORB1" s="184"/>
      <c r="ORC1" s="185"/>
      <c r="ORD1" s="180"/>
      <c r="ORE1" s="181"/>
      <c r="ORF1" s="181"/>
      <c r="ORG1" s="181"/>
      <c r="ORH1" s="181"/>
      <c r="ORI1" s="181"/>
      <c r="ORJ1" s="181"/>
      <c r="ORK1" s="181"/>
      <c r="ORL1" s="181"/>
      <c r="ORM1" s="182"/>
      <c r="ORN1" s="183"/>
      <c r="ORO1" s="184"/>
      <c r="ORP1" s="184"/>
      <c r="ORQ1" s="184"/>
      <c r="ORR1" s="184"/>
      <c r="ORS1" s="184"/>
      <c r="ORT1" s="184"/>
      <c r="ORU1" s="184"/>
      <c r="ORV1" s="184"/>
      <c r="ORW1" s="185"/>
      <c r="ORX1" s="180"/>
      <c r="ORY1" s="181"/>
      <c r="ORZ1" s="181"/>
      <c r="OSA1" s="181"/>
      <c r="OSB1" s="181"/>
      <c r="OSC1" s="181"/>
      <c r="OSD1" s="181"/>
      <c r="OSE1" s="181"/>
      <c r="OSF1" s="181"/>
      <c r="OSG1" s="182"/>
      <c r="OSH1" s="183"/>
      <c r="OSI1" s="184"/>
      <c r="OSJ1" s="184"/>
      <c r="OSK1" s="184"/>
      <c r="OSL1" s="184"/>
      <c r="OSM1" s="184"/>
      <c r="OSN1" s="184"/>
      <c r="OSO1" s="184"/>
      <c r="OSP1" s="184"/>
      <c r="OSQ1" s="185"/>
      <c r="OSR1" s="180"/>
      <c r="OSS1" s="181"/>
      <c r="OST1" s="181"/>
      <c r="OSU1" s="181"/>
      <c r="OSV1" s="181"/>
      <c r="OSW1" s="181"/>
      <c r="OSX1" s="181"/>
      <c r="OSY1" s="181"/>
      <c r="OSZ1" s="181"/>
      <c r="OTA1" s="182"/>
      <c r="OTB1" s="183"/>
      <c r="OTC1" s="184"/>
      <c r="OTD1" s="184"/>
      <c r="OTE1" s="184"/>
      <c r="OTF1" s="184"/>
      <c r="OTG1" s="184"/>
      <c r="OTH1" s="184"/>
      <c r="OTI1" s="184"/>
      <c r="OTJ1" s="184"/>
      <c r="OTK1" s="185"/>
      <c r="OTL1" s="180"/>
      <c r="OTM1" s="181"/>
      <c r="OTN1" s="181"/>
      <c r="OTO1" s="181"/>
      <c r="OTP1" s="181"/>
      <c r="OTQ1" s="181"/>
      <c r="OTR1" s="181"/>
      <c r="OTS1" s="181"/>
      <c r="OTT1" s="181"/>
      <c r="OTU1" s="182"/>
      <c r="OTV1" s="183"/>
      <c r="OTW1" s="184"/>
      <c r="OTX1" s="184"/>
      <c r="OTY1" s="184"/>
      <c r="OTZ1" s="184"/>
      <c r="OUA1" s="184"/>
      <c r="OUB1" s="184"/>
      <c r="OUC1" s="184"/>
      <c r="OUD1" s="184"/>
      <c r="OUE1" s="185"/>
      <c r="OUF1" s="180"/>
      <c r="OUG1" s="181"/>
      <c r="OUH1" s="181"/>
      <c r="OUI1" s="181"/>
      <c r="OUJ1" s="181"/>
      <c r="OUK1" s="181"/>
      <c r="OUL1" s="181"/>
      <c r="OUM1" s="181"/>
      <c r="OUN1" s="181"/>
      <c r="OUO1" s="182"/>
      <c r="OUP1" s="183"/>
      <c r="OUQ1" s="184"/>
      <c r="OUR1" s="184"/>
      <c r="OUS1" s="184"/>
      <c r="OUT1" s="184"/>
      <c r="OUU1" s="184"/>
      <c r="OUV1" s="184"/>
      <c r="OUW1" s="184"/>
      <c r="OUX1" s="184"/>
      <c r="OUY1" s="185"/>
      <c r="OUZ1" s="180"/>
      <c r="OVA1" s="181"/>
      <c r="OVB1" s="181"/>
      <c r="OVC1" s="181"/>
      <c r="OVD1" s="181"/>
      <c r="OVE1" s="181"/>
      <c r="OVF1" s="181"/>
      <c r="OVG1" s="181"/>
      <c r="OVH1" s="181"/>
      <c r="OVI1" s="182"/>
      <c r="OVJ1" s="183"/>
      <c r="OVK1" s="184"/>
      <c r="OVL1" s="184"/>
      <c r="OVM1" s="184"/>
      <c r="OVN1" s="184"/>
      <c r="OVO1" s="184"/>
      <c r="OVP1" s="184"/>
      <c r="OVQ1" s="184"/>
      <c r="OVR1" s="184"/>
      <c r="OVS1" s="185"/>
      <c r="OVT1" s="180"/>
      <c r="OVU1" s="181"/>
      <c r="OVV1" s="181"/>
      <c r="OVW1" s="181"/>
      <c r="OVX1" s="181"/>
      <c r="OVY1" s="181"/>
      <c r="OVZ1" s="181"/>
      <c r="OWA1" s="181"/>
      <c r="OWB1" s="181"/>
      <c r="OWC1" s="182"/>
      <c r="OWD1" s="183"/>
      <c r="OWE1" s="184"/>
      <c r="OWF1" s="184"/>
      <c r="OWG1" s="184"/>
      <c r="OWH1" s="184"/>
      <c r="OWI1" s="184"/>
      <c r="OWJ1" s="184"/>
      <c r="OWK1" s="184"/>
      <c r="OWL1" s="184"/>
      <c r="OWM1" s="185"/>
      <c r="OWN1" s="180"/>
      <c r="OWO1" s="181"/>
      <c r="OWP1" s="181"/>
      <c r="OWQ1" s="181"/>
      <c r="OWR1" s="181"/>
      <c r="OWS1" s="181"/>
      <c r="OWT1" s="181"/>
      <c r="OWU1" s="181"/>
      <c r="OWV1" s="181"/>
      <c r="OWW1" s="182"/>
      <c r="OWX1" s="183"/>
      <c r="OWY1" s="184"/>
      <c r="OWZ1" s="184"/>
      <c r="OXA1" s="184"/>
      <c r="OXB1" s="184"/>
      <c r="OXC1" s="184"/>
      <c r="OXD1" s="184"/>
      <c r="OXE1" s="184"/>
      <c r="OXF1" s="184"/>
      <c r="OXG1" s="185"/>
      <c r="OXH1" s="180"/>
      <c r="OXI1" s="181"/>
      <c r="OXJ1" s="181"/>
      <c r="OXK1" s="181"/>
      <c r="OXL1" s="181"/>
      <c r="OXM1" s="181"/>
      <c r="OXN1" s="181"/>
      <c r="OXO1" s="181"/>
      <c r="OXP1" s="181"/>
      <c r="OXQ1" s="182"/>
      <c r="OXR1" s="183"/>
      <c r="OXS1" s="184"/>
      <c r="OXT1" s="184"/>
      <c r="OXU1" s="184"/>
      <c r="OXV1" s="184"/>
      <c r="OXW1" s="184"/>
      <c r="OXX1" s="184"/>
      <c r="OXY1" s="184"/>
      <c r="OXZ1" s="184"/>
      <c r="OYA1" s="185"/>
      <c r="OYB1" s="180"/>
      <c r="OYC1" s="181"/>
      <c r="OYD1" s="181"/>
      <c r="OYE1" s="181"/>
      <c r="OYF1" s="181"/>
      <c r="OYG1" s="181"/>
      <c r="OYH1" s="181"/>
      <c r="OYI1" s="181"/>
      <c r="OYJ1" s="181"/>
      <c r="OYK1" s="182"/>
      <c r="OYL1" s="183"/>
      <c r="OYM1" s="184"/>
      <c r="OYN1" s="184"/>
      <c r="OYO1" s="184"/>
      <c r="OYP1" s="184"/>
      <c r="OYQ1" s="184"/>
      <c r="OYR1" s="184"/>
      <c r="OYS1" s="184"/>
      <c r="OYT1" s="184"/>
      <c r="OYU1" s="185"/>
      <c r="OYV1" s="180"/>
      <c r="OYW1" s="181"/>
      <c r="OYX1" s="181"/>
      <c r="OYY1" s="181"/>
      <c r="OYZ1" s="181"/>
      <c r="OZA1" s="181"/>
      <c r="OZB1" s="181"/>
      <c r="OZC1" s="181"/>
      <c r="OZD1" s="181"/>
      <c r="OZE1" s="182"/>
      <c r="OZF1" s="183"/>
      <c r="OZG1" s="184"/>
      <c r="OZH1" s="184"/>
      <c r="OZI1" s="184"/>
      <c r="OZJ1" s="184"/>
      <c r="OZK1" s="184"/>
      <c r="OZL1" s="184"/>
      <c r="OZM1" s="184"/>
      <c r="OZN1" s="184"/>
      <c r="OZO1" s="185"/>
      <c r="OZP1" s="180"/>
      <c r="OZQ1" s="181"/>
      <c r="OZR1" s="181"/>
      <c r="OZS1" s="181"/>
      <c r="OZT1" s="181"/>
      <c r="OZU1" s="181"/>
      <c r="OZV1" s="181"/>
      <c r="OZW1" s="181"/>
      <c r="OZX1" s="181"/>
      <c r="OZY1" s="182"/>
      <c r="OZZ1" s="183"/>
      <c r="PAA1" s="184"/>
      <c r="PAB1" s="184"/>
      <c r="PAC1" s="184"/>
      <c r="PAD1" s="184"/>
      <c r="PAE1" s="184"/>
      <c r="PAF1" s="184"/>
      <c r="PAG1" s="184"/>
      <c r="PAH1" s="184"/>
      <c r="PAI1" s="185"/>
      <c r="PAJ1" s="180"/>
      <c r="PAK1" s="181"/>
      <c r="PAL1" s="181"/>
      <c r="PAM1" s="181"/>
      <c r="PAN1" s="181"/>
      <c r="PAO1" s="181"/>
      <c r="PAP1" s="181"/>
      <c r="PAQ1" s="181"/>
      <c r="PAR1" s="181"/>
      <c r="PAS1" s="182"/>
      <c r="PAT1" s="183"/>
      <c r="PAU1" s="184"/>
      <c r="PAV1" s="184"/>
      <c r="PAW1" s="184"/>
      <c r="PAX1" s="184"/>
      <c r="PAY1" s="184"/>
      <c r="PAZ1" s="184"/>
      <c r="PBA1" s="184"/>
      <c r="PBB1" s="184"/>
      <c r="PBC1" s="185"/>
      <c r="PBD1" s="180"/>
      <c r="PBE1" s="181"/>
      <c r="PBF1" s="181"/>
      <c r="PBG1" s="181"/>
      <c r="PBH1" s="181"/>
      <c r="PBI1" s="181"/>
      <c r="PBJ1" s="181"/>
      <c r="PBK1" s="181"/>
      <c r="PBL1" s="181"/>
      <c r="PBM1" s="182"/>
      <c r="PBN1" s="183"/>
      <c r="PBO1" s="184"/>
      <c r="PBP1" s="184"/>
      <c r="PBQ1" s="184"/>
      <c r="PBR1" s="184"/>
      <c r="PBS1" s="184"/>
      <c r="PBT1" s="184"/>
      <c r="PBU1" s="184"/>
      <c r="PBV1" s="184"/>
      <c r="PBW1" s="185"/>
      <c r="PBX1" s="180"/>
      <c r="PBY1" s="181"/>
      <c r="PBZ1" s="181"/>
      <c r="PCA1" s="181"/>
      <c r="PCB1" s="181"/>
      <c r="PCC1" s="181"/>
      <c r="PCD1" s="181"/>
      <c r="PCE1" s="181"/>
      <c r="PCF1" s="181"/>
      <c r="PCG1" s="182"/>
      <c r="PCH1" s="183"/>
      <c r="PCI1" s="184"/>
      <c r="PCJ1" s="184"/>
      <c r="PCK1" s="184"/>
      <c r="PCL1" s="184"/>
      <c r="PCM1" s="184"/>
      <c r="PCN1" s="184"/>
      <c r="PCO1" s="184"/>
      <c r="PCP1" s="184"/>
      <c r="PCQ1" s="185"/>
      <c r="PCR1" s="180"/>
      <c r="PCS1" s="181"/>
      <c r="PCT1" s="181"/>
      <c r="PCU1" s="181"/>
      <c r="PCV1" s="181"/>
      <c r="PCW1" s="181"/>
      <c r="PCX1" s="181"/>
      <c r="PCY1" s="181"/>
      <c r="PCZ1" s="181"/>
      <c r="PDA1" s="182"/>
      <c r="PDB1" s="183"/>
      <c r="PDC1" s="184"/>
      <c r="PDD1" s="184"/>
      <c r="PDE1" s="184"/>
      <c r="PDF1" s="184"/>
      <c r="PDG1" s="184"/>
      <c r="PDH1" s="184"/>
      <c r="PDI1" s="184"/>
      <c r="PDJ1" s="184"/>
      <c r="PDK1" s="185"/>
      <c r="PDL1" s="180"/>
      <c r="PDM1" s="181"/>
      <c r="PDN1" s="181"/>
      <c r="PDO1" s="181"/>
      <c r="PDP1" s="181"/>
      <c r="PDQ1" s="181"/>
      <c r="PDR1" s="181"/>
      <c r="PDS1" s="181"/>
      <c r="PDT1" s="181"/>
      <c r="PDU1" s="182"/>
      <c r="PDV1" s="183"/>
      <c r="PDW1" s="184"/>
      <c r="PDX1" s="184"/>
      <c r="PDY1" s="184"/>
      <c r="PDZ1" s="184"/>
      <c r="PEA1" s="184"/>
      <c r="PEB1" s="184"/>
      <c r="PEC1" s="184"/>
      <c r="PED1" s="184"/>
      <c r="PEE1" s="185"/>
      <c r="PEF1" s="180"/>
      <c r="PEG1" s="181"/>
      <c r="PEH1" s="181"/>
      <c r="PEI1" s="181"/>
      <c r="PEJ1" s="181"/>
      <c r="PEK1" s="181"/>
      <c r="PEL1" s="181"/>
      <c r="PEM1" s="181"/>
      <c r="PEN1" s="181"/>
      <c r="PEO1" s="182"/>
      <c r="PEP1" s="183"/>
      <c r="PEQ1" s="184"/>
      <c r="PER1" s="184"/>
      <c r="PES1" s="184"/>
      <c r="PET1" s="184"/>
      <c r="PEU1" s="184"/>
      <c r="PEV1" s="184"/>
      <c r="PEW1" s="184"/>
      <c r="PEX1" s="184"/>
      <c r="PEY1" s="185"/>
      <c r="PEZ1" s="180"/>
      <c r="PFA1" s="181"/>
      <c r="PFB1" s="181"/>
      <c r="PFC1" s="181"/>
      <c r="PFD1" s="181"/>
      <c r="PFE1" s="181"/>
      <c r="PFF1" s="181"/>
      <c r="PFG1" s="181"/>
      <c r="PFH1" s="181"/>
      <c r="PFI1" s="182"/>
      <c r="PFJ1" s="183"/>
      <c r="PFK1" s="184"/>
      <c r="PFL1" s="184"/>
      <c r="PFM1" s="184"/>
      <c r="PFN1" s="184"/>
      <c r="PFO1" s="184"/>
      <c r="PFP1" s="184"/>
      <c r="PFQ1" s="184"/>
      <c r="PFR1" s="184"/>
      <c r="PFS1" s="185"/>
      <c r="PFT1" s="180"/>
      <c r="PFU1" s="181"/>
      <c r="PFV1" s="181"/>
      <c r="PFW1" s="181"/>
      <c r="PFX1" s="181"/>
      <c r="PFY1" s="181"/>
      <c r="PFZ1" s="181"/>
      <c r="PGA1" s="181"/>
      <c r="PGB1" s="181"/>
      <c r="PGC1" s="182"/>
      <c r="PGD1" s="183"/>
      <c r="PGE1" s="184"/>
      <c r="PGF1" s="184"/>
      <c r="PGG1" s="184"/>
      <c r="PGH1" s="184"/>
      <c r="PGI1" s="184"/>
      <c r="PGJ1" s="184"/>
      <c r="PGK1" s="184"/>
      <c r="PGL1" s="184"/>
      <c r="PGM1" s="185"/>
      <c r="PGN1" s="180"/>
      <c r="PGO1" s="181"/>
      <c r="PGP1" s="181"/>
      <c r="PGQ1" s="181"/>
      <c r="PGR1" s="181"/>
      <c r="PGS1" s="181"/>
      <c r="PGT1" s="181"/>
      <c r="PGU1" s="181"/>
      <c r="PGV1" s="181"/>
      <c r="PGW1" s="182"/>
      <c r="PGX1" s="183"/>
      <c r="PGY1" s="184"/>
      <c r="PGZ1" s="184"/>
      <c r="PHA1" s="184"/>
      <c r="PHB1" s="184"/>
      <c r="PHC1" s="184"/>
      <c r="PHD1" s="184"/>
      <c r="PHE1" s="184"/>
      <c r="PHF1" s="184"/>
      <c r="PHG1" s="185"/>
      <c r="PHH1" s="180"/>
      <c r="PHI1" s="181"/>
      <c r="PHJ1" s="181"/>
      <c r="PHK1" s="181"/>
      <c r="PHL1" s="181"/>
      <c r="PHM1" s="181"/>
      <c r="PHN1" s="181"/>
      <c r="PHO1" s="181"/>
      <c r="PHP1" s="181"/>
      <c r="PHQ1" s="182"/>
      <c r="PHR1" s="183"/>
      <c r="PHS1" s="184"/>
      <c r="PHT1" s="184"/>
      <c r="PHU1" s="184"/>
      <c r="PHV1" s="184"/>
      <c r="PHW1" s="184"/>
      <c r="PHX1" s="184"/>
      <c r="PHY1" s="184"/>
      <c r="PHZ1" s="184"/>
      <c r="PIA1" s="185"/>
      <c r="PIB1" s="180"/>
      <c r="PIC1" s="181"/>
      <c r="PID1" s="181"/>
      <c r="PIE1" s="181"/>
      <c r="PIF1" s="181"/>
      <c r="PIG1" s="181"/>
      <c r="PIH1" s="181"/>
      <c r="PII1" s="181"/>
      <c r="PIJ1" s="181"/>
      <c r="PIK1" s="182"/>
      <c r="PIL1" s="183"/>
      <c r="PIM1" s="184"/>
      <c r="PIN1" s="184"/>
      <c r="PIO1" s="184"/>
      <c r="PIP1" s="184"/>
      <c r="PIQ1" s="184"/>
      <c r="PIR1" s="184"/>
      <c r="PIS1" s="184"/>
      <c r="PIT1" s="184"/>
      <c r="PIU1" s="185"/>
      <c r="PIV1" s="180"/>
      <c r="PIW1" s="181"/>
      <c r="PIX1" s="181"/>
      <c r="PIY1" s="181"/>
      <c r="PIZ1" s="181"/>
      <c r="PJA1" s="181"/>
      <c r="PJB1" s="181"/>
      <c r="PJC1" s="181"/>
      <c r="PJD1" s="181"/>
      <c r="PJE1" s="182"/>
      <c r="PJF1" s="183"/>
      <c r="PJG1" s="184"/>
      <c r="PJH1" s="184"/>
      <c r="PJI1" s="184"/>
      <c r="PJJ1" s="184"/>
      <c r="PJK1" s="184"/>
      <c r="PJL1" s="184"/>
      <c r="PJM1" s="184"/>
      <c r="PJN1" s="184"/>
      <c r="PJO1" s="185"/>
      <c r="PJP1" s="180"/>
      <c r="PJQ1" s="181"/>
      <c r="PJR1" s="181"/>
      <c r="PJS1" s="181"/>
      <c r="PJT1" s="181"/>
      <c r="PJU1" s="181"/>
      <c r="PJV1" s="181"/>
      <c r="PJW1" s="181"/>
      <c r="PJX1" s="181"/>
      <c r="PJY1" s="182"/>
      <c r="PJZ1" s="183"/>
      <c r="PKA1" s="184"/>
      <c r="PKB1" s="184"/>
      <c r="PKC1" s="184"/>
      <c r="PKD1" s="184"/>
      <c r="PKE1" s="184"/>
      <c r="PKF1" s="184"/>
      <c r="PKG1" s="184"/>
      <c r="PKH1" s="184"/>
      <c r="PKI1" s="185"/>
      <c r="PKJ1" s="180"/>
      <c r="PKK1" s="181"/>
      <c r="PKL1" s="181"/>
      <c r="PKM1" s="181"/>
      <c r="PKN1" s="181"/>
      <c r="PKO1" s="181"/>
      <c r="PKP1" s="181"/>
      <c r="PKQ1" s="181"/>
      <c r="PKR1" s="181"/>
      <c r="PKS1" s="182"/>
      <c r="PKT1" s="183"/>
      <c r="PKU1" s="184"/>
      <c r="PKV1" s="184"/>
      <c r="PKW1" s="184"/>
      <c r="PKX1" s="184"/>
      <c r="PKY1" s="184"/>
      <c r="PKZ1" s="184"/>
      <c r="PLA1" s="184"/>
      <c r="PLB1" s="184"/>
      <c r="PLC1" s="185"/>
      <c r="PLD1" s="180"/>
      <c r="PLE1" s="181"/>
      <c r="PLF1" s="181"/>
      <c r="PLG1" s="181"/>
      <c r="PLH1" s="181"/>
      <c r="PLI1" s="181"/>
      <c r="PLJ1" s="181"/>
      <c r="PLK1" s="181"/>
      <c r="PLL1" s="181"/>
      <c r="PLM1" s="182"/>
      <c r="PLN1" s="183"/>
      <c r="PLO1" s="184"/>
      <c r="PLP1" s="184"/>
      <c r="PLQ1" s="184"/>
      <c r="PLR1" s="184"/>
      <c r="PLS1" s="184"/>
      <c r="PLT1" s="184"/>
      <c r="PLU1" s="184"/>
      <c r="PLV1" s="184"/>
      <c r="PLW1" s="185"/>
      <c r="PLX1" s="180"/>
      <c r="PLY1" s="181"/>
      <c r="PLZ1" s="181"/>
      <c r="PMA1" s="181"/>
      <c r="PMB1" s="181"/>
      <c r="PMC1" s="181"/>
      <c r="PMD1" s="181"/>
      <c r="PME1" s="181"/>
      <c r="PMF1" s="181"/>
      <c r="PMG1" s="182"/>
      <c r="PMH1" s="183"/>
      <c r="PMI1" s="184"/>
      <c r="PMJ1" s="184"/>
      <c r="PMK1" s="184"/>
      <c r="PML1" s="184"/>
      <c r="PMM1" s="184"/>
      <c r="PMN1" s="184"/>
      <c r="PMO1" s="184"/>
      <c r="PMP1" s="184"/>
      <c r="PMQ1" s="185"/>
      <c r="PMR1" s="180"/>
      <c r="PMS1" s="181"/>
      <c r="PMT1" s="181"/>
      <c r="PMU1" s="181"/>
      <c r="PMV1" s="181"/>
      <c r="PMW1" s="181"/>
      <c r="PMX1" s="181"/>
      <c r="PMY1" s="181"/>
      <c r="PMZ1" s="181"/>
      <c r="PNA1" s="182"/>
      <c r="PNB1" s="183"/>
      <c r="PNC1" s="184"/>
      <c r="PND1" s="184"/>
      <c r="PNE1" s="184"/>
      <c r="PNF1" s="184"/>
      <c r="PNG1" s="184"/>
      <c r="PNH1" s="184"/>
      <c r="PNI1" s="184"/>
      <c r="PNJ1" s="184"/>
      <c r="PNK1" s="185"/>
      <c r="PNL1" s="180"/>
      <c r="PNM1" s="181"/>
      <c r="PNN1" s="181"/>
      <c r="PNO1" s="181"/>
      <c r="PNP1" s="181"/>
      <c r="PNQ1" s="181"/>
      <c r="PNR1" s="181"/>
      <c r="PNS1" s="181"/>
      <c r="PNT1" s="181"/>
      <c r="PNU1" s="182"/>
      <c r="PNV1" s="183"/>
      <c r="PNW1" s="184"/>
      <c r="PNX1" s="184"/>
      <c r="PNY1" s="184"/>
      <c r="PNZ1" s="184"/>
      <c r="POA1" s="184"/>
      <c r="POB1" s="184"/>
      <c r="POC1" s="184"/>
      <c r="POD1" s="184"/>
      <c r="POE1" s="185"/>
      <c r="POF1" s="180"/>
      <c r="POG1" s="181"/>
      <c r="POH1" s="181"/>
      <c r="POI1" s="181"/>
      <c r="POJ1" s="181"/>
      <c r="POK1" s="181"/>
      <c r="POL1" s="181"/>
      <c r="POM1" s="181"/>
      <c r="PON1" s="181"/>
      <c r="POO1" s="182"/>
      <c r="POP1" s="183"/>
      <c r="POQ1" s="184"/>
      <c r="POR1" s="184"/>
      <c r="POS1" s="184"/>
      <c r="POT1" s="184"/>
      <c r="POU1" s="184"/>
      <c r="POV1" s="184"/>
      <c r="POW1" s="184"/>
      <c r="POX1" s="184"/>
      <c r="POY1" s="185"/>
      <c r="POZ1" s="180"/>
      <c r="PPA1" s="181"/>
      <c r="PPB1" s="181"/>
      <c r="PPC1" s="181"/>
      <c r="PPD1" s="181"/>
      <c r="PPE1" s="181"/>
      <c r="PPF1" s="181"/>
      <c r="PPG1" s="181"/>
      <c r="PPH1" s="181"/>
      <c r="PPI1" s="182"/>
      <c r="PPJ1" s="183"/>
      <c r="PPK1" s="184"/>
      <c r="PPL1" s="184"/>
      <c r="PPM1" s="184"/>
      <c r="PPN1" s="184"/>
      <c r="PPO1" s="184"/>
      <c r="PPP1" s="184"/>
      <c r="PPQ1" s="184"/>
      <c r="PPR1" s="184"/>
      <c r="PPS1" s="185"/>
      <c r="PPT1" s="180"/>
      <c r="PPU1" s="181"/>
      <c r="PPV1" s="181"/>
      <c r="PPW1" s="181"/>
      <c r="PPX1" s="181"/>
      <c r="PPY1" s="181"/>
      <c r="PPZ1" s="181"/>
      <c r="PQA1" s="181"/>
      <c r="PQB1" s="181"/>
      <c r="PQC1" s="182"/>
      <c r="PQD1" s="183"/>
      <c r="PQE1" s="184"/>
      <c r="PQF1" s="184"/>
      <c r="PQG1" s="184"/>
      <c r="PQH1" s="184"/>
      <c r="PQI1" s="184"/>
      <c r="PQJ1" s="184"/>
      <c r="PQK1" s="184"/>
      <c r="PQL1" s="184"/>
      <c r="PQM1" s="185"/>
      <c r="PQN1" s="180"/>
      <c r="PQO1" s="181"/>
      <c r="PQP1" s="181"/>
      <c r="PQQ1" s="181"/>
      <c r="PQR1" s="181"/>
      <c r="PQS1" s="181"/>
      <c r="PQT1" s="181"/>
      <c r="PQU1" s="181"/>
      <c r="PQV1" s="181"/>
      <c r="PQW1" s="182"/>
      <c r="PQX1" s="183"/>
      <c r="PQY1" s="184"/>
      <c r="PQZ1" s="184"/>
      <c r="PRA1" s="184"/>
      <c r="PRB1" s="184"/>
      <c r="PRC1" s="184"/>
      <c r="PRD1" s="184"/>
      <c r="PRE1" s="184"/>
      <c r="PRF1" s="184"/>
      <c r="PRG1" s="185"/>
      <c r="PRH1" s="180"/>
      <c r="PRI1" s="181"/>
      <c r="PRJ1" s="181"/>
      <c r="PRK1" s="181"/>
      <c r="PRL1" s="181"/>
      <c r="PRM1" s="181"/>
      <c r="PRN1" s="181"/>
      <c r="PRO1" s="181"/>
      <c r="PRP1" s="181"/>
      <c r="PRQ1" s="182"/>
      <c r="PRR1" s="183"/>
      <c r="PRS1" s="184"/>
      <c r="PRT1" s="184"/>
      <c r="PRU1" s="184"/>
      <c r="PRV1" s="184"/>
      <c r="PRW1" s="184"/>
      <c r="PRX1" s="184"/>
      <c r="PRY1" s="184"/>
      <c r="PRZ1" s="184"/>
      <c r="PSA1" s="185"/>
      <c r="PSB1" s="180"/>
      <c r="PSC1" s="181"/>
      <c r="PSD1" s="181"/>
      <c r="PSE1" s="181"/>
      <c r="PSF1" s="181"/>
      <c r="PSG1" s="181"/>
      <c r="PSH1" s="181"/>
      <c r="PSI1" s="181"/>
      <c r="PSJ1" s="181"/>
      <c r="PSK1" s="182"/>
      <c r="PSL1" s="183"/>
      <c r="PSM1" s="184"/>
      <c r="PSN1" s="184"/>
      <c r="PSO1" s="184"/>
      <c r="PSP1" s="184"/>
      <c r="PSQ1" s="184"/>
      <c r="PSR1" s="184"/>
      <c r="PSS1" s="184"/>
      <c r="PST1" s="184"/>
      <c r="PSU1" s="185"/>
      <c r="PSV1" s="180"/>
      <c r="PSW1" s="181"/>
      <c r="PSX1" s="181"/>
      <c r="PSY1" s="181"/>
      <c r="PSZ1" s="181"/>
      <c r="PTA1" s="181"/>
      <c r="PTB1" s="181"/>
      <c r="PTC1" s="181"/>
      <c r="PTD1" s="181"/>
      <c r="PTE1" s="182"/>
      <c r="PTF1" s="183"/>
      <c r="PTG1" s="184"/>
      <c r="PTH1" s="184"/>
      <c r="PTI1" s="184"/>
      <c r="PTJ1" s="184"/>
      <c r="PTK1" s="184"/>
      <c r="PTL1" s="184"/>
      <c r="PTM1" s="184"/>
      <c r="PTN1" s="184"/>
      <c r="PTO1" s="185"/>
      <c r="PTP1" s="180"/>
      <c r="PTQ1" s="181"/>
      <c r="PTR1" s="181"/>
      <c r="PTS1" s="181"/>
      <c r="PTT1" s="181"/>
      <c r="PTU1" s="181"/>
      <c r="PTV1" s="181"/>
      <c r="PTW1" s="181"/>
      <c r="PTX1" s="181"/>
      <c r="PTY1" s="182"/>
      <c r="PTZ1" s="183"/>
      <c r="PUA1" s="184"/>
      <c r="PUB1" s="184"/>
      <c r="PUC1" s="184"/>
      <c r="PUD1" s="184"/>
      <c r="PUE1" s="184"/>
      <c r="PUF1" s="184"/>
      <c r="PUG1" s="184"/>
      <c r="PUH1" s="184"/>
      <c r="PUI1" s="185"/>
      <c r="PUJ1" s="180"/>
      <c r="PUK1" s="181"/>
      <c r="PUL1" s="181"/>
      <c r="PUM1" s="181"/>
      <c r="PUN1" s="181"/>
      <c r="PUO1" s="181"/>
      <c r="PUP1" s="181"/>
      <c r="PUQ1" s="181"/>
      <c r="PUR1" s="181"/>
      <c r="PUS1" s="182"/>
      <c r="PUT1" s="183"/>
      <c r="PUU1" s="184"/>
      <c r="PUV1" s="184"/>
      <c r="PUW1" s="184"/>
      <c r="PUX1" s="184"/>
      <c r="PUY1" s="184"/>
      <c r="PUZ1" s="184"/>
      <c r="PVA1" s="184"/>
      <c r="PVB1" s="184"/>
      <c r="PVC1" s="185"/>
      <c r="PVD1" s="180"/>
      <c r="PVE1" s="181"/>
      <c r="PVF1" s="181"/>
      <c r="PVG1" s="181"/>
      <c r="PVH1" s="181"/>
      <c r="PVI1" s="181"/>
      <c r="PVJ1" s="181"/>
      <c r="PVK1" s="181"/>
      <c r="PVL1" s="181"/>
      <c r="PVM1" s="182"/>
      <c r="PVN1" s="183"/>
      <c r="PVO1" s="184"/>
      <c r="PVP1" s="184"/>
      <c r="PVQ1" s="184"/>
      <c r="PVR1" s="184"/>
      <c r="PVS1" s="184"/>
      <c r="PVT1" s="184"/>
      <c r="PVU1" s="184"/>
      <c r="PVV1" s="184"/>
      <c r="PVW1" s="185"/>
      <c r="PVX1" s="180"/>
      <c r="PVY1" s="181"/>
      <c r="PVZ1" s="181"/>
      <c r="PWA1" s="181"/>
      <c r="PWB1" s="181"/>
      <c r="PWC1" s="181"/>
      <c r="PWD1" s="181"/>
      <c r="PWE1" s="181"/>
      <c r="PWF1" s="181"/>
      <c r="PWG1" s="182"/>
      <c r="PWH1" s="183"/>
      <c r="PWI1" s="184"/>
      <c r="PWJ1" s="184"/>
      <c r="PWK1" s="184"/>
      <c r="PWL1" s="184"/>
      <c r="PWM1" s="184"/>
      <c r="PWN1" s="184"/>
      <c r="PWO1" s="184"/>
      <c r="PWP1" s="184"/>
      <c r="PWQ1" s="185"/>
      <c r="PWR1" s="180"/>
      <c r="PWS1" s="181"/>
      <c r="PWT1" s="181"/>
      <c r="PWU1" s="181"/>
      <c r="PWV1" s="181"/>
      <c r="PWW1" s="181"/>
      <c r="PWX1" s="181"/>
      <c r="PWY1" s="181"/>
      <c r="PWZ1" s="181"/>
      <c r="PXA1" s="182"/>
      <c r="PXB1" s="183"/>
      <c r="PXC1" s="184"/>
      <c r="PXD1" s="184"/>
      <c r="PXE1" s="184"/>
      <c r="PXF1" s="184"/>
      <c r="PXG1" s="184"/>
      <c r="PXH1" s="184"/>
      <c r="PXI1" s="184"/>
      <c r="PXJ1" s="184"/>
      <c r="PXK1" s="185"/>
      <c r="PXL1" s="180"/>
      <c r="PXM1" s="181"/>
      <c r="PXN1" s="181"/>
      <c r="PXO1" s="181"/>
      <c r="PXP1" s="181"/>
      <c r="PXQ1" s="181"/>
      <c r="PXR1" s="181"/>
      <c r="PXS1" s="181"/>
      <c r="PXT1" s="181"/>
      <c r="PXU1" s="182"/>
      <c r="PXV1" s="183"/>
      <c r="PXW1" s="184"/>
      <c r="PXX1" s="184"/>
      <c r="PXY1" s="184"/>
      <c r="PXZ1" s="184"/>
      <c r="PYA1" s="184"/>
      <c r="PYB1" s="184"/>
      <c r="PYC1" s="184"/>
      <c r="PYD1" s="184"/>
      <c r="PYE1" s="185"/>
      <c r="PYF1" s="180"/>
      <c r="PYG1" s="181"/>
      <c r="PYH1" s="181"/>
      <c r="PYI1" s="181"/>
      <c r="PYJ1" s="181"/>
      <c r="PYK1" s="181"/>
      <c r="PYL1" s="181"/>
      <c r="PYM1" s="181"/>
      <c r="PYN1" s="181"/>
      <c r="PYO1" s="182"/>
      <c r="PYP1" s="183"/>
      <c r="PYQ1" s="184"/>
      <c r="PYR1" s="184"/>
      <c r="PYS1" s="184"/>
      <c r="PYT1" s="184"/>
      <c r="PYU1" s="184"/>
      <c r="PYV1" s="184"/>
      <c r="PYW1" s="184"/>
      <c r="PYX1" s="184"/>
      <c r="PYY1" s="185"/>
      <c r="PYZ1" s="180"/>
      <c r="PZA1" s="181"/>
      <c r="PZB1" s="181"/>
      <c r="PZC1" s="181"/>
      <c r="PZD1" s="181"/>
      <c r="PZE1" s="181"/>
      <c r="PZF1" s="181"/>
      <c r="PZG1" s="181"/>
      <c r="PZH1" s="181"/>
      <c r="PZI1" s="182"/>
      <c r="PZJ1" s="183"/>
      <c r="PZK1" s="184"/>
      <c r="PZL1" s="184"/>
      <c r="PZM1" s="184"/>
      <c r="PZN1" s="184"/>
      <c r="PZO1" s="184"/>
      <c r="PZP1" s="184"/>
      <c r="PZQ1" s="184"/>
      <c r="PZR1" s="184"/>
      <c r="PZS1" s="185"/>
      <c r="PZT1" s="180"/>
      <c r="PZU1" s="181"/>
      <c r="PZV1" s="181"/>
      <c r="PZW1" s="181"/>
      <c r="PZX1" s="181"/>
      <c r="PZY1" s="181"/>
      <c r="PZZ1" s="181"/>
      <c r="QAA1" s="181"/>
      <c r="QAB1" s="181"/>
      <c r="QAC1" s="182"/>
      <c r="QAD1" s="183"/>
      <c r="QAE1" s="184"/>
      <c r="QAF1" s="184"/>
      <c r="QAG1" s="184"/>
      <c r="QAH1" s="184"/>
      <c r="QAI1" s="184"/>
      <c r="QAJ1" s="184"/>
      <c r="QAK1" s="184"/>
      <c r="QAL1" s="184"/>
      <c r="QAM1" s="185"/>
      <c r="QAN1" s="180"/>
      <c r="QAO1" s="181"/>
      <c r="QAP1" s="181"/>
      <c r="QAQ1" s="181"/>
      <c r="QAR1" s="181"/>
      <c r="QAS1" s="181"/>
      <c r="QAT1" s="181"/>
      <c r="QAU1" s="181"/>
      <c r="QAV1" s="181"/>
      <c r="QAW1" s="182"/>
      <c r="QAX1" s="183"/>
      <c r="QAY1" s="184"/>
      <c r="QAZ1" s="184"/>
      <c r="QBA1" s="184"/>
      <c r="QBB1" s="184"/>
      <c r="QBC1" s="184"/>
      <c r="QBD1" s="184"/>
      <c r="QBE1" s="184"/>
      <c r="QBF1" s="184"/>
      <c r="QBG1" s="185"/>
      <c r="QBH1" s="180"/>
      <c r="QBI1" s="181"/>
      <c r="QBJ1" s="181"/>
      <c r="QBK1" s="181"/>
      <c r="QBL1" s="181"/>
      <c r="QBM1" s="181"/>
      <c r="QBN1" s="181"/>
      <c r="QBO1" s="181"/>
      <c r="QBP1" s="181"/>
      <c r="QBQ1" s="182"/>
      <c r="QBR1" s="183"/>
      <c r="QBS1" s="184"/>
      <c r="QBT1" s="184"/>
      <c r="QBU1" s="184"/>
      <c r="QBV1" s="184"/>
      <c r="QBW1" s="184"/>
      <c r="QBX1" s="184"/>
      <c r="QBY1" s="184"/>
      <c r="QBZ1" s="184"/>
      <c r="QCA1" s="185"/>
      <c r="QCB1" s="180"/>
      <c r="QCC1" s="181"/>
      <c r="QCD1" s="181"/>
      <c r="QCE1" s="181"/>
      <c r="QCF1" s="181"/>
      <c r="QCG1" s="181"/>
      <c r="QCH1" s="181"/>
      <c r="QCI1" s="181"/>
      <c r="QCJ1" s="181"/>
      <c r="QCK1" s="182"/>
      <c r="QCL1" s="183"/>
      <c r="QCM1" s="184"/>
      <c r="QCN1" s="184"/>
      <c r="QCO1" s="184"/>
      <c r="QCP1" s="184"/>
      <c r="QCQ1" s="184"/>
      <c r="QCR1" s="184"/>
      <c r="QCS1" s="184"/>
      <c r="QCT1" s="184"/>
      <c r="QCU1" s="185"/>
      <c r="QCV1" s="180"/>
      <c r="QCW1" s="181"/>
      <c r="QCX1" s="181"/>
      <c r="QCY1" s="181"/>
      <c r="QCZ1" s="181"/>
      <c r="QDA1" s="181"/>
      <c r="QDB1" s="181"/>
      <c r="QDC1" s="181"/>
      <c r="QDD1" s="181"/>
      <c r="QDE1" s="182"/>
      <c r="QDF1" s="183"/>
      <c r="QDG1" s="184"/>
      <c r="QDH1" s="184"/>
      <c r="QDI1" s="184"/>
      <c r="QDJ1" s="184"/>
      <c r="QDK1" s="184"/>
      <c r="QDL1" s="184"/>
      <c r="QDM1" s="184"/>
      <c r="QDN1" s="184"/>
      <c r="QDO1" s="185"/>
      <c r="QDP1" s="180"/>
      <c r="QDQ1" s="181"/>
      <c r="QDR1" s="181"/>
      <c r="QDS1" s="181"/>
      <c r="QDT1" s="181"/>
      <c r="QDU1" s="181"/>
      <c r="QDV1" s="181"/>
      <c r="QDW1" s="181"/>
      <c r="QDX1" s="181"/>
      <c r="QDY1" s="182"/>
      <c r="QDZ1" s="183"/>
      <c r="QEA1" s="184"/>
      <c r="QEB1" s="184"/>
      <c r="QEC1" s="184"/>
      <c r="QED1" s="184"/>
      <c r="QEE1" s="184"/>
      <c r="QEF1" s="184"/>
      <c r="QEG1" s="184"/>
      <c r="QEH1" s="184"/>
      <c r="QEI1" s="185"/>
      <c r="QEJ1" s="180"/>
      <c r="QEK1" s="181"/>
      <c r="QEL1" s="181"/>
      <c r="QEM1" s="181"/>
      <c r="QEN1" s="181"/>
      <c r="QEO1" s="181"/>
      <c r="QEP1" s="181"/>
      <c r="QEQ1" s="181"/>
      <c r="QER1" s="181"/>
      <c r="QES1" s="182"/>
      <c r="QET1" s="183"/>
      <c r="QEU1" s="184"/>
      <c r="QEV1" s="184"/>
      <c r="QEW1" s="184"/>
      <c r="QEX1" s="184"/>
      <c r="QEY1" s="184"/>
      <c r="QEZ1" s="184"/>
      <c r="QFA1" s="184"/>
      <c r="QFB1" s="184"/>
      <c r="QFC1" s="185"/>
      <c r="QFD1" s="180"/>
      <c r="QFE1" s="181"/>
      <c r="QFF1" s="181"/>
      <c r="QFG1" s="181"/>
      <c r="QFH1" s="181"/>
      <c r="QFI1" s="181"/>
      <c r="QFJ1" s="181"/>
      <c r="QFK1" s="181"/>
      <c r="QFL1" s="181"/>
      <c r="QFM1" s="182"/>
      <c r="QFN1" s="183"/>
      <c r="QFO1" s="184"/>
      <c r="QFP1" s="184"/>
      <c r="QFQ1" s="184"/>
      <c r="QFR1" s="184"/>
      <c r="QFS1" s="184"/>
      <c r="QFT1" s="184"/>
      <c r="QFU1" s="184"/>
      <c r="QFV1" s="184"/>
      <c r="QFW1" s="185"/>
      <c r="QFX1" s="180"/>
      <c r="QFY1" s="181"/>
      <c r="QFZ1" s="181"/>
      <c r="QGA1" s="181"/>
      <c r="QGB1" s="181"/>
      <c r="QGC1" s="181"/>
      <c r="QGD1" s="181"/>
      <c r="QGE1" s="181"/>
      <c r="QGF1" s="181"/>
      <c r="QGG1" s="182"/>
      <c r="QGH1" s="183"/>
      <c r="QGI1" s="184"/>
      <c r="QGJ1" s="184"/>
      <c r="QGK1" s="184"/>
      <c r="QGL1" s="184"/>
      <c r="QGM1" s="184"/>
      <c r="QGN1" s="184"/>
      <c r="QGO1" s="184"/>
      <c r="QGP1" s="184"/>
      <c r="QGQ1" s="185"/>
      <c r="QGR1" s="180"/>
      <c r="QGS1" s="181"/>
      <c r="QGT1" s="181"/>
      <c r="QGU1" s="181"/>
      <c r="QGV1" s="181"/>
      <c r="QGW1" s="181"/>
      <c r="QGX1" s="181"/>
      <c r="QGY1" s="181"/>
      <c r="QGZ1" s="181"/>
      <c r="QHA1" s="182"/>
      <c r="QHB1" s="183"/>
      <c r="QHC1" s="184"/>
      <c r="QHD1" s="184"/>
      <c r="QHE1" s="184"/>
      <c r="QHF1" s="184"/>
      <c r="QHG1" s="184"/>
      <c r="QHH1" s="184"/>
      <c r="QHI1" s="184"/>
      <c r="QHJ1" s="184"/>
      <c r="QHK1" s="185"/>
      <c r="QHL1" s="180"/>
      <c r="QHM1" s="181"/>
      <c r="QHN1" s="181"/>
      <c r="QHO1" s="181"/>
      <c r="QHP1" s="181"/>
      <c r="QHQ1" s="181"/>
      <c r="QHR1" s="181"/>
      <c r="QHS1" s="181"/>
      <c r="QHT1" s="181"/>
      <c r="QHU1" s="182"/>
      <c r="QHV1" s="183"/>
      <c r="QHW1" s="184"/>
      <c r="QHX1" s="184"/>
      <c r="QHY1" s="184"/>
      <c r="QHZ1" s="184"/>
      <c r="QIA1" s="184"/>
      <c r="QIB1" s="184"/>
      <c r="QIC1" s="184"/>
      <c r="QID1" s="184"/>
      <c r="QIE1" s="185"/>
      <c r="QIF1" s="180"/>
      <c r="QIG1" s="181"/>
      <c r="QIH1" s="181"/>
      <c r="QII1" s="181"/>
      <c r="QIJ1" s="181"/>
      <c r="QIK1" s="181"/>
      <c r="QIL1" s="181"/>
      <c r="QIM1" s="181"/>
      <c r="QIN1" s="181"/>
      <c r="QIO1" s="182"/>
      <c r="QIP1" s="183"/>
      <c r="QIQ1" s="184"/>
      <c r="QIR1" s="184"/>
      <c r="QIS1" s="184"/>
      <c r="QIT1" s="184"/>
      <c r="QIU1" s="184"/>
      <c r="QIV1" s="184"/>
      <c r="QIW1" s="184"/>
      <c r="QIX1" s="184"/>
      <c r="QIY1" s="185"/>
      <c r="QIZ1" s="180"/>
      <c r="QJA1" s="181"/>
      <c r="QJB1" s="181"/>
      <c r="QJC1" s="181"/>
      <c r="QJD1" s="181"/>
      <c r="QJE1" s="181"/>
      <c r="QJF1" s="181"/>
      <c r="QJG1" s="181"/>
      <c r="QJH1" s="181"/>
      <c r="QJI1" s="182"/>
      <c r="QJJ1" s="183"/>
      <c r="QJK1" s="184"/>
      <c r="QJL1" s="184"/>
      <c r="QJM1" s="184"/>
      <c r="QJN1" s="184"/>
      <c r="QJO1" s="184"/>
      <c r="QJP1" s="184"/>
      <c r="QJQ1" s="184"/>
      <c r="QJR1" s="184"/>
      <c r="QJS1" s="185"/>
      <c r="QJT1" s="180"/>
      <c r="QJU1" s="181"/>
      <c r="QJV1" s="181"/>
      <c r="QJW1" s="181"/>
      <c r="QJX1" s="181"/>
      <c r="QJY1" s="181"/>
      <c r="QJZ1" s="181"/>
      <c r="QKA1" s="181"/>
      <c r="QKB1" s="181"/>
      <c r="QKC1" s="182"/>
      <c r="QKD1" s="183"/>
      <c r="QKE1" s="184"/>
      <c r="QKF1" s="184"/>
      <c r="QKG1" s="184"/>
      <c r="QKH1" s="184"/>
      <c r="QKI1" s="184"/>
      <c r="QKJ1" s="184"/>
      <c r="QKK1" s="184"/>
      <c r="QKL1" s="184"/>
      <c r="QKM1" s="185"/>
      <c r="QKN1" s="180"/>
      <c r="QKO1" s="181"/>
      <c r="QKP1" s="181"/>
      <c r="QKQ1" s="181"/>
      <c r="QKR1" s="181"/>
      <c r="QKS1" s="181"/>
      <c r="QKT1" s="181"/>
      <c r="QKU1" s="181"/>
      <c r="QKV1" s="181"/>
      <c r="QKW1" s="182"/>
      <c r="QKX1" s="183"/>
      <c r="QKY1" s="184"/>
      <c r="QKZ1" s="184"/>
      <c r="QLA1" s="184"/>
      <c r="QLB1" s="184"/>
      <c r="QLC1" s="184"/>
      <c r="QLD1" s="184"/>
      <c r="QLE1" s="184"/>
      <c r="QLF1" s="184"/>
      <c r="QLG1" s="185"/>
      <c r="QLH1" s="180"/>
      <c r="QLI1" s="181"/>
      <c r="QLJ1" s="181"/>
      <c r="QLK1" s="181"/>
      <c r="QLL1" s="181"/>
      <c r="QLM1" s="181"/>
      <c r="QLN1" s="181"/>
      <c r="QLO1" s="181"/>
      <c r="QLP1" s="181"/>
      <c r="QLQ1" s="182"/>
      <c r="QLR1" s="183"/>
      <c r="QLS1" s="184"/>
      <c r="QLT1" s="184"/>
      <c r="QLU1" s="184"/>
      <c r="QLV1" s="184"/>
      <c r="QLW1" s="184"/>
      <c r="QLX1" s="184"/>
      <c r="QLY1" s="184"/>
      <c r="QLZ1" s="184"/>
      <c r="QMA1" s="185"/>
      <c r="QMB1" s="180"/>
      <c r="QMC1" s="181"/>
      <c r="QMD1" s="181"/>
      <c r="QME1" s="181"/>
      <c r="QMF1" s="181"/>
      <c r="QMG1" s="181"/>
      <c r="QMH1" s="181"/>
      <c r="QMI1" s="181"/>
      <c r="QMJ1" s="181"/>
      <c r="QMK1" s="182"/>
      <c r="QML1" s="183"/>
      <c r="QMM1" s="184"/>
      <c r="QMN1" s="184"/>
      <c r="QMO1" s="184"/>
      <c r="QMP1" s="184"/>
      <c r="QMQ1" s="184"/>
      <c r="QMR1" s="184"/>
      <c r="QMS1" s="184"/>
      <c r="QMT1" s="184"/>
      <c r="QMU1" s="185"/>
      <c r="QMV1" s="180"/>
      <c r="QMW1" s="181"/>
      <c r="QMX1" s="181"/>
      <c r="QMY1" s="181"/>
      <c r="QMZ1" s="181"/>
      <c r="QNA1" s="181"/>
      <c r="QNB1" s="181"/>
      <c r="QNC1" s="181"/>
      <c r="QND1" s="181"/>
      <c r="QNE1" s="182"/>
      <c r="QNF1" s="183"/>
      <c r="QNG1" s="184"/>
      <c r="QNH1" s="184"/>
      <c r="QNI1" s="184"/>
      <c r="QNJ1" s="184"/>
      <c r="QNK1" s="184"/>
      <c r="QNL1" s="184"/>
      <c r="QNM1" s="184"/>
      <c r="QNN1" s="184"/>
      <c r="QNO1" s="185"/>
      <c r="QNP1" s="180"/>
      <c r="QNQ1" s="181"/>
      <c r="QNR1" s="181"/>
      <c r="QNS1" s="181"/>
      <c r="QNT1" s="181"/>
      <c r="QNU1" s="181"/>
      <c r="QNV1" s="181"/>
      <c r="QNW1" s="181"/>
      <c r="QNX1" s="181"/>
      <c r="QNY1" s="182"/>
      <c r="QNZ1" s="183"/>
      <c r="QOA1" s="184"/>
      <c r="QOB1" s="184"/>
      <c r="QOC1" s="184"/>
      <c r="QOD1" s="184"/>
      <c r="QOE1" s="184"/>
      <c r="QOF1" s="184"/>
      <c r="QOG1" s="184"/>
      <c r="QOH1" s="184"/>
      <c r="QOI1" s="185"/>
      <c r="QOJ1" s="180"/>
      <c r="QOK1" s="181"/>
      <c r="QOL1" s="181"/>
      <c r="QOM1" s="181"/>
      <c r="QON1" s="181"/>
      <c r="QOO1" s="181"/>
      <c r="QOP1" s="181"/>
      <c r="QOQ1" s="181"/>
      <c r="QOR1" s="181"/>
      <c r="QOS1" s="182"/>
      <c r="QOT1" s="183"/>
      <c r="QOU1" s="184"/>
      <c r="QOV1" s="184"/>
      <c r="QOW1" s="184"/>
      <c r="QOX1" s="184"/>
      <c r="QOY1" s="184"/>
      <c r="QOZ1" s="184"/>
      <c r="QPA1" s="184"/>
      <c r="QPB1" s="184"/>
      <c r="QPC1" s="185"/>
      <c r="QPD1" s="180"/>
      <c r="QPE1" s="181"/>
      <c r="QPF1" s="181"/>
      <c r="QPG1" s="181"/>
      <c r="QPH1" s="181"/>
      <c r="QPI1" s="181"/>
      <c r="QPJ1" s="181"/>
      <c r="QPK1" s="181"/>
      <c r="QPL1" s="181"/>
      <c r="QPM1" s="182"/>
      <c r="QPN1" s="183"/>
      <c r="QPO1" s="184"/>
      <c r="QPP1" s="184"/>
      <c r="QPQ1" s="184"/>
      <c r="QPR1" s="184"/>
      <c r="QPS1" s="184"/>
      <c r="QPT1" s="184"/>
      <c r="QPU1" s="184"/>
      <c r="QPV1" s="184"/>
      <c r="QPW1" s="185"/>
      <c r="QPX1" s="180"/>
      <c r="QPY1" s="181"/>
      <c r="QPZ1" s="181"/>
      <c r="QQA1" s="181"/>
      <c r="QQB1" s="181"/>
      <c r="QQC1" s="181"/>
      <c r="QQD1" s="181"/>
      <c r="QQE1" s="181"/>
      <c r="QQF1" s="181"/>
      <c r="QQG1" s="182"/>
      <c r="QQH1" s="183"/>
      <c r="QQI1" s="184"/>
      <c r="QQJ1" s="184"/>
      <c r="QQK1" s="184"/>
      <c r="QQL1" s="184"/>
      <c r="QQM1" s="184"/>
      <c r="QQN1" s="184"/>
      <c r="QQO1" s="184"/>
      <c r="QQP1" s="184"/>
      <c r="QQQ1" s="185"/>
      <c r="QQR1" s="180"/>
      <c r="QQS1" s="181"/>
      <c r="QQT1" s="181"/>
      <c r="QQU1" s="181"/>
      <c r="QQV1" s="181"/>
      <c r="QQW1" s="181"/>
      <c r="QQX1" s="181"/>
      <c r="QQY1" s="181"/>
      <c r="QQZ1" s="181"/>
      <c r="QRA1" s="182"/>
      <c r="QRB1" s="183"/>
      <c r="QRC1" s="184"/>
      <c r="QRD1" s="184"/>
      <c r="QRE1" s="184"/>
      <c r="QRF1" s="184"/>
      <c r="QRG1" s="184"/>
      <c r="QRH1" s="184"/>
      <c r="QRI1" s="184"/>
      <c r="QRJ1" s="184"/>
      <c r="QRK1" s="185"/>
      <c r="QRL1" s="180"/>
      <c r="QRM1" s="181"/>
      <c r="QRN1" s="181"/>
      <c r="QRO1" s="181"/>
      <c r="QRP1" s="181"/>
      <c r="QRQ1" s="181"/>
      <c r="QRR1" s="181"/>
      <c r="QRS1" s="181"/>
      <c r="QRT1" s="181"/>
      <c r="QRU1" s="182"/>
      <c r="QRV1" s="183"/>
      <c r="QRW1" s="184"/>
      <c r="QRX1" s="184"/>
      <c r="QRY1" s="184"/>
      <c r="QRZ1" s="184"/>
      <c r="QSA1" s="184"/>
      <c r="QSB1" s="184"/>
      <c r="QSC1" s="184"/>
      <c r="QSD1" s="184"/>
      <c r="QSE1" s="185"/>
      <c r="QSF1" s="180"/>
      <c r="QSG1" s="181"/>
      <c r="QSH1" s="181"/>
      <c r="QSI1" s="181"/>
      <c r="QSJ1" s="181"/>
      <c r="QSK1" s="181"/>
      <c r="QSL1" s="181"/>
      <c r="QSM1" s="181"/>
      <c r="QSN1" s="181"/>
      <c r="QSO1" s="182"/>
      <c r="QSP1" s="183"/>
      <c r="QSQ1" s="184"/>
      <c r="QSR1" s="184"/>
      <c r="QSS1" s="184"/>
      <c r="QST1" s="184"/>
      <c r="QSU1" s="184"/>
      <c r="QSV1" s="184"/>
      <c r="QSW1" s="184"/>
      <c r="QSX1" s="184"/>
      <c r="QSY1" s="185"/>
      <c r="QSZ1" s="180"/>
      <c r="QTA1" s="181"/>
      <c r="QTB1" s="181"/>
      <c r="QTC1" s="181"/>
      <c r="QTD1" s="181"/>
      <c r="QTE1" s="181"/>
      <c r="QTF1" s="181"/>
      <c r="QTG1" s="181"/>
      <c r="QTH1" s="181"/>
      <c r="QTI1" s="182"/>
      <c r="QTJ1" s="183"/>
      <c r="QTK1" s="184"/>
      <c r="QTL1" s="184"/>
      <c r="QTM1" s="184"/>
      <c r="QTN1" s="184"/>
      <c r="QTO1" s="184"/>
      <c r="QTP1" s="184"/>
      <c r="QTQ1" s="184"/>
      <c r="QTR1" s="184"/>
      <c r="QTS1" s="185"/>
      <c r="QTT1" s="180"/>
      <c r="QTU1" s="181"/>
      <c r="QTV1" s="181"/>
      <c r="QTW1" s="181"/>
      <c r="QTX1" s="181"/>
      <c r="QTY1" s="181"/>
      <c r="QTZ1" s="181"/>
      <c r="QUA1" s="181"/>
      <c r="QUB1" s="181"/>
      <c r="QUC1" s="182"/>
      <c r="QUD1" s="183"/>
      <c r="QUE1" s="184"/>
      <c r="QUF1" s="184"/>
      <c r="QUG1" s="184"/>
      <c r="QUH1" s="184"/>
      <c r="QUI1" s="184"/>
      <c r="QUJ1" s="184"/>
      <c r="QUK1" s="184"/>
      <c r="QUL1" s="184"/>
      <c r="QUM1" s="185"/>
      <c r="QUN1" s="180"/>
      <c r="QUO1" s="181"/>
      <c r="QUP1" s="181"/>
      <c r="QUQ1" s="181"/>
      <c r="QUR1" s="181"/>
      <c r="QUS1" s="181"/>
      <c r="QUT1" s="181"/>
      <c r="QUU1" s="181"/>
      <c r="QUV1" s="181"/>
      <c r="QUW1" s="182"/>
      <c r="QUX1" s="183"/>
      <c r="QUY1" s="184"/>
      <c r="QUZ1" s="184"/>
      <c r="QVA1" s="184"/>
      <c r="QVB1" s="184"/>
      <c r="QVC1" s="184"/>
      <c r="QVD1" s="184"/>
      <c r="QVE1" s="184"/>
      <c r="QVF1" s="184"/>
      <c r="QVG1" s="185"/>
      <c r="QVH1" s="180"/>
      <c r="QVI1" s="181"/>
      <c r="QVJ1" s="181"/>
      <c r="QVK1" s="181"/>
      <c r="QVL1" s="181"/>
      <c r="QVM1" s="181"/>
      <c r="QVN1" s="181"/>
      <c r="QVO1" s="181"/>
      <c r="QVP1" s="181"/>
      <c r="QVQ1" s="182"/>
      <c r="QVR1" s="183"/>
      <c r="QVS1" s="184"/>
      <c r="QVT1" s="184"/>
      <c r="QVU1" s="184"/>
      <c r="QVV1" s="184"/>
      <c r="QVW1" s="184"/>
      <c r="QVX1" s="184"/>
      <c r="QVY1" s="184"/>
      <c r="QVZ1" s="184"/>
      <c r="QWA1" s="185"/>
      <c r="QWB1" s="180"/>
      <c r="QWC1" s="181"/>
      <c r="QWD1" s="181"/>
      <c r="QWE1" s="181"/>
      <c r="QWF1" s="181"/>
      <c r="QWG1" s="181"/>
      <c r="QWH1" s="181"/>
      <c r="QWI1" s="181"/>
      <c r="QWJ1" s="181"/>
      <c r="QWK1" s="182"/>
      <c r="QWL1" s="183"/>
      <c r="QWM1" s="184"/>
      <c r="QWN1" s="184"/>
      <c r="QWO1" s="184"/>
      <c r="QWP1" s="184"/>
      <c r="QWQ1" s="184"/>
      <c r="QWR1" s="184"/>
      <c r="QWS1" s="184"/>
      <c r="QWT1" s="184"/>
      <c r="QWU1" s="185"/>
      <c r="QWV1" s="180"/>
      <c r="QWW1" s="181"/>
      <c r="QWX1" s="181"/>
      <c r="QWY1" s="181"/>
      <c r="QWZ1" s="181"/>
      <c r="QXA1" s="181"/>
      <c r="QXB1" s="181"/>
      <c r="QXC1" s="181"/>
      <c r="QXD1" s="181"/>
      <c r="QXE1" s="182"/>
      <c r="QXF1" s="183"/>
      <c r="QXG1" s="184"/>
      <c r="QXH1" s="184"/>
      <c r="QXI1" s="184"/>
      <c r="QXJ1" s="184"/>
      <c r="QXK1" s="184"/>
      <c r="QXL1" s="184"/>
      <c r="QXM1" s="184"/>
      <c r="QXN1" s="184"/>
      <c r="QXO1" s="185"/>
      <c r="QXP1" s="180"/>
      <c r="QXQ1" s="181"/>
      <c r="QXR1" s="181"/>
      <c r="QXS1" s="181"/>
      <c r="QXT1" s="181"/>
      <c r="QXU1" s="181"/>
      <c r="QXV1" s="181"/>
      <c r="QXW1" s="181"/>
      <c r="QXX1" s="181"/>
      <c r="QXY1" s="182"/>
      <c r="QXZ1" s="183"/>
      <c r="QYA1" s="184"/>
      <c r="QYB1" s="184"/>
      <c r="QYC1" s="184"/>
      <c r="QYD1" s="184"/>
      <c r="QYE1" s="184"/>
      <c r="QYF1" s="184"/>
      <c r="QYG1" s="184"/>
      <c r="QYH1" s="184"/>
      <c r="QYI1" s="185"/>
      <c r="QYJ1" s="180"/>
      <c r="QYK1" s="181"/>
      <c r="QYL1" s="181"/>
      <c r="QYM1" s="181"/>
      <c r="QYN1" s="181"/>
      <c r="QYO1" s="181"/>
      <c r="QYP1" s="181"/>
      <c r="QYQ1" s="181"/>
      <c r="QYR1" s="181"/>
      <c r="QYS1" s="182"/>
      <c r="QYT1" s="183"/>
      <c r="QYU1" s="184"/>
      <c r="QYV1" s="184"/>
      <c r="QYW1" s="184"/>
      <c r="QYX1" s="184"/>
      <c r="QYY1" s="184"/>
      <c r="QYZ1" s="184"/>
      <c r="QZA1" s="184"/>
      <c r="QZB1" s="184"/>
      <c r="QZC1" s="185"/>
      <c r="QZD1" s="180"/>
      <c r="QZE1" s="181"/>
      <c r="QZF1" s="181"/>
      <c r="QZG1" s="181"/>
      <c r="QZH1" s="181"/>
      <c r="QZI1" s="181"/>
      <c r="QZJ1" s="181"/>
      <c r="QZK1" s="181"/>
      <c r="QZL1" s="181"/>
      <c r="QZM1" s="182"/>
      <c r="QZN1" s="183"/>
      <c r="QZO1" s="184"/>
      <c r="QZP1" s="184"/>
      <c r="QZQ1" s="184"/>
      <c r="QZR1" s="184"/>
      <c r="QZS1" s="184"/>
      <c r="QZT1" s="184"/>
      <c r="QZU1" s="184"/>
      <c r="QZV1" s="184"/>
      <c r="QZW1" s="185"/>
      <c r="QZX1" s="180"/>
      <c r="QZY1" s="181"/>
      <c r="QZZ1" s="181"/>
      <c r="RAA1" s="181"/>
      <c r="RAB1" s="181"/>
      <c r="RAC1" s="181"/>
      <c r="RAD1" s="181"/>
      <c r="RAE1" s="181"/>
      <c r="RAF1" s="181"/>
      <c r="RAG1" s="182"/>
      <c r="RAH1" s="183"/>
      <c r="RAI1" s="184"/>
      <c r="RAJ1" s="184"/>
      <c r="RAK1" s="184"/>
      <c r="RAL1" s="184"/>
      <c r="RAM1" s="184"/>
      <c r="RAN1" s="184"/>
      <c r="RAO1" s="184"/>
      <c r="RAP1" s="184"/>
      <c r="RAQ1" s="185"/>
      <c r="RAR1" s="180"/>
      <c r="RAS1" s="181"/>
      <c r="RAT1" s="181"/>
      <c r="RAU1" s="181"/>
      <c r="RAV1" s="181"/>
      <c r="RAW1" s="181"/>
      <c r="RAX1" s="181"/>
      <c r="RAY1" s="181"/>
      <c r="RAZ1" s="181"/>
      <c r="RBA1" s="182"/>
      <c r="RBB1" s="183"/>
      <c r="RBC1" s="184"/>
      <c r="RBD1" s="184"/>
      <c r="RBE1" s="184"/>
      <c r="RBF1" s="184"/>
      <c r="RBG1" s="184"/>
      <c r="RBH1" s="184"/>
      <c r="RBI1" s="184"/>
      <c r="RBJ1" s="184"/>
      <c r="RBK1" s="185"/>
      <c r="RBL1" s="180"/>
      <c r="RBM1" s="181"/>
      <c r="RBN1" s="181"/>
      <c r="RBO1" s="181"/>
      <c r="RBP1" s="181"/>
      <c r="RBQ1" s="181"/>
      <c r="RBR1" s="181"/>
      <c r="RBS1" s="181"/>
      <c r="RBT1" s="181"/>
      <c r="RBU1" s="182"/>
      <c r="RBV1" s="183"/>
      <c r="RBW1" s="184"/>
      <c r="RBX1" s="184"/>
      <c r="RBY1" s="184"/>
      <c r="RBZ1" s="184"/>
      <c r="RCA1" s="184"/>
      <c r="RCB1" s="184"/>
      <c r="RCC1" s="184"/>
      <c r="RCD1" s="184"/>
      <c r="RCE1" s="185"/>
      <c r="RCF1" s="180"/>
      <c r="RCG1" s="181"/>
      <c r="RCH1" s="181"/>
      <c r="RCI1" s="181"/>
      <c r="RCJ1" s="181"/>
      <c r="RCK1" s="181"/>
      <c r="RCL1" s="181"/>
      <c r="RCM1" s="181"/>
      <c r="RCN1" s="181"/>
      <c r="RCO1" s="182"/>
      <c r="RCP1" s="183"/>
      <c r="RCQ1" s="184"/>
      <c r="RCR1" s="184"/>
      <c r="RCS1" s="184"/>
      <c r="RCT1" s="184"/>
      <c r="RCU1" s="184"/>
      <c r="RCV1" s="184"/>
      <c r="RCW1" s="184"/>
      <c r="RCX1" s="184"/>
      <c r="RCY1" s="185"/>
      <c r="RCZ1" s="180"/>
      <c r="RDA1" s="181"/>
      <c r="RDB1" s="181"/>
      <c r="RDC1" s="181"/>
      <c r="RDD1" s="181"/>
      <c r="RDE1" s="181"/>
      <c r="RDF1" s="181"/>
      <c r="RDG1" s="181"/>
      <c r="RDH1" s="181"/>
      <c r="RDI1" s="182"/>
      <c r="RDJ1" s="183"/>
      <c r="RDK1" s="184"/>
      <c r="RDL1" s="184"/>
      <c r="RDM1" s="184"/>
      <c r="RDN1" s="184"/>
      <c r="RDO1" s="184"/>
      <c r="RDP1" s="184"/>
      <c r="RDQ1" s="184"/>
      <c r="RDR1" s="184"/>
      <c r="RDS1" s="185"/>
      <c r="RDT1" s="180"/>
      <c r="RDU1" s="181"/>
      <c r="RDV1" s="181"/>
      <c r="RDW1" s="181"/>
      <c r="RDX1" s="181"/>
      <c r="RDY1" s="181"/>
      <c r="RDZ1" s="181"/>
      <c r="REA1" s="181"/>
      <c r="REB1" s="181"/>
      <c r="REC1" s="182"/>
      <c r="RED1" s="183"/>
      <c r="REE1" s="184"/>
      <c r="REF1" s="184"/>
      <c r="REG1" s="184"/>
      <c r="REH1" s="184"/>
      <c r="REI1" s="184"/>
      <c r="REJ1" s="184"/>
      <c r="REK1" s="184"/>
      <c r="REL1" s="184"/>
      <c r="REM1" s="185"/>
      <c r="REN1" s="180"/>
      <c r="REO1" s="181"/>
      <c r="REP1" s="181"/>
      <c r="REQ1" s="181"/>
      <c r="RER1" s="181"/>
      <c r="RES1" s="181"/>
      <c r="RET1" s="181"/>
      <c r="REU1" s="181"/>
      <c r="REV1" s="181"/>
      <c r="REW1" s="182"/>
      <c r="REX1" s="183"/>
      <c r="REY1" s="184"/>
      <c r="REZ1" s="184"/>
      <c r="RFA1" s="184"/>
      <c r="RFB1" s="184"/>
      <c r="RFC1" s="184"/>
      <c r="RFD1" s="184"/>
      <c r="RFE1" s="184"/>
      <c r="RFF1" s="184"/>
      <c r="RFG1" s="185"/>
      <c r="RFH1" s="180"/>
      <c r="RFI1" s="181"/>
      <c r="RFJ1" s="181"/>
      <c r="RFK1" s="181"/>
      <c r="RFL1" s="181"/>
      <c r="RFM1" s="181"/>
      <c r="RFN1" s="181"/>
      <c r="RFO1" s="181"/>
      <c r="RFP1" s="181"/>
      <c r="RFQ1" s="182"/>
      <c r="RFR1" s="183"/>
      <c r="RFS1" s="184"/>
      <c r="RFT1" s="184"/>
      <c r="RFU1" s="184"/>
      <c r="RFV1" s="184"/>
      <c r="RFW1" s="184"/>
      <c r="RFX1" s="184"/>
      <c r="RFY1" s="184"/>
      <c r="RFZ1" s="184"/>
      <c r="RGA1" s="185"/>
      <c r="RGB1" s="180"/>
      <c r="RGC1" s="181"/>
      <c r="RGD1" s="181"/>
      <c r="RGE1" s="181"/>
      <c r="RGF1" s="181"/>
      <c r="RGG1" s="181"/>
      <c r="RGH1" s="181"/>
      <c r="RGI1" s="181"/>
      <c r="RGJ1" s="181"/>
      <c r="RGK1" s="182"/>
      <c r="RGL1" s="183"/>
      <c r="RGM1" s="184"/>
      <c r="RGN1" s="184"/>
      <c r="RGO1" s="184"/>
      <c r="RGP1" s="184"/>
      <c r="RGQ1" s="184"/>
      <c r="RGR1" s="184"/>
      <c r="RGS1" s="184"/>
      <c r="RGT1" s="184"/>
      <c r="RGU1" s="185"/>
      <c r="RGV1" s="180"/>
      <c r="RGW1" s="181"/>
      <c r="RGX1" s="181"/>
      <c r="RGY1" s="181"/>
      <c r="RGZ1" s="181"/>
      <c r="RHA1" s="181"/>
      <c r="RHB1" s="181"/>
      <c r="RHC1" s="181"/>
      <c r="RHD1" s="181"/>
      <c r="RHE1" s="182"/>
      <c r="RHF1" s="183"/>
      <c r="RHG1" s="184"/>
      <c r="RHH1" s="184"/>
      <c r="RHI1" s="184"/>
      <c r="RHJ1" s="184"/>
      <c r="RHK1" s="184"/>
      <c r="RHL1" s="184"/>
      <c r="RHM1" s="184"/>
      <c r="RHN1" s="184"/>
      <c r="RHO1" s="185"/>
      <c r="RHP1" s="180"/>
      <c r="RHQ1" s="181"/>
      <c r="RHR1" s="181"/>
      <c r="RHS1" s="181"/>
      <c r="RHT1" s="181"/>
      <c r="RHU1" s="181"/>
      <c r="RHV1" s="181"/>
      <c r="RHW1" s="181"/>
      <c r="RHX1" s="181"/>
      <c r="RHY1" s="182"/>
      <c r="RHZ1" s="183"/>
      <c r="RIA1" s="184"/>
      <c r="RIB1" s="184"/>
      <c r="RIC1" s="184"/>
      <c r="RID1" s="184"/>
      <c r="RIE1" s="184"/>
      <c r="RIF1" s="184"/>
      <c r="RIG1" s="184"/>
      <c r="RIH1" s="184"/>
      <c r="RII1" s="185"/>
      <c r="RIJ1" s="180"/>
      <c r="RIK1" s="181"/>
      <c r="RIL1" s="181"/>
      <c r="RIM1" s="181"/>
      <c r="RIN1" s="181"/>
      <c r="RIO1" s="181"/>
      <c r="RIP1" s="181"/>
      <c r="RIQ1" s="181"/>
      <c r="RIR1" s="181"/>
      <c r="RIS1" s="182"/>
      <c r="RIT1" s="183"/>
      <c r="RIU1" s="184"/>
      <c r="RIV1" s="184"/>
      <c r="RIW1" s="184"/>
      <c r="RIX1" s="184"/>
      <c r="RIY1" s="184"/>
      <c r="RIZ1" s="184"/>
      <c r="RJA1" s="184"/>
      <c r="RJB1" s="184"/>
      <c r="RJC1" s="185"/>
      <c r="RJD1" s="180"/>
      <c r="RJE1" s="181"/>
      <c r="RJF1" s="181"/>
      <c r="RJG1" s="181"/>
      <c r="RJH1" s="181"/>
      <c r="RJI1" s="181"/>
      <c r="RJJ1" s="181"/>
      <c r="RJK1" s="181"/>
      <c r="RJL1" s="181"/>
      <c r="RJM1" s="182"/>
      <c r="RJN1" s="183"/>
      <c r="RJO1" s="184"/>
      <c r="RJP1" s="184"/>
      <c r="RJQ1" s="184"/>
      <c r="RJR1" s="184"/>
      <c r="RJS1" s="184"/>
      <c r="RJT1" s="184"/>
      <c r="RJU1" s="184"/>
      <c r="RJV1" s="184"/>
      <c r="RJW1" s="185"/>
      <c r="RJX1" s="180"/>
      <c r="RJY1" s="181"/>
      <c r="RJZ1" s="181"/>
      <c r="RKA1" s="181"/>
      <c r="RKB1" s="181"/>
      <c r="RKC1" s="181"/>
      <c r="RKD1" s="181"/>
      <c r="RKE1" s="181"/>
      <c r="RKF1" s="181"/>
      <c r="RKG1" s="182"/>
      <c r="RKH1" s="183"/>
      <c r="RKI1" s="184"/>
      <c r="RKJ1" s="184"/>
      <c r="RKK1" s="184"/>
      <c r="RKL1" s="184"/>
      <c r="RKM1" s="184"/>
      <c r="RKN1" s="184"/>
      <c r="RKO1" s="184"/>
      <c r="RKP1" s="184"/>
      <c r="RKQ1" s="185"/>
      <c r="RKR1" s="180"/>
      <c r="RKS1" s="181"/>
      <c r="RKT1" s="181"/>
      <c r="RKU1" s="181"/>
      <c r="RKV1" s="181"/>
      <c r="RKW1" s="181"/>
      <c r="RKX1" s="181"/>
      <c r="RKY1" s="181"/>
      <c r="RKZ1" s="181"/>
      <c r="RLA1" s="182"/>
      <c r="RLB1" s="183"/>
      <c r="RLC1" s="184"/>
      <c r="RLD1" s="184"/>
      <c r="RLE1" s="184"/>
      <c r="RLF1" s="184"/>
      <c r="RLG1" s="184"/>
      <c r="RLH1" s="184"/>
      <c r="RLI1" s="184"/>
      <c r="RLJ1" s="184"/>
      <c r="RLK1" s="185"/>
      <c r="RLL1" s="180"/>
      <c r="RLM1" s="181"/>
      <c r="RLN1" s="181"/>
      <c r="RLO1" s="181"/>
      <c r="RLP1" s="181"/>
      <c r="RLQ1" s="181"/>
      <c r="RLR1" s="181"/>
      <c r="RLS1" s="181"/>
      <c r="RLT1" s="181"/>
      <c r="RLU1" s="182"/>
      <c r="RLV1" s="183"/>
      <c r="RLW1" s="184"/>
      <c r="RLX1" s="184"/>
      <c r="RLY1" s="184"/>
      <c r="RLZ1" s="184"/>
      <c r="RMA1" s="184"/>
      <c r="RMB1" s="184"/>
      <c r="RMC1" s="184"/>
      <c r="RMD1" s="184"/>
      <c r="RME1" s="185"/>
      <c r="RMF1" s="180"/>
      <c r="RMG1" s="181"/>
      <c r="RMH1" s="181"/>
      <c r="RMI1" s="181"/>
      <c r="RMJ1" s="181"/>
      <c r="RMK1" s="181"/>
      <c r="RML1" s="181"/>
      <c r="RMM1" s="181"/>
      <c r="RMN1" s="181"/>
      <c r="RMO1" s="182"/>
      <c r="RMP1" s="183"/>
      <c r="RMQ1" s="184"/>
      <c r="RMR1" s="184"/>
      <c r="RMS1" s="184"/>
      <c r="RMT1" s="184"/>
      <c r="RMU1" s="184"/>
      <c r="RMV1" s="184"/>
      <c r="RMW1" s="184"/>
      <c r="RMX1" s="184"/>
      <c r="RMY1" s="185"/>
      <c r="RMZ1" s="180"/>
      <c r="RNA1" s="181"/>
      <c r="RNB1" s="181"/>
      <c r="RNC1" s="181"/>
      <c r="RND1" s="181"/>
      <c r="RNE1" s="181"/>
      <c r="RNF1" s="181"/>
      <c r="RNG1" s="181"/>
      <c r="RNH1" s="181"/>
      <c r="RNI1" s="182"/>
      <c r="RNJ1" s="183"/>
      <c r="RNK1" s="184"/>
      <c r="RNL1" s="184"/>
      <c r="RNM1" s="184"/>
      <c r="RNN1" s="184"/>
      <c r="RNO1" s="184"/>
      <c r="RNP1" s="184"/>
      <c r="RNQ1" s="184"/>
      <c r="RNR1" s="184"/>
      <c r="RNS1" s="185"/>
      <c r="RNT1" s="180"/>
      <c r="RNU1" s="181"/>
      <c r="RNV1" s="181"/>
      <c r="RNW1" s="181"/>
      <c r="RNX1" s="181"/>
      <c r="RNY1" s="181"/>
      <c r="RNZ1" s="181"/>
      <c r="ROA1" s="181"/>
      <c r="ROB1" s="181"/>
      <c r="ROC1" s="182"/>
      <c r="ROD1" s="183"/>
      <c r="ROE1" s="184"/>
      <c r="ROF1" s="184"/>
      <c r="ROG1" s="184"/>
      <c r="ROH1" s="184"/>
      <c r="ROI1" s="184"/>
      <c r="ROJ1" s="184"/>
      <c r="ROK1" s="184"/>
      <c r="ROL1" s="184"/>
      <c r="ROM1" s="185"/>
      <c r="RON1" s="180"/>
      <c r="ROO1" s="181"/>
      <c r="ROP1" s="181"/>
      <c r="ROQ1" s="181"/>
      <c r="ROR1" s="181"/>
      <c r="ROS1" s="181"/>
      <c r="ROT1" s="181"/>
      <c r="ROU1" s="181"/>
      <c r="ROV1" s="181"/>
      <c r="ROW1" s="182"/>
      <c r="ROX1" s="183"/>
      <c r="ROY1" s="184"/>
      <c r="ROZ1" s="184"/>
      <c r="RPA1" s="184"/>
      <c r="RPB1" s="184"/>
      <c r="RPC1" s="184"/>
      <c r="RPD1" s="184"/>
      <c r="RPE1" s="184"/>
      <c r="RPF1" s="184"/>
      <c r="RPG1" s="185"/>
      <c r="RPH1" s="180"/>
      <c r="RPI1" s="181"/>
      <c r="RPJ1" s="181"/>
      <c r="RPK1" s="181"/>
      <c r="RPL1" s="181"/>
      <c r="RPM1" s="181"/>
      <c r="RPN1" s="181"/>
      <c r="RPO1" s="181"/>
      <c r="RPP1" s="181"/>
      <c r="RPQ1" s="182"/>
      <c r="RPR1" s="183"/>
      <c r="RPS1" s="184"/>
      <c r="RPT1" s="184"/>
      <c r="RPU1" s="184"/>
      <c r="RPV1" s="184"/>
      <c r="RPW1" s="184"/>
      <c r="RPX1" s="184"/>
      <c r="RPY1" s="184"/>
      <c r="RPZ1" s="184"/>
      <c r="RQA1" s="185"/>
      <c r="RQB1" s="180"/>
      <c r="RQC1" s="181"/>
      <c r="RQD1" s="181"/>
      <c r="RQE1" s="181"/>
      <c r="RQF1" s="181"/>
      <c r="RQG1" s="181"/>
      <c r="RQH1" s="181"/>
      <c r="RQI1" s="181"/>
      <c r="RQJ1" s="181"/>
      <c r="RQK1" s="182"/>
      <c r="RQL1" s="183"/>
      <c r="RQM1" s="184"/>
      <c r="RQN1" s="184"/>
      <c r="RQO1" s="184"/>
      <c r="RQP1" s="184"/>
      <c r="RQQ1" s="184"/>
      <c r="RQR1" s="184"/>
      <c r="RQS1" s="184"/>
      <c r="RQT1" s="184"/>
      <c r="RQU1" s="185"/>
      <c r="RQV1" s="180"/>
      <c r="RQW1" s="181"/>
      <c r="RQX1" s="181"/>
      <c r="RQY1" s="181"/>
      <c r="RQZ1" s="181"/>
      <c r="RRA1" s="181"/>
      <c r="RRB1" s="181"/>
      <c r="RRC1" s="181"/>
      <c r="RRD1" s="181"/>
      <c r="RRE1" s="182"/>
      <c r="RRF1" s="183"/>
      <c r="RRG1" s="184"/>
      <c r="RRH1" s="184"/>
      <c r="RRI1" s="184"/>
      <c r="RRJ1" s="184"/>
      <c r="RRK1" s="184"/>
      <c r="RRL1" s="184"/>
      <c r="RRM1" s="184"/>
      <c r="RRN1" s="184"/>
      <c r="RRO1" s="185"/>
      <c r="RRP1" s="180"/>
      <c r="RRQ1" s="181"/>
      <c r="RRR1" s="181"/>
      <c r="RRS1" s="181"/>
      <c r="RRT1" s="181"/>
      <c r="RRU1" s="181"/>
      <c r="RRV1" s="181"/>
      <c r="RRW1" s="181"/>
      <c r="RRX1" s="181"/>
      <c r="RRY1" s="182"/>
      <c r="RRZ1" s="183"/>
      <c r="RSA1" s="184"/>
      <c r="RSB1" s="184"/>
      <c r="RSC1" s="184"/>
      <c r="RSD1" s="184"/>
      <c r="RSE1" s="184"/>
      <c r="RSF1" s="184"/>
      <c r="RSG1" s="184"/>
      <c r="RSH1" s="184"/>
      <c r="RSI1" s="185"/>
      <c r="RSJ1" s="180"/>
      <c r="RSK1" s="181"/>
      <c r="RSL1" s="181"/>
      <c r="RSM1" s="181"/>
      <c r="RSN1" s="181"/>
      <c r="RSO1" s="181"/>
      <c r="RSP1" s="181"/>
      <c r="RSQ1" s="181"/>
      <c r="RSR1" s="181"/>
      <c r="RSS1" s="182"/>
      <c r="RST1" s="183"/>
      <c r="RSU1" s="184"/>
      <c r="RSV1" s="184"/>
      <c r="RSW1" s="184"/>
      <c r="RSX1" s="184"/>
      <c r="RSY1" s="184"/>
      <c r="RSZ1" s="184"/>
      <c r="RTA1" s="184"/>
      <c r="RTB1" s="184"/>
      <c r="RTC1" s="185"/>
      <c r="RTD1" s="180"/>
      <c r="RTE1" s="181"/>
      <c r="RTF1" s="181"/>
      <c r="RTG1" s="181"/>
      <c r="RTH1" s="181"/>
      <c r="RTI1" s="181"/>
      <c r="RTJ1" s="181"/>
      <c r="RTK1" s="181"/>
      <c r="RTL1" s="181"/>
      <c r="RTM1" s="182"/>
      <c r="RTN1" s="183"/>
      <c r="RTO1" s="184"/>
      <c r="RTP1" s="184"/>
      <c r="RTQ1" s="184"/>
      <c r="RTR1" s="184"/>
      <c r="RTS1" s="184"/>
      <c r="RTT1" s="184"/>
      <c r="RTU1" s="184"/>
      <c r="RTV1" s="184"/>
      <c r="RTW1" s="185"/>
      <c r="RTX1" s="180"/>
      <c r="RTY1" s="181"/>
      <c r="RTZ1" s="181"/>
      <c r="RUA1" s="181"/>
      <c r="RUB1" s="181"/>
      <c r="RUC1" s="181"/>
      <c r="RUD1" s="181"/>
      <c r="RUE1" s="181"/>
      <c r="RUF1" s="181"/>
      <c r="RUG1" s="182"/>
      <c r="RUH1" s="183"/>
      <c r="RUI1" s="184"/>
      <c r="RUJ1" s="184"/>
      <c r="RUK1" s="184"/>
      <c r="RUL1" s="184"/>
      <c r="RUM1" s="184"/>
      <c r="RUN1" s="184"/>
      <c r="RUO1" s="184"/>
      <c r="RUP1" s="184"/>
      <c r="RUQ1" s="185"/>
      <c r="RUR1" s="180"/>
      <c r="RUS1" s="181"/>
      <c r="RUT1" s="181"/>
      <c r="RUU1" s="181"/>
      <c r="RUV1" s="181"/>
      <c r="RUW1" s="181"/>
      <c r="RUX1" s="181"/>
      <c r="RUY1" s="181"/>
      <c r="RUZ1" s="181"/>
      <c r="RVA1" s="182"/>
      <c r="RVB1" s="183"/>
      <c r="RVC1" s="184"/>
      <c r="RVD1" s="184"/>
      <c r="RVE1" s="184"/>
      <c r="RVF1" s="184"/>
      <c r="RVG1" s="184"/>
      <c r="RVH1" s="184"/>
      <c r="RVI1" s="184"/>
      <c r="RVJ1" s="184"/>
      <c r="RVK1" s="185"/>
      <c r="RVL1" s="180"/>
      <c r="RVM1" s="181"/>
      <c r="RVN1" s="181"/>
      <c r="RVO1" s="181"/>
      <c r="RVP1" s="181"/>
      <c r="RVQ1" s="181"/>
      <c r="RVR1" s="181"/>
      <c r="RVS1" s="181"/>
      <c r="RVT1" s="181"/>
      <c r="RVU1" s="182"/>
      <c r="RVV1" s="183"/>
      <c r="RVW1" s="184"/>
      <c r="RVX1" s="184"/>
      <c r="RVY1" s="184"/>
      <c r="RVZ1" s="184"/>
      <c r="RWA1" s="184"/>
      <c r="RWB1" s="184"/>
      <c r="RWC1" s="184"/>
      <c r="RWD1" s="184"/>
      <c r="RWE1" s="185"/>
      <c r="RWF1" s="180"/>
      <c r="RWG1" s="181"/>
      <c r="RWH1" s="181"/>
      <c r="RWI1" s="181"/>
      <c r="RWJ1" s="181"/>
      <c r="RWK1" s="181"/>
      <c r="RWL1" s="181"/>
      <c r="RWM1" s="181"/>
      <c r="RWN1" s="181"/>
      <c r="RWO1" s="182"/>
      <c r="RWP1" s="183"/>
      <c r="RWQ1" s="184"/>
      <c r="RWR1" s="184"/>
      <c r="RWS1" s="184"/>
      <c r="RWT1" s="184"/>
      <c r="RWU1" s="184"/>
      <c r="RWV1" s="184"/>
      <c r="RWW1" s="184"/>
      <c r="RWX1" s="184"/>
      <c r="RWY1" s="185"/>
      <c r="RWZ1" s="180"/>
      <c r="RXA1" s="181"/>
      <c r="RXB1" s="181"/>
      <c r="RXC1" s="181"/>
      <c r="RXD1" s="181"/>
      <c r="RXE1" s="181"/>
      <c r="RXF1" s="181"/>
      <c r="RXG1" s="181"/>
      <c r="RXH1" s="181"/>
      <c r="RXI1" s="182"/>
      <c r="RXJ1" s="183"/>
      <c r="RXK1" s="184"/>
      <c r="RXL1" s="184"/>
      <c r="RXM1" s="184"/>
      <c r="RXN1" s="184"/>
      <c r="RXO1" s="184"/>
      <c r="RXP1" s="184"/>
      <c r="RXQ1" s="184"/>
      <c r="RXR1" s="184"/>
      <c r="RXS1" s="185"/>
      <c r="RXT1" s="180"/>
      <c r="RXU1" s="181"/>
      <c r="RXV1" s="181"/>
      <c r="RXW1" s="181"/>
      <c r="RXX1" s="181"/>
      <c r="RXY1" s="181"/>
      <c r="RXZ1" s="181"/>
      <c r="RYA1" s="181"/>
      <c r="RYB1" s="181"/>
      <c r="RYC1" s="182"/>
      <c r="RYD1" s="183"/>
      <c r="RYE1" s="184"/>
      <c r="RYF1" s="184"/>
      <c r="RYG1" s="184"/>
      <c r="RYH1" s="184"/>
      <c r="RYI1" s="184"/>
      <c r="RYJ1" s="184"/>
      <c r="RYK1" s="184"/>
      <c r="RYL1" s="184"/>
      <c r="RYM1" s="185"/>
      <c r="RYN1" s="180"/>
      <c r="RYO1" s="181"/>
      <c r="RYP1" s="181"/>
      <c r="RYQ1" s="181"/>
      <c r="RYR1" s="181"/>
      <c r="RYS1" s="181"/>
      <c r="RYT1" s="181"/>
      <c r="RYU1" s="181"/>
      <c r="RYV1" s="181"/>
      <c r="RYW1" s="182"/>
      <c r="RYX1" s="183"/>
      <c r="RYY1" s="184"/>
      <c r="RYZ1" s="184"/>
      <c r="RZA1" s="184"/>
      <c r="RZB1" s="184"/>
      <c r="RZC1" s="184"/>
      <c r="RZD1" s="184"/>
      <c r="RZE1" s="184"/>
      <c r="RZF1" s="184"/>
      <c r="RZG1" s="185"/>
      <c r="RZH1" s="180"/>
      <c r="RZI1" s="181"/>
      <c r="RZJ1" s="181"/>
      <c r="RZK1" s="181"/>
      <c r="RZL1" s="181"/>
      <c r="RZM1" s="181"/>
      <c r="RZN1" s="181"/>
      <c r="RZO1" s="181"/>
      <c r="RZP1" s="181"/>
      <c r="RZQ1" s="182"/>
      <c r="RZR1" s="183"/>
      <c r="RZS1" s="184"/>
      <c r="RZT1" s="184"/>
      <c r="RZU1" s="184"/>
      <c r="RZV1" s="184"/>
      <c r="RZW1" s="184"/>
      <c r="RZX1" s="184"/>
      <c r="RZY1" s="184"/>
      <c r="RZZ1" s="184"/>
      <c r="SAA1" s="185"/>
      <c r="SAB1" s="180"/>
      <c r="SAC1" s="181"/>
      <c r="SAD1" s="181"/>
      <c r="SAE1" s="181"/>
      <c r="SAF1" s="181"/>
      <c r="SAG1" s="181"/>
      <c r="SAH1" s="181"/>
      <c r="SAI1" s="181"/>
      <c r="SAJ1" s="181"/>
      <c r="SAK1" s="182"/>
      <c r="SAL1" s="183"/>
      <c r="SAM1" s="184"/>
      <c r="SAN1" s="184"/>
      <c r="SAO1" s="184"/>
      <c r="SAP1" s="184"/>
      <c r="SAQ1" s="184"/>
      <c r="SAR1" s="184"/>
      <c r="SAS1" s="184"/>
      <c r="SAT1" s="184"/>
      <c r="SAU1" s="185"/>
      <c r="SAV1" s="180"/>
      <c r="SAW1" s="181"/>
      <c r="SAX1" s="181"/>
      <c r="SAY1" s="181"/>
      <c r="SAZ1" s="181"/>
      <c r="SBA1" s="181"/>
      <c r="SBB1" s="181"/>
      <c r="SBC1" s="181"/>
      <c r="SBD1" s="181"/>
      <c r="SBE1" s="182"/>
      <c r="SBF1" s="183"/>
      <c r="SBG1" s="184"/>
      <c r="SBH1" s="184"/>
      <c r="SBI1" s="184"/>
      <c r="SBJ1" s="184"/>
      <c r="SBK1" s="184"/>
      <c r="SBL1" s="184"/>
      <c r="SBM1" s="184"/>
      <c r="SBN1" s="184"/>
      <c r="SBO1" s="185"/>
      <c r="SBP1" s="180"/>
      <c r="SBQ1" s="181"/>
      <c r="SBR1" s="181"/>
      <c r="SBS1" s="181"/>
      <c r="SBT1" s="181"/>
      <c r="SBU1" s="181"/>
      <c r="SBV1" s="181"/>
      <c r="SBW1" s="181"/>
      <c r="SBX1" s="181"/>
      <c r="SBY1" s="182"/>
      <c r="SBZ1" s="183"/>
      <c r="SCA1" s="184"/>
      <c r="SCB1" s="184"/>
      <c r="SCC1" s="184"/>
      <c r="SCD1" s="184"/>
      <c r="SCE1" s="184"/>
      <c r="SCF1" s="184"/>
      <c r="SCG1" s="184"/>
      <c r="SCH1" s="184"/>
      <c r="SCI1" s="185"/>
      <c r="SCJ1" s="180"/>
      <c r="SCK1" s="181"/>
      <c r="SCL1" s="181"/>
      <c r="SCM1" s="181"/>
      <c r="SCN1" s="181"/>
      <c r="SCO1" s="181"/>
      <c r="SCP1" s="181"/>
      <c r="SCQ1" s="181"/>
      <c r="SCR1" s="181"/>
      <c r="SCS1" s="182"/>
      <c r="SCT1" s="183"/>
      <c r="SCU1" s="184"/>
      <c r="SCV1" s="184"/>
      <c r="SCW1" s="184"/>
      <c r="SCX1" s="184"/>
      <c r="SCY1" s="184"/>
      <c r="SCZ1" s="184"/>
      <c r="SDA1" s="184"/>
      <c r="SDB1" s="184"/>
      <c r="SDC1" s="185"/>
      <c r="SDD1" s="180"/>
      <c r="SDE1" s="181"/>
      <c r="SDF1" s="181"/>
      <c r="SDG1" s="181"/>
      <c r="SDH1" s="181"/>
      <c r="SDI1" s="181"/>
      <c r="SDJ1" s="181"/>
      <c r="SDK1" s="181"/>
      <c r="SDL1" s="181"/>
      <c r="SDM1" s="182"/>
      <c r="SDN1" s="183"/>
      <c r="SDO1" s="184"/>
      <c r="SDP1" s="184"/>
      <c r="SDQ1" s="184"/>
      <c r="SDR1" s="184"/>
      <c r="SDS1" s="184"/>
      <c r="SDT1" s="184"/>
      <c r="SDU1" s="184"/>
      <c r="SDV1" s="184"/>
      <c r="SDW1" s="185"/>
      <c r="SDX1" s="180"/>
      <c r="SDY1" s="181"/>
      <c r="SDZ1" s="181"/>
      <c r="SEA1" s="181"/>
      <c r="SEB1" s="181"/>
      <c r="SEC1" s="181"/>
      <c r="SED1" s="181"/>
      <c r="SEE1" s="181"/>
      <c r="SEF1" s="181"/>
      <c r="SEG1" s="182"/>
      <c r="SEH1" s="183"/>
      <c r="SEI1" s="184"/>
      <c r="SEJ1" s="184"/>
      <c r="SEK1" s="184"/>
      <c r="SEL1" s="184"/>
      <c r="SEM1" s="184"/>
      <c r="SEN1" s="184"/>
      <c r="SEO1" s="184"/>
      <c r="SEP1" s="184"/>
      <c r="SEQ1" s="185"/>
      <c r="SER1" s="180"/>
      <c r="SES1" s="181"/>
      <c r="SET1" s="181"/>
      <c r="SEU1" s="181"/>
      <c r="SEV1" s="181"/>
      <c r="SEW1" s="181"/>
      <c r="SEX1" s="181"/>
      <c r="SEY1" s="181"/>
      <c r="SEZ1" s="181"/>
      <c r="SFA1" s="182"/>
      <c r="SFB1" s="183"/>
      <c r="SFC1" s="184"/>
      <c r="SFD1" s="184"/>
      <c r="SFE1" s="184"/>
      <c r="SFF1" s="184"/>
      <c r="SFG1" s="184"/>
      <c r="SFH1" s="184"/>
      <c r="SFI1" s="184"/>
      <c r="SFJ1" s="184"/>
      <c r="SFK1" s="185"/>
      <c r="SFL1" s="180"/>
      <c r="SFM1" s="181"/>
      <c r="SFN1" s="181"/>
      <c r="SFO1" s="181"/>
      <c r="SFP1" s="181"/>
      <c r="SFQ1" s="181"/>
      <c r="SFR1" s="181"/>
      <c r="SFS1" s="181"/>
      <c r="SFT1" s="181"/>
      <c r="SFU1" s="182"/>
      <c r="SFV1" s="183"/>
      <c r="SFW1" s="184"/>
      <c r="SFX1" s="184"/>
      <c r="SFY1" s="184"/>
      <c r="SFZ1" s="184"/>
      <c r="SGA1" s="184"/>
      <c r="SGB1" s="184"/>
      <c r="SGC1" s="184"/>
      <c r="SGD1" s="184"/>
      <c r="SGE1" s="185"/>
      <c r="SGF1" s="180"/>
      <c r="SGG1" s="181"/>
      <c r="SGH1" s="181"/>
      <c r="SGI1" s="181"/>
      <c r="SGJ1" s="181"/>
      <c r="SGK1" s="181"/>
      <c r="SGL1" s="181"/>
      <c r="SGM1" s="181"/>
      <c r="SGN1" s="181"/>
      <c r="SGO1" s="182"/>
      <c r="SGP1" s="183"/>
      <c r="SGQ1" s="184"/>
      <c r="SGR1" s="184"/>
      <c r="SGS1" s="184"/>
      <c r="SGT1" s="184"/>
      <c r="SGU1" s="184"/>
      <c r="SGV1" s="184"/>
      <c r="SGW1" s="184"/>
      <c r="SGX1" s="184"/>
      <c r="SGY1" s="185"/>
      <c r="SGZ1" s="180"/>
      <c r="SHA1" s="181"/>
      <c r="SHB1" s="181"/>
      <c r="SHC1" s="181"/>
      <c r="SHD1" s="181"/>
      <c r="SHE1" s="181"/>
      <c r="SHF1" s="181"/>
      <c r="SHG1" s="181"/>
      <c r="SHH1" s="181"/>
      <c r="SHI1" s="182"/>
      <c r="SHJ1" s="183"/>
      <c r="SHK1" s="184"/>
      <c r="SHL1" s="184"/>
      <c r="SHM1" s="184"/>
      <c r="SHN1" s="184"/>
      <c r="SHO1" s="184"/>
      <c r="SHP1" s="184"/>
      <c r="SHQ1" s="184"/>
      <c r="SHR1" s="184"/>
      <c r="SHS1" s="185"/>
      <c r="SHT1" s="180"/>
      <c r="SHU1" s="181"/>
      <c r="SHV1" s="181"/>
      <c r="SHW1" s="181"/>
      <c r="SHX1" s="181"/>
      <c r="SHY1" s="181"/>
      <c r="SHZ1" s="181"/>
      <c r="SIA1" s="181"/>
      <c r="SIB1" s="181"/>
      <c r="SIC1" s="182"/>
      <c r="SID1" s="183"/>
      <c r="SIE1" s="184"/>
      <c r="SIF1" s="184"/>
      <c r="SIG1" s="184"/>
      <c r="SIH1" s="184"/>
      <c r="SII1" s="184"/>
      <c r="SIJ1" s="184"/>
      <c r="SIK1" s="184"/>
      <c r="SIL1" s="184"/>
      <c r="SIM1" s="185"/>
      <c r="SIN1" s="180"/>
      <c r="SIO1" s="181"/>
      <c r="SIP1" s="181"/>
      <c r="SIQ1" s="181"/>
      <c r="SIR1" s="181"/>
      <c r="SIS1" s="181"/>
      <c r="SIT1" s="181"/>
      <c r="SIU1" s="181"/>
      <c r="SIV1" s="181"/>
      <c r="SIW1" s="182"/>
      <c r="SIX1" s="183"/>
      <c r="SIY1" s="184"/>
      <c r="SIZ1" s="184"/>
      <c r="SJA1" s="184"/>
      <c r="SJB1" s="184"/>
      <c r="SJC1" s="184"/>
      <c r="SJD1" s="184"/>
      <c r="SJE1" s="184"/>
      <c r="SJF1" s="184"/>
      <c r="SJG1" s="185"/>
      <c r="SJH1" s="180"/>
      <c r="SJI1" s="181"/>
      <c r="SJJ1" s="181"/>
      <c r="SJK1" s="181"/>
      <c r="SJL1" s="181"/>
      <c r="SJM1" s="181"/>
      <c r="SJN1" s="181"/>
      <c r="SJO1" s="181"/>
      <c r="SJP1" s="181"/>
      <c r="SJQ1" s="182"/>
      <c r="SJR1" s="183"/>
      <c r="SJS1" s="184"/>
      <c r="SJT1" s="184"/>
      <c r="SJU1" s="184"/>
      <c r="SJV1" s="184"/>
      <c r="SJW1" s="184"/>
      <c r="SJX1" s="184"/>
      <c r="SJY1" s="184"/>
      <c r="SJZ1" s="184"/>
      <c r="SKA1" s="185"/>
      <c r="SKB1" s="180"/>
      <c r="SKC1" s="181"/>
      <c r="SKD1" s="181"/>
      <c r="SKE1" s="181"/>
      <c r="SKF1" s="181"/>
      <c r="SKG1" s="181"/>
      <c r="SKH1" s="181"/>
      <c r="SKI1" s="181"/>
      <c r="SKJ1" s="181"/>
      <c r="SKK1" s="182"/>
      <c r="SKL1" s="183"/>
      <c r="SKM1" s="184"/>
      <c r="SKN1" s="184"/>
      <c r="SKO1" s="184"/>
      <c r="SKP1" s="184"/>
      <c r="SKQ1" s="184"/>
      <c r="SKR1" s="184"/>
      <c r="SKS1" s="184"/>
      <c r="SKT1" s="184"/>
      <c r="SKU1" s="185"/>
      <c r="SKV1" s="180"/>
      <c r="SKW1" s="181"/>
      <c r="SKX1" s="181"/>
      <c r="SKY1" s="181"/>
      <c r="SKZ1" s="181"/>
      <c r="SLA1" s="181"/>
      <c r="SLB1" s="181"/>
      <c r="SLC1" s="181"/>
      <c r="SLD1" s="181"/>
      <c r="SLE1" s="182"/>
      <c r="SLF1" s="183"/>
      <c r="SLG1" s="184"/>
      <c r="SLH1" s="184"/>
      <c r="SLI1" s="184"/>
      <c r="SLJ1" s="184"/>
      <c r="SLK1" s="184"/>
      <c r="SLL1" s="184"/>
      <c r="SLM1" s="184"/>
      <c r="SLN1" s="184"/>
      <c r="SLO1" s="185"/>
      <c r="SLP1" s="180"/>
      <c r="SLQ1" s="181"/>
      <c r="SLR1" s="181"/>
      <c r="SLS1" s="181"/>
      <c r="SLT1" s="181"/>
      <c r="SLU1" s="181"/>
      <c r="SLV1" s="181"/>
      <c r="SLW1" s="181"/>
      <c r="SLX1" s="181"/>
      <c r="SLY1" s="182"/>
      <c r="SLZ1" s="183"/>
      <c r="SMA1" s="184"/>
      <c r="SMB1" s="184"/>
      <c r="SMC1" s="184"/>
      <c r="SMD1" s="184"/>
      <c r="SME1" s="184"/>
      <c r="SMF1" s="184"/>
      <c r="SMG1" s="184"/>
      <c r="SMH1" s="184"/>
      <c r="SMI1" s="185"/>
      <c r="SMJ1" s="180"/>
      <c r="SMK1" s="181"/>
      <c r="SML1" s="181"/>
      <c r="SMM1" s="181"/>
      <c r="SMN1" s="181"/>
      <c r="SMO1" s="181"/>
      <c r="SMP1" s="181"/>
      <c r="SMQ1" s="181"/>
      <c r="SMR1" s="181"/>
      <c r="SMS1" s="182"/>
      <c r="SMT1" s="183"/>
      <c r="SMU1" s="184"/>
      <c r="SMV1" s="184"/>
      <c r="SMW1" s="184"/>
      <c r="SMX1" s="184"/>
      <c r="SMY1" s="184"/>
      <c r="SMZ1" s="184"/>
      <c r="SNA1" s="184"/>
      <c r="SNB1" s="184"/>
      <c r="SNC1" s="185"/>
      <c r="SND1" s="180"/>
      <c r="SNE1" s="181"/>
      <c r="SNF1" s="181"/>
      <c r="SNG1" s="181"/>
      <c r="SNH1" s="181"/>
      <c r="SNI1" s="181"/>
      <c r="SNJ1" s="181"/>
      <c r="SNK1" s="181"/>
      <c r="SNL1" s="181"/>
      <c r="SNM1" s="182"/>
      <c r="SNN1" s="183"/>
      <c r="SNO1" s="184"/>
      <c r="SNP1" s="184"/>
      <c r="SNQ1" s="184"/>
      <c r="SNR1" s="184"/>
      <c r="SNS1" s="184"/>
      <c r="SNT1" s="184"/>
      <c r="SNU1" s="184"/>
      <c r="SNV1" s="184"/>
      <c r="SNW1" s="185"/>
      <c r="SNX1" s="180"/>
      <c r="SNY1" s="181"/>
      <c r="SNZ1" s="181"/>
      <c r="SOA1" s="181"/>
      <c r="SOB1" s="181"/>
      <c r="SOC1" s="181"/>
      <c r="SOD1" s="181"/>
      <c r="SOE1" s="181"/>
      <c r="SOF1" s="181"/>
      <c r="SOG1" s="182"/>
      <c r="SOH1" s="183"/>
      <c r="SOI1" s="184"/>
      <c r="SOJ1" s="184"/>
      <c r="SOK1" s="184"/>
      <c r="SOL1" s="184"/>
      <c r="SOM1" s="184"/>
      <c r="SON1" s="184"/>
      <c r="SOO1" s="184"/>
      <c r="SOP1" s="184"/>
      <c r="SOQ1" s="185"/>
      <c r="SOR1" s="180"/>
      <c r="SOS1" s="181"/>
      <c r="SOT1" s="181"/>
      <c r="SOU1" s="181"/>
      <c r="SOV1" s="181"/>
      <c r="SOW1" s="181"/>
      <c r="SOX1" s="181"/>
      <c r="SOY1" s="181"/>
      <c r="SOZ1" s="181"/>
      <c r="SPA1" s="182"/>
      <c r="SPB1" s="183"/>
      <c r="SPC1" s="184"/>
      <c r="SPD1" s="184"/>
      <c r="SPE1" s="184"/>
      <c r="SPF1" s="184"/>
      <c r="SPG1" s="184"/>
      <c r="SPH1" s="184"/>
      <c r="SPI1" s="184"/>
      <c r="SPJ1" s="184"/>
      <c r="SPK1" s="185"/>
      <c r="SPL1" s="180"/>
      <c r="SPM1" s="181"/>
      <c r="SPN1" s="181"/>
      <c r="SPO1" s="181"/>
      <c r="SPP1" s="181"/>
      <c r="SPQ1" s="181"/>
      <c r="SPR1" s="181"/>
      <c r="SPS1" s="181"/>
      <c r="SPT1" s="181"/>
      <c r="SPU1" s="182"/>
      <c r="SPV1" s="183"/>
      <c r="SPW1" s="184"/>
      <c r="SPX1" s="184"/>
      <c r="SPY1" s="184"/>
      <c r="SPZ1" s="184"/>
      <c r="SQA1" s="184"/>
      <c r="SQB1" s="184"/>
      <c r="SQC1" s="184"/>
      <c r="SQD1" s="184"/>
      <c r="SQE1" s="185"/>
      <c r="SQF1" s="180"/>
      <c r="SQG1" s="181"/>
      <c r="SQH1" s="181"/>
      <c r="SQI1" s="181"/>
      <c r="SQJ1" s="181"/>
      <c r="SQK1" s="181"/>
      <c r="SQL1" s="181"/>
      <c r="SQM1" s="181"/>
      <c r="SQN1" s="181"/>
      <c r="SQO1" s="182"/>
      <c r="SQP1" s="183"/>
      <c r="SQQ1" s="184"/>
      <c r="SQR1" s="184"/>
      <c r="SQS1" s="184"/>
      <c r="SQT1" s="184"/>
      <c r="SQU1" s="184"/>
      <c r="SQV1" s="184"/>
      <c r="SQW1" s="184"/>
      <c r="SQX1" s="184"/>
      <c r="SQY1" s="185"/>
      <c r="SQZ1" s="180"/>
      <c r="SRA1" s="181"/>
      <c r="SRB1" s="181"/>
      <c r="SRC1" s="181"/>
      <c r="SRD1" s="181"/>
      <c r="SRE1" s="181"/>
      <c r="SRF1" s="181"/>
      <c r="SRG1" s="181"/>
      <c r="SRH1" s="181"/>
      <c r="SRI1" s="182"/>
      <c r="SRJ1" s="183"/>
      <c r="SRK1" s="184"/>
      <c r="SRL1" s="184"/>
      <c r="SRM1" s="184"/>
      <c r="SRN1" s="184"/>
      <c r="SRO1" s="184"/>
      <c r="SRP1" s="184"/>
      <c r="SRQ1" s="184"/>
      <c r="SRR1" s="184"/>
      <c r="SRS1" s="185"/>
      <c r="SRT1" s="180"/>
      <c r="SRU1" s="181"/>
      <c r="SRV1" s="181"/>
      <c r="SRW1" s="181"/>
      <c r="SRX1" s="181"/>
      <c r="SRY1" s="181"/>
      <c r="SRZ1" s="181"/>
      <c r="SSA1" s="181"/>
      <c r="SSB1" s="181"/>
      <c r="SSC1" s="182"/>
      <c r="SSD1" s="183"/>
      <c r="SSE1" s="184"/>
      <c r="SSF1" s="184"/>
      <c r="SSG1" s="184"/>
      <c r="SSH1" s="184"/>
      <c r="SSI1" s="184"/>
      <c r="SSJ1" s="184"/>
      <c r="SSK1" s="184"/>
      <c r="SSL1" s="184"/>
      <c r="SSM1" s="185"/>
      <c r="SSN1" s="180"/>
      <c r="SSO1" s="181"/>
      <c r="SSP1" s="181"/>
      <c r="SSQ1" s="181"/>
      <c r="SSR1" s="181"/>
      <c r="SSS1" s="181"/>
      <c r="SST1" s="181"/>
      <c r="SSU1" s="181"/>
      <c r="SSV1" s="181"/>
      <c r="SSW1" s="182"/>
      <c r="SSX1" s="183"/>
      <c r="SSY1" s="184"/>
      <c r="SSZ1" s="184"/>
      <c r="STA1" s="184"/>
      <c r="STB1" s="184"/>
      <c r="STC1" s="184"/>
      <c r="STD1" s="184"/>
      <c r="STE1" s="184"/>
      <c r="STF1" s="184"/>
      <c r="STG1" s="185"/>
      <c r="STH1" s="180"/>
      <c r="STI1" s="181"/>
      <c r="STJ1" s="181"/>
      <c r="STK1" s="181"/>
      <c r="STL1" s="181"/>
      <c r="STM1" s="181"/>
      <c r="STN1" s="181"/>
      <c r="STO1" s="181"/>
      <c r="STP1" s="181"/>
      <c r="STQ1" s="182"/>
      <c r="STR1" s="183"/>
      <c r="STS1" s="184"/>
      <c r="STT1" s="184"/>
      <c r="STU1" s="184"/>
      <c r="STV1" s="184"/>
      <c r="STW1" s="184"/>
      <c r="STX1" s="184"/>
      <c r="STY1" s="184"/>
      <c r="STZ1" s="184"/>
      <c r="SUA1" s="185"/>
      <c r="SUB1" s="180"/>
      <c r="SUC1" s="181"/>
      <c r="SUD1" s="181"/>
      <c r="SUE1" s="181"/>
      <c r="SUF1" s="181"/>
      <c r="SUG1" s="181"/>
      <c r="SUH1" s="181"/>
      <c r="SUI1" s="181"/>
      <c r="SUJ1" s="181"/>
      <c r="SUK1" s="182"/>
      <c r="SUL1" s="183"/>
      <c r="SUM1" s="184"/>
      <c r="SUN1" s="184"/>
      <c r="SUO1" s="184"/>
      <c r="SUP1" s="184"/>
      <c r="SUQ1" s="184"/>
      <c r="SUR1" s="184"/>
      <c r="SUS1" s="184"/>
      <c r="SUT1" s="184"/>
      <c r="SUU1" s="185"/>
      <c r="SUV1" s="180"/>
      <c r="SUW1" s="181"/>
      <c r="SUX1" s="181"/>
      <c r="SUY1" s="181"/>
      <c r="SUZ1" s="181"/>
      <c r="SVA1" s="181"/>
      <c r="SVB1" s="181"/>
      <c r="SVC1" s="181"/>
      <c r="SVD1" s="181"/>
      <c r="SVE1" s="182"/>
      <c r="SVF1" s="183"/>
      <c r="SVG1" s="184"/>
      <c r="SVH1" s="184"/>
      <c r="SVI1" s="184"/>
      <c r="SVJ1" s="184"/>
      <c r="SVK1" s="184"/>
      <c r="SVL1" s="184"/>
      <c r="SVM1" s="184"/>
      <c r="SVN1" s="184"/>
      <c r="SVO1" s="185"/>
      <c r="SVP1" s="180"/>
      <c r="SVQ1" s="181"/>
      <c r="SVR1" s="181"/>
      <c r="SVS1" s="181"/>
      <c r="SVT1" s="181"/>
      <c r="SVU1" s="181"/>
      <c r="SVV1" s="181"/>
      <c r="SVW1" s="181"/>
      <c r="SVX1" s="181"/>
      <c r="SVY1" s="182"/>
      <c r="SVZ1" s="183"/>
      <c r="SWA1" s="184"/>
      <c r="SWB1" s="184"/>
      <c r="SWC1" s="184"/>
      <c r="SWD1" s="184"/>
      <c r="SWE1" s="184"/>
      <c r="SWF1" s="184"/>
      <c r="SWG1" s="184"/>
      <c r="SWH1" s="184"/>
      <c r="SWI1" s="185"/>
      <c r="SWJ1" s="180"/>
      <c r="SWK1" s="181"/>
      <c r="SWL1" s="181"/>
      <c r="SWM1" s="181"/>
      <c r="SWN1" s="181"/>
      <c r="SWO1" s="181"/>
      <c r="SWP1" s="181"/>
      <c r="SWQ1" s="181"/>
      <c r="SWR1" s="181"/>
      <c r="SWS1" s="182"/>
      <c r="SWT1" s="183"/>
      <c r="SWU1" s="184"/>
      <c r="SWV1" s="184"/>
      <c r="SWW1" s="184"/>
      <c r="SWX1" s="184"/>
      <c r="SWY1" s="184"/>
      <c r="SWZ1" s="184"/>
      <c r="SXA1" s="184"/>
      <c r="SXB1" s="184"/>
      <c r="SXC1" s="185"/>
      <c r="SXD1" s="180"/>
      <c r="SXE1" s="181"/>
      <c r="SXF1" s="181"/>
      <c r="SXG1" s="181"/>
      <c r="SXH1" s="181"/>
      <c r="SXI1" s="181"/>
      <c r="SXJ1" s="181"/>
      <c r="SXK1" s="181"/>
      <c r="SXL1" s="181"/>
      <c r="SXM1" s="182"/>
      <c r="SXN1" s="183"/>
      <c r="SXO1" s="184"/>
      <c r="SXP1" s="184"/>
      <c r="SXQ1" s="184"/>
      <c r="SXR1" s="184"/>
      <c r="SXS1" s="184"/>
      <c r="SXT1" s="184"/>
      <c r="SXU1" s="184"/>
      <c r="SXV1" s="184"/>
      <c r="SXW1" s="185"/>
      <c r="SXX1" s="180"/>
      <c r="SXY1" s="181"/>
      <c r="SXZ1" s="181"/>
      <c r="SYA1" s="181"/>
      <c r="SYB1" s="181"/>
      <c r="SYC1" s="181"/>
      <c r="SYD1" s="181"/>
      <c r="SYE1" s="181"/>
      <c r="SYF1" s="181"/>
      <c r="SYG1" s="182"/>
      <c r="SYH1" s="183"/>
      <c r="SYI1" s="184"/>
      <c r="SYJ1" s="184"/>
      <c r="SYK1" s="184"/>
      <c r="SYL1" s="184"/>
      <c r="SYM1" s="184"/>
      <c r="SYN1" s="184"/>
      <c r="SYO1" s="184"/>
      <c r="SYP1" s="184"/>
      <c r="SYQ1" s="185"/>
      <c r="SYR1" s="180"/>
      <c r="SYS1" s="181"/>
      <c r="SYT1" s="181"/>
      <c r="SYU1" s="181"/>
      <c r="SYV1" s="181"/>
      <c r="SYW1" s="181"/>
      <c r="SYX1" s="181"/>
      <c r="SYY1" s="181"/>
      <c r="SYZ1" s="181"/>
      <c r="SZA1" s="182"/>
      <c r="SZB1" s="183"/>
      <c r="SZC1" s="184"/>
      <c r="SZD1" s="184"/>
      <c r="SZE1" s="184"/>
      <c r="SZF1" s="184"/>
      <c r="SZG1" s="184"/>
      <c r="SZH1" s="184"/>
      <c r="SZI1" s="184"/>
      <c r="SZJ1" s="184"/>
      <c r="SZK1" s="185"/>
      <c r="SZL1" s="180"/>
      <c r="SZM1" s="181"/>
      <c r="SZN1" s="181"/>
      <c r="SZO1" s="181"/>
      <c r="SZP1" s="181"/>
      <c r="SZQ1" s="181"/>
      <c r="SZR1" s="181"/>
      <c r="SZS1" s="181"/>
      <c r="SZT1" s="181"/>
      <c r="SZU1" s="182"/>
      <c r="SZV1" s="183"/>
      <c r="SZW1" s="184"/>
      <c r="SZX1" s="184"/>
      <c r="SZY1" s="184"/>
      <c r="SZZ1" s="184"/>
      <c r="TAA1" s="184"/>
      <c r="TAB1" s="184"/>
      <c r="TAC1" s="184"/>
      <c r="TAD1" s="184"/>
      <c r="TAE1" s="185"/>
      <c r="TAF1" s="180"/>
      <c r="TAG1" s="181"/>
      <c r="TAH1" s="181"/>
      <c r="TAI1" s="181"/>
      <c r="TAJ1" s="181"/>
      <c r="TAK1" s="181"/>
      <c r="TAL1" s="181"/>
      <c r="TAM1" s="181"/>
      <c r="TAN1" s="181"/>
      <c r="TAO1" s="182"/>
      <c r="TAP1" s="183"/>
      <c r="TAQ1" s="184"/>
      <c r="TAR1" s="184"/>
      <c r="TAS1" s="184"/>
      <c r="TAT1" s="184"/>
      <c r="TAU1" s="184"/>
      <c r="TAV1" s="184"/>
      <c r="TAW1" s="184"/>
      <c r="TAX1" s="184"/>
      <c r="TAY1" s="185"/>
      <c r="TAZ1" s="180"/>
      <c r="TBA1" s="181"/>
      <c r="TBB1" s="181"/>
      <c r="TBC1" s="181"/>
      <c r="TBD1" s="181"/>
      <c r="TBE1" s="181"/>
      <c r="TBF1" s="181"/>
      <c r="TBG1" s="181"/>
      <c r="TBH1" s="181"/>
      <c r="TBI1" s="182"/>
      <c r="TBJ1" s="183"/>
      <c r="TBK1" s="184"/>
      <c r="TBL1" s="184"/>
      <c r="TBM1" s="184"/>
      <c r="TBN1" s="184"/>
      <c r="TBO1" s="184"/>
      <c r="TBP1" s="184"/>
      <c r="TBQ1" s="184"/>
      <c r="TBR1" s="184"/>
      <c r="TBS1" s="185"/>
      <c r="TBT1" s="180"/>
      <c r="TBU1" s="181"/>
      <c r="TBV1" s="181"/>
      <c r="TBW1" s="181"/>
      <c r="TBX1" s="181"/>
      <c r="TBY1" s="181"/>
      <c r="TBZ1" s="181"/>
      <c r="TCA1" s="181"/>
      <c r="TCB1" s="181"/>
      <c r="TCC1" s="182"/>
      <c r="TCD1" s="183"/>
      <c r="TCE1" s="184"/>
      <c r="TCF1" s="184"/>
      <c r="TCG1" s="184"/>
      <c r="TCH1" s="184"/>
      <c r="TCI1" s="184"/>
      <c r="TCJ1" s="184"/>
      <c r="TCK1" s="184"/>
      <c r="TCL1" s="184"/>
      <c r="TCM1" s="185"/>
      <c r="TCN1" s="180"/>
      <c r="TCO1" s="181"/>
      <c r="TCP1" s="181"/>
      <c r="TCQ1" s="181"/>
      <c r="TCR1" s="181"/>
      <c r="TCS1" s="181"/>
      <c r="TCT1" s="181"/>
      <c r="TCU1" s="181"/>
      <c r="TCV1" s="181"/>
      <c r="TCW1" s="182"/>
      <c r="TCX1" s="183"/>
      <c r="TCY1" s="184"/>
      <c r="TCZ1" s="184"/>
      <c r="TDA1" s="184"/>
      <c r="TDB1" s="184"/>
      <c r="TDC1" s="184"/>
      <c r="TDD1" s="184"/>
      <c r="TDE1" s="184"/>
      <c r="TDF1" s="184"/>
      <c r="TDG1" s="185"/>
      <c r="TDH1" s="180"/>
      <c r="TDI1" s="181"/>
      <c r="TDJ1" s="181"/>
      <c r="TDK1" s="181"/>
      <c r="TDL1" s="181"/>
      <c r="TDM1" s="181"/>
      <c r="TDN1" s="181"/>
      <c r="TDO1" s="181"/>
      <c r="TDP1" s="181"/>
      <c r="TDQ1" s="182"/>
      <c r="TDR1" s="183"/>
      <c r="TDS1" s="184"/>
      <c r="TDT1" s="184"/>
      <c r="TDU1" s="184"/>
      <c r="TDV1" s="184"/>
      <c r="TDW1" s="184"/>
      <c r="TDX1" s="184"/>
      <c r="TDY1" s="184"/>
      <c r="TDZ1" s="184"/>
      <c r="TEA1" s="185"/>
      <c r="TEB1" s="180"/>
      <c r="TEC1" s="181"/>
      <c r="TED1" s="181"/>
      <c r="TEE1" s="181"/>
      <c r="TEF1" s="181"/>
      <c r="TEG1" s="181"/>
      <c r="TEH1" s="181"/>
      <c r="TEI1" s="181"/>
      <c r="TEJ1" s="181"/>
      <c r="TEK1" s="182"/>
      <c r="TEL1" s="183"/>
      <c r="TEM1" s="184"/>
      <c r="TEN1" s="184"/>
      <c r="TEO1" s="184"/>
      <c r="TEP1" s="184"/>
      <c r="TEQ1" s="184"/>
      <c r="TER1" s="184"/>
      <c r="TES1" s="184"/>
      <c r="TET1" s="184"/>
      <c r="TEU1" s="185"/>
      <c r="TEV1" s="180"/>
      <c r="TEW1" s="181"/>
      <c r="TEX1" s="181"/>
      <c r="TEY1" s="181"/>
      <c r="TEZ1" s="181"/>
      <c r="TFA1" s="181"/>
      <c r="TFB1" s="181"/>
      <c r="TFC1" s="181"/>
      <c r="TFD1" s="181"/>
      <c r="TFE1" s="182"/>
      <c r="TFF1" s="183"/>
      <c r="TFG1" s="184"/>
      <c r="TFH1" s="184"/>
      <c r="TFI1" s="184"/>
      <c r="TFJ1" s="184"/>
      <c r="TFK1" s="184"/>
      <c r="TFL1" s="184"/>
      <c r="TFM1" s="184"/>
      <c r="TFN1" s="184"/>
      <c r="TFO1" s="185"/>
      <c r="TFP1" s="180"/>
      <c r="TFQ1" s="181"/>
      <c r="TFR1" s="181"/>
      <c r="TFS1" s="181"/>
      <c r="TFT1" s="181"/>
      <c r="TFU1" s="181"/>
      <c r="TFV1" s="181"/>
      <c r="TFW1" s="181"/>
      <c r="TFX1" s="181"/>
      <c r="TFY1" s="182"/>
      <c r="TFZ1" s="183"/>
      <c r="TGA1" s="184"/>
      <c r="TGB1" s="184"/>
      <c r="TGC1" s="184"/>
      <c r="TGD1" s="184"/>
      <c r="TGE1" s="184"/>
      <c r="TGF1" s="184"/>
      <c r="TGG1" s="184"/>
      <c r="TGH1" s="184"/>
      <c r="TGI1" s="185"/>
      <c r="TGJ1" s="180"/>
      <c r="TGK1" s="181"/>
      <c r="TGL1" s="181"/>
      <c r="TGM1" s="181"/>
      <c r="TGN1" s="181"/>
      <c r="TGO1" s="181"/>
      <c r="TGP1" s="181"/>
      <c r="TGQ1" s="181"/>
      <c r="TGR1" s="181"/>
      <c r="TGS1" s="182"/>
      <c r="TGT1" s="183"/>
      <c r="TGU1" s="184"/>
      <c r="TGV1" s="184"/>
      <c r="TGW1" s="184"/>
      <c r="TGX1" s="184"/>
      <c r="TGY1" s="184"/>
      <c r="TGZ1" s="184"/>
      <c r="THA1" s="184"/>
      <c r="THB1" s="184"/>
      <c r="THC1" s="185"/>
      <c r="THD1" s="180"/>
      <c r="THE1" s="181"/>
      <c r="THF1" s="181"/>
      <c r="THG1" s="181"/>
      <c r="THH1" s="181"/>
      <c r="THI1" s="181"/>
      <c r="THJ1" s="181"/>
      <c r="THK1" s="181"/>
      <c r="THL1" s="181"/>
      <c r="THM1" s="182"/>
      <c r="THN1" s="183"/>
      <c r="THO1" s="184"/>
      <c r="THP1" s="184"/>
      <c r="THQ1" s="184"/>
      <c r="THR1" s="184"/>
      <c r="THS1" s="184"/>
      <c r="THT1" s="184"/>
      <c r="THU1" s="184"/>
      <c r="THV1" s="184"/>
      <c r="THW1" s="185"/>
      <c r="THX1" s="180"/>
      <c r="THY1" s="181"/>
      <c r="THZ1" s="181"/>
      <c r="TIA1" s="181"/>
      <c r="TIB1" s="181"/>
      <c r="TIC1" s="181"/>
      <c r="TID1" s="181"/>
      <c r="TIE1" s="181"/>
      <c r="TIF1" s="181"/>
      <c r="TIG1" s="182"/>
      <c r="TIH1" s="183"/>
      <c r="TII1" s="184"/>
      <c r="TIJ1" s="184"/>
      <c r="TIK1" s="184"/>
      <c r="TIL1" s="184"/>
      <c r="TIM1" s="184"/>
      <c r="TIN1" s="184"/>
      <c r="TIO1" s="184"/>
      <c r="TIP1" s="184"/>
      <c r="TIQ1" s="185"/>
      <c r="TIR1" s="180"/>
      <c r="TIS1" s="181"/>
      <c r="TIT1" s="181"/>
      <c r="TIU1" s="181"/>
      <c r="TIV1" s="181"/>
      <c r="TIW1" s="181"/>
      <c r="TIX1" s="181"/>
      <c r="TIY1" s="181"/>
      <c r="TIZ1" s="181"/>
      <c r="TJA1" s="182"/>
      <c r="TJB1" s="183"/>
      <c r="TJC1" s="184"/>
      <c r="TJD1" s="184"/>
      <c r="TJE1" s="184"/>
      <c r="TJF1" s="184"/>
      <c r="TJG1" s="184"/>
      <c r="TJH1" s="184"/>
      <c r="TJI1" s="184"/>
      <c r="TJJ1" s="184"/>
      <c r="TJK1" s="185"/>
      <c r="TJL1" s="180"/>
      <c r="TJM1" s="181"/>
      <c r="TJN1" s="181"/>
      <c r="TJO1" s="181"/>
      <c r="TJP1" s="181"/>
      <c r="TJQ1" s="181"/>
      <c r="TJR1" s="181"/>
      <c r="TJS1" s="181"/>
      <c r="TJT1" s="181"/>
      <c r="TJU1" s="182"/>
      <c r="TJV1" s="183"/>
      <c r="TJW1" s="184"/>
      <c r="TJX1" s="184"/>
      <c r="TJY1" s="184"/>
      <c r="TJZ1" s="184"/>
      <c r="TKA1" s="184"/>
      <c r="TKB1" s="184"/>
      <c r="TKC1" s="184"/>
      <c r="TKD1" s="184"/>
      <c r="TKE1" s="185"/>
      <c r="TKF1" s="180"/>
      <c r="TKG1" s="181"/>
      <c r="TKH1" s="181"/>
      <c r="TKI1" s="181"/>
      <c r="TKJ1" s="181"/>
      <c r="TKK1" s="181"/>
      <c r="TKL1" s="181"/>
      <c r="TKM1" s="181"/>
      <c r="TKN1" s="181"/>
      <c r="TKO1" s="182"/>
      <c r="TKP1" s="183"/>
      <c r="TKQ1" s="184"/>
      <c r="TKR1" s="184"/>
      <c r="TKS1" s="184"/>
      <c r="TKT1" s="184"/>
      <c r="TKU1" s="184"/>
      <c r="TKV1" s="184"/>
      <c r="TKW1" s="184"/>
      <c r="TKX1" s="184"/>
      <c r="TKY1" s="185"/>
      <c r="TKZ1" s="180"/>
      <c r="TLA1" s="181"/>
      <c r="TLB1" s="181"/>
      <c r="TLC1" s="181"/>
      <c r="TLD1" s="181"/>
      <c r="TLE1" s="181"/>
      <c r="TLF1" s="181"/>
      <c r="TLG1" s="181"/>
      <c r="TLH1" s="181"/>
      <c r="TLI1" s="182"/>
      <c r="TLJ1" s="183"/>
      <c r="TLK1" s="184"/>
      <c r="TLL1" s="184"/>
      <c r="TLM1" s="184"/>
      <c r="TLN1" s="184"/>
      <c r="TLO1" s="184"/>
      <c r="TLP1" s="184"/>
      <c r="TLQ1" s="184"/>
      <c r="TLR1" s="184"/>
      <c r="TLS1" s="185"/>
      <c r="TLT1" s="180"/>
      <c r="TLU1" s="181"/>
      <c r="TLV1" s="181"/>
      <c r="TLW1" s="181"/>
      <c r="TLX1" s="181"/>
      <c r="TLY1" s="181"/>
      <c r="TLZ1" s="181"/>
      <c r="TMA1" s="181"/>
      <c r="TMB1" s="181"/>
      <c r="TMC1" s="182"/>
      <c r="TMD1" s="183"/>
      <c r="TME1" s="184"/>
      <c r="TMF1" s="184"/>
      <c r="TMG1" s="184"/>
      <c r="TMH1" s="184"/>
      <c r="TMI1" s="184"/>
      <c r="TMJ1" s="184"/>
      <c r="TMK1" s="184"/>
      <c r="TML1" s="184"/>
      <c r="TMM1" s="185"/>
      <c r="TMN1" s="180"/>
      <c r="TMO1" s="181"/>
      <c r="TMP1" s="181"/>
      <c r="TMQ1" s="181"/>
      <c r="TMR1" s="181"/>
      <c r="TMS1" s="181"/>
      <c r="TMT1" s="181"/>
      <c r="TMU1" s="181"/>
      <c r="TMV1" s="181"/>
      <c r="TMW1" s="182"/>
      <c r="TMX1" s="183"/>
      <c r="TMY1" s="184"/>
      <c r="TMZ1" s="184"/>
      <c r="TNA1" s="184"/>
      <c r="TNB1" s="184"/>
      <c r="TNC1" s="184"/>
      <c r="TND1" s="184"/>
      <c r="TNE1" s="184"/>
      <c r="TNF1" s="184"/>
      <c r="TNG1" s="185"/>
      <c r="TNH1" s="180"/>
      <c r="TNI1" s="181"/>
      <c r="TNJ1" s="181"/>
      <c r="TNK1" s="181"/>
      <c r="TNL1" s="181"/>
      <c r="TNM1" s="181"/>
      <c r="TNN1" s="181"/>
      <c r="TNO1" s="181"/>
      <c r="TNP1" s="181"/>
      <c r="TNQ1" s="182"/>
      <c r="TNR1" s="183"/>
      <c r="TNS1" s="184"/>
      <c r="TNT1" s="184"/>
      <c r="TNU1" s="184"/>
      <c r="TNV1" s="184"/>
      <c r="TNW1" s="184"/>
      <c r="TNX1" s="184"/>
      <c r="TNY1" s="184"/>
      <c r="TNZ1" s="184"/>
      <c r="TOA1" s="185"/>
      <c r="TOB1" s="180"/>
      <c r="TOC1" s="181"/>
      <c r="TOD1" s="181"/>
      <c r="TOE1" s="181"/>
      <c r="TOF1" s="181"/>
      <c r="TOG1" s="181"/>
      <c r="TOH1" s="181"/>
      <c r="TOI1" s="181"/>
      <c r="TOJ1" s="181"/>
      <c r="TOK1" s="182"/>
      <c r="TOL1" s="183"/>
      <c r="TOM1" s="184"/>
      <c r="TON1" s="184"/>
      <c r="TOO1" s="184"/>
      <c r="TOP1" s="184"/>
      <c r="TOQ1" s="184"/>
      <c r="TOR1" s="184"/>
      <c r="TOS1" s="184"/>
      <c r="TOT1" s="184"/>
      <c r="TOU1" s="185"/>
      <c r="TOV1" s="180"/>
      <c r="TOW1" s="181"/>
      <c r="TOX1" s="181"/>
      <c r="TOY1" s="181"/>
      <c r="TOZ1" s="181"/>
      <c r="TPA1" s="181"/>
      <c r="TPB1" s="181"/>
      <c r="TPC1" s="181"/>
      <c r="TPD1" s="181"/>
      <c r="TPE1" s="182"/>
      <c r="TPF1" s="183"/>
      <c r="TPG1" s="184"/>
      <c r="TPH1" s="184"/>
      <c r="TPI1" s="184"/>
      <c r="TPJ1" s="184"/>
      <c r="TPK1" s="184"/>
      <c r="TPL1" s="184"/>
      <c r="TPM1" s="184"/>
      <c r="TPN1" s="184"/>
      <c r="TPO1" s="185"/>
      <c r="TPP1" s="180"/>
      <c r="TPQ1" s="181"/>
      <c r="TPR1" s="181"/>
      <c r="TPS1" s="181"/>
      <c r="TPT1" s="181"/>
      <c r="TPU1" s="181"/>
      <c r="TPV1" s="181"/>
      <c r="TPW1" s="181"/>
      <c r="TPX1" s="181"/>
      <c r="TPY1" s="182"/>
      <c r="TPZ1" s="183"/>
      <c r="TQA1" s="184"/>
      <c r="TQB1" s="184"/>
      <c r="TQC1" s="184"/>
      <c r="TQD1" s="184"/>
      <c r="TQE1" s="184"/>
      <c r="TQF1" s="184"/>
      <c r="TQG1" s="184"/>
      <c r="TQH1" s="184"/>
      <c r="TQI1" s="185"/>
      <c r="TQJ1" s="180"/>
      <c r="TQK1" s="181"/>
      <c r="TQL1" s="181"/>
      <c r="TQM1" s="181"/>
      <c r="TQN1" s="181"/>
      <c r="TQO1" s="181"/>
      <c r="TQP1" s="181"/>
      <c r="TQQ1" s="181"/>
      <c r="TQR1" s="181"/>
      <c r="TQS1" s="182"/>
      <c r="TQT1" s="183"/>
      <c r="TQU1" s="184"/>
      <c r="TQV1" s="184"/>
      <c r="TQW1" s="184"/>
      <c r="TQX1" s="184"/>
      <c r="TQY1" s="184"/>
      <c r="TQZ1" s="184"/>
      <c r="TRA1" s="184"/>
      <c r="TRB1" s="184"/>
      <c r="TRC1" s="185"/>
      <c r="TRD1" s="180"/>
      <c r="TRE1" s="181"/>
      <c r="TRF1" s="181"/>
      <c r="TRG1" s="181"/>
      <c r="TRH1" s="181"/>
      <c r="TRI1" s="181"/>
      <c r="TRJ1" s="181"/>
      <c r="TRK1" s="181"/>
      <c r="TRL1" s="181"/>
      <c r="TRM1" s="182"/>
      <c r="TRN1" s="183"/>
      <c r="TRO1" s="184"/>
      <c r="TRP1" s="184"/>
      <c r="TRQ1" s="184"/>
      <c r="TRR1" s="184"/>
      <c r="TRS1" s="184"/>
      <c r="TRT1" s="184"/>
      <c r="TRU1" s="184"/>
      <c r="TRV1" s="184"/>
      <c r="TRW1" s="185"/>
      <c r="TRX1" s="180"/>
      <c r="TRY1" s="181"/>
      <c r="TRZ1" s="181"/>
      <c r="TSA1" s="181"/>
      <c r="TSB1" s="181"/>
      <c r="TSC1" s="181"/>
      <c r="TSD1" s="181"/>
      <c r="TSE1" s="181"/>
      <c r="TSF1" s="181"/>
      <c r="TSG1" s="182"/>
      <c r="TSH1" s="183"/>
      <c r="TSI1" s="184"/>
      <c r="TSJ1" s="184"/>
      <c r="TSK1" s="184"/>
      <c r="TSL1" s="184"/>
      <c r="TSM1" s="184"/>
      <c r="TSN1" s="184"/>
      <c r="TSO1" s="184"/>
      <c r="TSP1" s="184"/>
      <c r="TSQ1" s="185"/>
      <c r="TSR1" s="180"/>
      <c r="TSS1" s="181"/>
      <c r="TST1" s="181"/>
      <c r="TSU1" s="181"/>
      <c r="TSV1" s="181"/>
      <c r="TSW1" s="181"/>
      <c r="TSX1" s="181"/>
      <c r="TSY1" s="181"/>
      <c r="TSZ1" s="181"/>
      <c r="TTA1" s="182"/>
      <c r="TTB1" s="183"/>
      <c r="TTC1" s="184"/>
      <c r="TTD1" s="184"/>
      <c r="TTE1" s="184"/>
      <c r="TTF1" s="184"/>
      <c r="TTG1" s="184"/>
      <c r="TTH1" s="184"/>
      <c r="TTI1" s="184"/>
      <c r="TTJ1" s="184"/>
      <c r="TTK1" s="185"/>
      <c r="TTL1" s="180"/>
      <c r="TTM1" s="181"/>
      <c r="TTN1" s="181"/>
      <c r="TTO1" s="181"/>
      <c r="TTP1" s="181"/>
      <c r="TTQ1" s="181"/>
      <c r="TTR1" s="181"/>
      <c r="TTS1" s="181"/>
      <c r="TTT1" s="181"/>
      <c r="TTU1" s="182"/>
      <c r="TTV1" s="183"/>
      <c r="TTW1" s="184"/>
      <c r="TTX1" s="184"/>
      <c r="TTY1" s="184"/>
      <c r="TTZ1" s="184"/>
      <c r="TUA1" s="184"/>
      <c r="TUB1" s="184"/>
      <c r="TUC1" s="184"/>
      <c r="TUD1" s="184"/>
      <c r="TUE1" s="185"/>
      <c r="TUF1" s="180"/>
      <c r="TUG1" s="181"/>
      <c r="TUH1" s="181"/>
      <c r="TUI1" s="181"/>
      <c r="TUJ1" s="181"/>
      <c r="TUK1" s="181"/>
      <c r="TUL1" s="181"/>
      <c r="TUM1" s="181"/>
      <c r="TUN1" s="181"/>
      <c r="TUO1" s="182"/>
      <c r="TUP1" s="183"/>
      <c r="TUQ1" s="184"/>
      <c r="TUR1" s="184"/>
      <c r="TUS1" s="184"/>
      <c r="TUT1" s="184"/>
      <c r="TUU1" s="184"/>
      <c r="TUV1" s="184"/>
      <c r="TUW1" s="184"/>
      <c r="TUX1" s="184"/>
      <c r="TUY1" s="185"/>
      <c r="TUZ1" s="180"/>
      <c r="TVA1" s="181"/>
      <c r="TVB1" s="181"/>
      <c r="TVC1" s="181"/>
      <c r="TVD1" s="181"/>
      <c r="TVE1" s="181"/>
      <c r="TVF1" s="181"/>
      <c r="TVG1" s="181"/>
      <c r="TVH1" s="181"/>
      <c r="TVI1" s="182"/>
      <c r="TVJ1" s="183"/>
      <c r="TVK1" s="184"/>
      <c r="TVL1" s="184"/>
      <c r="TVM1" s="184"/>
      <c r="TVN1" s="184"/>
      <c r="TVO1" s="184"/>
      <c r="TVP1" s="184"/>
      <c r="TVQ1" s="184"/>
      <c r="TVR1" s="184"/>
      <c r="TVS1" s="185"/>
      <c r="TVT1" s="180"/>
      <c r="TVU1" s="181"/>
      <c r="TVV1" s="181"/>
      <c r="TVW1" s="181"/>
      <c r="TVX1" s="181"/>
      <c r="TVY1" s="181"/>
      <c r="TVZ1" s="181"/>
      <c r="TWA1" s="181"/>
      <c r="TWB1" s="181"/>
      <c r="TWC1" s="182"/>
      <c r="TWD1" s="183"/>
      <c r="TWE1" s="184"/>
      <c r="TWF1" s="184"/>
      <c r="TWG1" s="184"/>
      <c r="TWH1" s="184"/>
      <c r="TWI1" s="184"/>
      <c r="TWJ1" s="184"/>
      <c r="TWK1" s="184"/>
      <c r="TWL1" s="184"/>
      <c r="TWM1" s="185"/>
      <c r="TWN1" s="180"/>
      <c r="TWO1" s="181"/>
      <c r="TWP1" s="181"/>
      <c r="TWQ1" s="181"/>
      <c r="TWR1" s="181"/>
      <c r="TWS1" s="181"/>
      <c r="TWT1" s="181"/>
      <c r="TWU1" s="181"/>
      <c r="TWV1" s="181"/>
      <c r="TWW1" s="182"/>
      <c r="TWX1" s="183"/>
      <c r="TWY1" s="184"/>
      <c r="TWZ1" s="184"/>
      <c r="TXA1" s="184"/>
      <c r="TXB1" s="184"/>
      <c r="TXC1" s="184"/>
      <c r="TXD1" s="184"/>
      <c r="TXE1" s="184"/>
      <c r="TXF1" s="184"/>
      <c r="TXG1" s="185"/>
      <c r="TXH1" s="180"/>
      <c r="TXI1" s="181"/>
      <c r="TXJ1" s="181"/>
      <c r="TXK1" s="181"/>
      <c r="TXL1" s="181"/>
      <c r="TXM1" s="181"/>
      <c r="TXN1" s="181"/>
      <c r="TXO1" s="181"/>
      <c r="TXP1" s="181"/>
      <c r="TXQ1" s="182"/>
      <c r="TXR1" s="183"/>
      <c r="TXS1" s="184"/>
      <c r="TXT1" s="184"/>
      <c r="TXU1" s="184"/>
      <c r="TXV1" s="184"/>
      <c r="TXW1" s="184"/>
      <c r="TXX1" s="184"/>
      <c r="TXY1" s="184"/>
      <c r="TXZ1" s="184"/>
      <c r="TYA1" s="185"/>
      <c r="TYB1" s="180"/>
      <c r="TYC1" s="181"/>
      <c r="TYD1" s="181"/>
      <c r="TYE1" s="181"/>
      <c r="TYF1" s="181"/>
      <c r="TYG1" s="181"/>
      <c r="TYH1" s="181"/>
      <c r="TYI1" s="181"/>
      <c r="TYJ1" s="181"/>
      <c r="TYK1" s="182"/>
      <c r="TYL1" s="183"/>
      <c r="TYM1" s="184"/>
      <c r="TYN1" s="184"/>
      <c r="TYO1" s="184"/>
      <c r="TYP1" s="184"/>
      <c r="TYQ1" s="184"/>
      <c r="TYR1" s="184"/>
      <c r="TYS1" s="184"/>
      <c r="TYT1" s="184"/>
      <c r="TYU1" s="185"/>
      <c r="TYV1" s="180"/>
      <c r="TYW1" s="181"/>
      <c r="TYX1" s="181"/>
      <c r="TYY1" s="181"/>
      <c r="TYZ1" s="181"/>
      <c r="TZA1" s="181"/>
      <c r="TZB1" s="181"/>
      <c r="TZC1" s="181"/>
      <c r="TZD1" s="181"/>
      <c r="TZE1" s="182"/>
      <c r="TZF1" s="183"/>
      <c r="TZG1" s="184"/>
      <c r="TZH1" s="184"/>
      <c r="TZI1" s="184"/>
      <c r="TZJ1" s="184"/>
      <c r="TZK1" s="184"/>
      <c r="TZL1" s="184"/>
      <c r="TZM1" s="184"/>
      <c r="TZN1" s="184"/>
      <c r="TZO1" s="185"/>
      <c r="TZP1" s="180"/>
      <c r="TZQ1" s="181"/>
      <c r="TZR1" s="181"/>
      <c r="TZS1" s="181"/>
      <c r="TZT1" s="181"/>
      <c r="TZU1" s="181"/>
      <c r="TZV1" s="181"/>
      <c r="TZW1" s="181"/>
      <c r="TZX1" s="181"/>
      <c r="TZY1" s="182"/>
      <c r="TZZ1" s="183"/>
      <c r="UAA1" s="184"/>
      <c r="UAB1" s="184"/>
      <c r="UAC1" s="184"/>
      <c r="UAD1" s="184"/>
      <c r="UAE1" s="184"/>
      <c r="UAF1" s="184"/>
      <c r="UAG1" s="184"/>
      <c r="UAH1" s="184"/>
      <c r="UAI1" s="185"/>
      <c r="UAJ1" s="180"/>
      <c r="UAK1" s="181"/>
      <c r="UAL1" s="181"/>
      <c r="UAM1" s="181"/>
      <c r="UAN1" s="181"/>
      <c r="UAO1" s="181"/>
      <c r="UAP1" s="181"/>
      <c r="UAQ1" s="181"/>
      <c r="UAR1" s="181"/>
      <c r="UAS1" s="182"/>
      <c r="UAT1" s="183"/>
      <c r="UAU1" s="184"/>
      <c r="UAV1" s="184"/>
      <c r="UAW1" s="184"/>
      <c r="UAX1" s="184"/>
      <c r="UAY1" s="184"/>
      <c r="UAZ1" s="184"/>
      <c r="UBA1" s="184"/>
      <c r="UBB1" s="184"/>
      <c r="UBC1" s="185"/>
      <c r="UBD1" s="180"/>
      <c r="UBE1" s="181"/>
      <c r="UBF1" s="181"/>
      <c r="UBG1" s="181"/>
      <c r="UBH1" s="181"/>
      <c r="UBI1" s="181"/>
      <c r="UBJ1" s="181"/>
      <c r="UBK1" s="181"/>
      <c r="UBL1" s="181"/>
      <c r="UBM1" s="182"/>
      <c r="UBN1" s="183"/>
      <c r="UBO1" s="184"/>
      <c r="UBP1" s="184"/>
      <c r="UBQ1" s="184"/>
      <c r="UBR1" s="184"/>
      <c r="UBS1" s="184"/>
      <c r="UBT1" s="184"/>
      <c r="UBU1" s="184"/>
      <c r="UBV1" s="184"/>
      <c r="UBW1" s="185"/>
      <c r="UBX1" s="180"/>
      <c r="UBY1" s="181"/>
      <c r="UBZ1" s="181"/>
      <c r="UCA1" s="181"/>
      <c r="UCB1" s="181"/>
      <c r="UCC1" s="181"/>
      <c r="UCD1" s="181"/>
      <c r="UCE1" s="181"/>
      <c r="UCF1" s="181"/>
      <c r="UCG1" s="182"/>
      <c r="UCH1" s="183"/>
      <c r="UCI1" s="184"/>
      <c r="UCJ1" s="184"/>
      <c r="UCK1" s="184"/>
      <c r="UCL1" s="184"/>
      <c r="UCM1" s="184"/>
      <c r="UCN1" s="184"/>
      <c r="UCO1" s="184"/>
      <c r="UCP1" s="184"/>
      <c r="UCQ1" s="185"/>
      <c r="UCR1" s="180"/>
      <c r="UCS1" s="181"/>
      <c r="UCT1" s="181"/>
      <c r="UCU1" s="181"/>
      <c r="UCV1" s="181"/>
      <c r="UCW1" s="181"/>
      <c r="UCX1" s="181"/>
      <c r="UCY1" s="181"/>
      <c r="UCZ1" s="181"/>
      <c r="UDA1" s="182"/>
      <c r="UDB1" s="183"/>
      <c r="UDC1" s="184"/>
      <c r="UDD1" s="184"/>
      <c r="UDE1" s="184"/>
      <c r="UDF1" s="184"/>
      <c r="UDG1" s="184"/>
      <c r="UDH1" s="184"/>
      <c r="UDI1" s="184"/>
      <c r="UDJ1" s="184"/>
      <c r="UDK1" s="185"/>
      <c r="UDL1" s="180"/>
      <c r="UDM1" s="181"/>
      <c r="UDN1" s="181"/>
      <c r="UDO1" s="181"/>
      <c r="UDP1" s="181"/>
      <c r="UDQ1" s="181"/>
      <c r="UDR1" s="181"/>
      <c r="UDS1" s="181"/>
      <c r="UDT1" s="181"/>
      <c r="UDU1" s="182"/>
      <c r="UDV1" s="183"/>
      <c r="UDW1" s="184"/>
      <c r="UDX1" s="184"/>
      <c r="UDY1" s="184"/>
      <c r="UDZ1" s="184"/>
      <c r="UEA1" s="184"/>
      <c r="UEB1" s="184"/>
      <c r="UEC1" s="184"/>
      <c r="UED1" s="184"/>
      <c r="UEE1" s="185"/>
      <c r="UEF1" s="180"/>
      <c r="UEG1" s="181"/>
      <c r="UEH1" s="181"/>
      <c r="UEI1" s="181"/>
      <c r="UEJ1" s="181"/>
      <c r="UEK1" s="181"/>
      <c r="UEL1" s="181"/>
      <c r="UEM1" s="181"/>
      <c r="UEN1" s="181"/>
      <c r="UEO1" s="182"/>
      <c r="UEP1" s="183"/>
      <c r="UEQ1" s="184"/>
      <c r="UER1" s="184"/>
      <c r="UES1" s="184"/>
      <c r="UET1" s="184"/>
      <c r="UEU1" s="184"/>
      <c r="UEV1" s="184"/>
      <c r="UEW1" s="184"/>
      <c r="UEX1" s="184"/>
      <c r="UEY1" s="185"/>
      <c r="UEZ1" s="180"/>
      <c r="UFA1" s="181"/>
      <c r="UFB1" s="181"/>
      <c r="UFC1" s="181"/>
      <c r="UFD1" s="181"/>
      <c r="UFE1" s="181"/>
      <c r="UFF1" s="181"/>
      <c r="UFG1" s="181"/>
      <c r="UFH1" s="181"/>
      <c r="UFI1" s="182"/>
      <c r="UFJ1" s="183"/>
      <c r="UFK1" s="184"/>
      <c r="UFL1" s="184"/>
      <c r="UFM1" s="184"/>
      <c r="UFN1" s="184"/>
      <c r="UFO1" s="184"/>
      <c r="UFP1" s="184"/>
      <c r="UFQ1" s="184"/>
      <c r="UFR1" s="184"/>
      <c r="UFS1" s="185"/>
      <c r="UFT1" s="180"/>
      <c r="UFU1" s="181"/>
      <c r="UFV1" s="181"/>
      <c r="UFW1" s="181"/>
      <c r="UFX1" s="181"/>
      <c r="UFY1" s="181"/>
      <c r="UFZ1" s="181"/>
      <c r="UGA1" s="181"/>
      <c r="UGB1" s="181"/>
      <c r="UGC1" s="182"/>
      <c r="UGD1" s="183"/>
      <c r="UGE1" s="184"/>
      <c r="UGF1" s="184"/>
      <c r="UGG1" s="184"/>
      <c r="UGH1" s="184"/>
      <c r="UGI1" s="184"/>
      <c r="UGJ1" s="184"/>
      <c r="UGK1" s="184"/>
      <c r="UGL1" s="184"/>
      <c r="UGM1" s="185"/>
      <c r="UGN1" s="180"/>
      <c r="UGO1" s="181"/>
      <c r="UGP1" s="181"/>
      <c r="UGQ1" s="181"/>
      <c r="UGR1" s="181"/>
      <c r="UGS1" s="181"/>
      <c r="UGT1" s="181"/>
      <c r="UGU1" s="181"/>
      <c r="UGV1" s="181"/>
      <c r="UGW1" s="182"/>
      <c r="UGX1" s="183"/>
      <c r="UGY1" s="184"/>
      <c r="UGZ1" s="184"/>
      <c r="UHA1" s="184"/>
      <c r="UHB1" s="184"/>
      <c r="UHC1" s="184"/>
      <c r="UHD1" s="184"/>
      <c r="UHE1" s="184"/>
      <c r="UHF1" s="184"/>
      <c r="UHG1" s="185"/>
      <c r="UHH1" s="180"/>
      <c r="UHI1" s="181"/>
      <c r="UHJ1" s="181"/>
      <c r="UHK1" s="181"/>
      <c r="UHL1" s="181"/>
      <c r="UHM1" s="181"/>
      <c r="UHN1" s="181"/>
      <c r="UHO1" s="181"/>
      <c r="UHP1" s="181"/>
      <c r="UHQ1" s="182"/>
      <c r="UHR1" s="183"/>
      <c r="UHS1" s="184"/>
      <c r="UHT1" s="184"/>
      <c r="UHU1" s="184"/>
      <c r="UHV1" s="184"/>
      <c r="UHW1" s="184"/>
      <c r="UHX1" s="184"/>
      <c r="UHY1" s="184"/>
      <c r="UHZ1" s="184"/>
      <c r="UIA1" s="185"/>
      <c r="UIB1" s="180"/>
      <c r="UIC1" s="181"/>
      <c r="UID1" s="181"/>
      <c r="UIE1" s="181"/>
      <c r="UIF1" s="181"/>
      <c r="UIG1" s="181"/>
      <c r="UIH1" s="181"/>
      <c r="UII1" s="181"/>
      <c r="UIJ1" s="181"/>
      <c r="UIK1" s="182"/>
      <c r="UIL1" s="183"/>
      <c r="UIM1" s="184"/>
      <c r="UIN1" s="184"/>
      <c r="UIO1" s="184"/>
      <c r="UIP1" s="184"/>
      <c r="UIQ1" s="184"/>
      <c r="UIR1" s="184"/>
      <c r="UIS1" s="184"/>
      <c r="UIT1" s="184"/>
      <c r="UIU1" s="185"/>
      <c r="UIV1" s="180"/>
      <c r="UIW1" s="181"/>
      <c r="UIX1" s="181"/>
      <c r="UIY1" s="181"/>
      <c r="UIZ1" s="181"/>
      <c r="UJA1" s="181"/>
      <c r="UJB1" s="181"/>
      <c r="UJC1" s="181"/>
      <c r="UJD1" s="181"/>
      <c r="UJE1" s="182"/>
      <c r="UJF1" s="183"/>
      <c r="UJG1" s="184"/>
      <c r="UJH1" s="184"/>
      <c r="UJI1" s="184"/>
      <c r="UJJ1" s="184"/>
      <c r="UJK1" s="184"/>
      <c r="UJL1" s="184"/>
      <c r="UJM1" s="184"/>
      <c r="UJN1" s="184"/>
      <c r="UJO1" s="185"/>
      <c r="UJP1" s="180"/>
      <c r="UJQ1" s="181"/>
      <c r="UJR1" s="181"/>
      <c r="UJS1" s="181"/>
      <c r="UJT1" s="181"/>
      <c r="UJU1" s="181"/>
      <c r="UJV1" s="181"/>
      <c r="UJW1" s="181"/>
      <c r="UJX1" s="181"/>
      <c r="UJY1" s="182"/>
      <c r="UJZ1" s="183"/>
      <c r="UKA1" s="184"/>
      <c r="UKB1" s="184"/>
      <c r="UKC1" s="184"/>
      <c r="UKD1" s="184"/>
      <c r="UKE1" s="184"/>
      <c r="UKF1" s="184"/>
      <c r="UKG1" s="184"/>
      <c r="UKH1" s="184"/>
      <c r="UKI1" s="185"/>
      <c r="UKJ1" s="180"/>
      <c r="UKK1" s="181"/>
      <c r="UKL1" s="181"/>
      <c r="UKM1" s="181"/>
      <c r="UKN1" s="181"/>
      <c r="UKO1" s="181"/>
      <c r="UKP1" s="181"/>
      <c r="UKQ1" s="181"/>
      <c r="UKR1" s="181"/>
      <c r="UKS1" s="182"/>
      <c r="UKT1" s="183"/>
      <c r="UKU1" s="184"/>
      <c r="UKV1" s="184"/>
      <c r="UKW1" s="184"/>
      <c r="UKX1" s="184"/>
      <c r="UKY1" s="184"/>
      <c r="UKZ1" s="184"/>
      <c r="ULA1" s="184"/>
      <c r="ULB1" s="184"/>
      <c r="ULC1" s="185"/>
      <c r="ULD1" s="180"/>
      <c r="ULE1" s="181"/>
      <c r="ULF1" s="181"/>
      <c r="ULG1" s="181"/>
      <c r="ULH1" s="181"/>
      <c r="ULI1" s="181"/>
      <c r="ULJ1" s="181"/>
      <c r="ULK1" s="181"/>
      <c r="ULL1" s="181"/>
      <c r="ULM1" s="182"/>
      <c r="ULN1" s="183"/>
      <c r="ULO1" s="184"/>
      <c r="ULP1" s="184"/>
      <c r="ULQ1" s="184"/>
      <c r="ULR1" s="184"/>
      <c r="ULS1" s="184"/>
      <c r="ULT1" s="184"/>
      <c r="ULU1" s="184"/>
      <c r="ULV1" s="184"/>
      <c r="ULW1" s="185"/>
      <c r="ULX1" s="180"/>
      <c r="ULY1" s="181"/>
      <c r="ULZ1" s="181"/>
      <c r="UMA1" s="181"/>
      <c r="UMB1" s="181"/>
      <c r="UMC1" s="181"/>
      <c r="UMD1" s="181"/>
      <c r="UME1" s="181"/>
      <c r="UMF1" s="181"/>
      <c r="UMG1" s="182"/>
      <c r="UMH1" s="183"/>
      <c r="UMI1" s="184"/>
      <c r="UMJ1" s="184"/>
      <c r="UMK1" s="184"/>
      <c r="UML1" s="184"/>
      <c r="UMM1" s="184"/>
      <c r="UMN1" s="184"/>
      <c r="UMO1" s="184"/>
      <c r="UMP1" s="184"/>
      <c r="UMQ1" s="185"/>
      <c r="UMR1" s="180"/>
      <c r="UMS1" s="181"/>
      <c r="UMT1" s="181"/>
      <c r="UMU1" s="181"/>
      <c r="UMV1" s="181"/>
      <c r="UMW1" s="181"/>
      <c r="UMX1" s="181"/>
      <c r="UMY1" s="181"/>
      <c r="UMZ1" s="181"/>
      <c r="UNA1" s="182"/>
      <c r="UNB1" s="183"/>
      <c r="UNC1" s="184"/>
      <c r="UND1" s="184"/>
      <c r="UNE1" s="184"/>
      <c r="UNF1" s="184"/>
      <c r="UNG1" s="184"/>
      <c r="UNH1" s="184"/>
      <c r="UNI1" s="184"/>
      <c r="UNJ1" s="184"/>
      <c r="UNK1" s="185"/>
      <c r="UNL1" s="180"/>
      <c r="UNM1" s="181"/>
      <c r="UNN1" s="181"/>
      <c r="UNO1" s="181"/>
      <c r="UNP1" s="181"/>
      <c r="UNQ1" s="181"/>
      <c r="UNR1" s="181"/>
      <c r="UNS1" s="181"/>
      <c r="UNT1" s="181"/>
      <c r="UNU1" s="182"/>
      <c r="UNV1" s="183"/>
      <c r="UNW1" s="184"/>
      <c r="UNX1" s="184"/>
      <c r="UNY1" s="184"/>
      <c r="UNZ1" s="184"/>
      <c r="UOA1" s="184"/>
      <c r="UOB1" s="184"/>
      <c r="UOC1" s="184"/>
      <c r="UOD1" s="184"/>
      <c r="UOE1" s="185"/>
      <c r="UOF1" s="180"/>
      <c r="UOG1" s="181"/>
      <c r="UOH1" s="181"/>
      <c r="UOI1" s="181"/>
      <c r="UOJ1" s="181"/>
      <c r="UOK1" s="181"/>
      <c r="UOL1" s="181"/>
      <c r="UOM1" s="181"/>
      <c r="UON1" s="181"/>
      <c r="UOO1" s="182"/>
      <c r="UOP1" s="183"/>
      <c r="UOQ1" s="184"/>
      <c r="UOR1" s="184"/>
      <c r="UOS1" s="184"/>
      <c r="UOT1" s="184"/>
      <c r="UOU1" s="184"/>
      <c r="UOV1" s="184"/>
      <c r="UOW1" s="184"/>
      <c r="UOX1" s="184"/>
      <c r="UOY1" s="185"/>
      <c r="UOZ1" s="180"/>
      <c r="UPA1" s="181"/>
      <c r="UPB1" s="181"/>
      <c r="UPC1" s="181"/>
      <c r="UPD1" s="181"/>
      <c r="UPE1" s="181"/>
      <c r="UPF1" s="181"/>
      <c r="UPG1" s="181"/>
      <c r="UPH1" s="181"/>
      <c r="UPI1" s="182"/>
      <c r="UPJ1" s="183"/>
      <c r="UPK1" s="184"/>
      <c r="UPL1" s="184"/>
      <c r="UPM1" s="184"/>
      <c r="UPN1" s="184"/>
      <c r="UPO1" s="184"/>
      <c r="UPP1" s="184"/>
      <c r="UPQ1" s="184"/>
      <c r="UPR1" s="184"/>
      <c r="UPS1" s="185"/>
      <c r="UPT1" s="180"/>
      <c r="UPU1" s="181"/>
      <c r="UPV1" s="181"/>
      <c r="UPW1" s="181"/>
      <c r="UPX1" s="181"/>
      <c r="UPY1" s="181"/>
      <c r="UPZ1" s="181"/>
      <c r="UQA1" s="181"/>
      <c r="UQB1" s="181"/>
      <c r="UQC1" s="182"/>
      <c r="UQD1" s="183"/>
      <c r="UQE1" s="184"/>
      <c r="UQF1" s="184"/>
      <c r="UQG1" s="184"/>
      <c r="UQH1" s="184"/>
      <c r="UQI1" s="184"/>
      <c r="UQJ1" s="184"/>
      <c r="UQK1" s="184"/>
      <c r="UQL1" s="184"/>
      <c r="UQM1" s="185"/>
      <c r="UQN1" s="180"/>
      <c r="UQO1" s="181"/>
      <c r="UQP1" s="181"/>
      <c r="UQQ1" s="181"/>
      <c r="UQR1" s="181"/>
      <c r="UQS1" s="181"/>
      <c r="UQT1" s="181"/>
      <c r="UQU1" s="181"/>
      <c r="UQV1" s="181"/>
      <c r="UQW1" s="182"/>
      <c r="UQX1" s="183"/>
      <c r="UQY1" s="184"/>
      <c r="UQZ1" s="184"/>
      <c r="URA1" s="184"/>
      <c r="URB1" s="184"/>
      <c r="URC1" s="184"/>
      <c r="URD1" s="184"/>
      <c r="URE1" s="184"/>
      <c r="URF1" s="184"/>
      <c r="URG1" s="185"/>
      <c r="URH1" s="180"/>
      <c r="URI1" s="181"/>
      <c r="URJ1" s="181"/>
      <c r="URK1" s="181"/>
      <c r="URL1" s="181"/>
      <c r="URM1" s="181"/>
      <c r="URN1" s="181"/>
      <c r="URO1" s="181"/>
      <c r="URP1" s="181"/>
      <c r="URQ1" s="182"/>
      <c r="URR1" s="183"/>
      <c r="URS1" s="184"/>
      <c r="URT1" s="184"/>
      <c r="URU1" s="184"/>
      <c r="URV1" s="184"/>
      <c r="URW1" s="184"/>
      <c r="URX1" s="184"/>
      <c r="URY1" s="184"/>
      <c r="URZ1" s="184"/>
      <c r="USA1" s="185"/>
      <c r="USB1" s="180"/>
      <c r="USC1" s="181"/>
      <c r="USD1" s="181"/>
      <c r="USE1" s="181"/>
      <c r="USF1" s="181"/>
      <c r="USG1" s="181"/>
      <c r="USH1" s="181"/>
      <c r="USI1" s="181"/>
      <c r="USJ1" s="181"/>
      <c r="USK1" s="182"/>
      <c r="USL1" s="183"/>
      <c r="USM1" s="184"/>
      <c r="USN1" s="184"/>
      <c r="USO1" s="184"/>
      <c r="USP1" s="184"/>
      <c r="USQ1" s="184"/>
      <c r="USR1" s="184"/>
      <c r="USS1" s="184"/>
      <c r="UST1" s="184"/>
      <c r="USU1" s="185"/>
      <c r="USV1" s="180"/>
      <c r="USW1" s="181"/>
      <c r="USX1" s="181"/>
      <c r="USY1" s="181"/>
      <c r="USZ1" s="181"/>
      <c r="UTA1" s="181"/>
      <c r="UTB1" s="181"/>
      <c r="UTC1" s="181"/>
      <c r="UTD1" s="181"/>
      <c r="UTE1" s="182"/>
      <c r="UTF1" s="183"/>
      <c r="UTG1" s="184"/>
      <c r="UTH1" s="184"/>
      <c r="UTI1" s="184"/>
      <c r="UTJ1" s="184"/>
      <c r="UTK1" s="184"/>
      <c r="UTL1" s="184"/>
      <c r="UTM1" s="184"/>
      <c r="UTN1" s="184"/>
      <c r="UTO1" s="185"/>
      <c r="UTP1" s="180"/>
      <c r="UTQ1" s="181"/>
      <c r="UTR1" s="181"/>
      <c r="UTS1" s="181"/>
      <c r="UTT1" s="181"/>
      <c r="UTU1" s="181"/>
      <c r="UTV1" s="181"/>
      <c r="UTW1" s="181"/>
      <c r="UTX1" s="181"/>
      <c r="UTY1" s="182"/>
      <c r="UTZ1" s="183"/>
      <c r="UUA1" s="184"/>
      <c r="UUB1" s="184"/>
      <c r="UUC1" s="184"/>
      <c r="UUD1" s="184"/>
      <c r="UUE1" s="184"/>
      <c r="UUF1" s="184"/>
      <c r="UUG1" s="184"/>
      <c r="UUH1" s="184"/>
      <c r="UUI1" s="185"/>
      <c r="UUJ1" s="180"/>
      <c r="UUK1" s="181"/>
      <c r="UUL1" s="181"/>
      <c r="UUM1" s="181"/>
      <c r="UUN1" s="181"/>
      <c r="UUO1" s="181"/>
      <c r="UUP1" s="181"/>
      <c r="UUQ1" s="181"/>
      <c r="UUR1" s="181"/>
      <c r="UUS1" s="182"/>
      <c r="UUT1" s="183"/>
      <c r="UUU1" s="184"/>
      <c r="UUV1" s="184"/>
      <c r="UUW1" s="184"/>
      <c r="UUX1" s="184"/>
      <c r="UUY1" s="184"/>
      <c r="UUZ1" s="184"/>
      <c r="UVA1" s="184"/>
      <c r="UVB1" s="184"/>
      <c r="UVC1" s="185"/>
      <c r="UVD1" s="180"/>
      <c r="UVE1" s="181"/>
      <c r="UVF1" s="181"/>
      <c r="UVG1" s="181"/>
      <c r="UVH1" s="181"/>
      <c r="UVI1" s="181"/>
      <c r="UVJ1" s="181"/>
      <c r="UVK1" s="181"/>
      <c r="UVL1" s="181"/>
      <c r="UVM1" s="182"/>
      <c r="UVN1" s="183"/>
      <c r="UVO1" s="184"/>
      <c r="UVP1" s="184"/>
      <c r="UVQ1" s="184"/>
      <c r="UVR1" s="184"/>
      <c r="UVS1" s="184"/>
      <c r="UVT1" s="184"/>
      <c r="UVU1" s="184"/>
      <c r="UVV1" s="184"/>
      <c r="UVW1" s="185"/>
      <c r="UVX1" s="180"/>
      <c r="UVY1" s="181"/>
      <c r="UVZ1" s="181"/>
      <c r="UWA1" s="181"/>
      <c r="UWB1" s="181"/>
      <c r="UWC1" s="181"/>
      <c r="UWD1" s="181"/>
      <c r="UWE1" s="181"/>
      <c r="UWF1" s="181"/>
      <c r="UWG1" s="182"/>
      <c r="UWH1" s="183"/>
      <c r="UWI1" s="184"/>
      <c r="UWJ1" s="184"/>
      <c r="UWK1" s="184"/>
      <c r="UWL1" s="184"/>
      <c r="UWM1" s="184"/>
      <c r="UWN1" s="184"/>
      <c r="UWO1" s="184"/>
      <c r="UWP1" s="184"/>
      <c r="UWQ1" s="185"/>
      <c r="UWR1" s="180"/>
      <c r="UWS1" s="181"/>
      <c r="UWT1" s="181"/>
      <c r="UWU1" s="181"/>
      <c r="UWV1" s="181"/>
      <c r="UWW1" s="181"/>
      <c r="UWX1" s="181"/>
      <c r="UWY1" s="181"/>
      <c r="UWZ1" s="181"/>
      <c r="UXA1" s="182"/>
      <c r="UXB1" s="183"/>
      <c r="UXC1" s="184"/>
      <c r="UXD1" s="184"/>
      <c r="UXE1" s="184"/>
      <c r="UXF1" s="184"/>
      <c r="UXG1" s="184"/>
      <c r="UXH1" s="184"/>
      <c r="UXI1" s="184"/>
      <c r="UXJ1" s="184"/>
      <c r="UXK1" s="185"/>
      <c r="UXL1" s="180"/>
      <c r="UXM1" s="181"/>
      <c r="UXN1" s="181"/>
      <c r="UXO1" s="181"/>
      <c r="UXP1" s="181"/>
      <c r="UXQ1" s="181"/>
      <c r="UXR1" s="181"/>
      <c r="UXS1" s="181"/>
      <c r="UXT1" s="181"/>
      <c r="UXU1" s="182"/>
      <c r="UXV1" s="183"/>
      <c r="UXW1" s="184"/>
      <c r="UXX1" s="184"/>
      <c r="UXY1" s="184"/>
      <c r="UXZ1" s="184"/>
      <c r="UYA1" s="184"/>
      <c r="UYB1" s="184"/>
      <c r="UYC1" s="184"/>
      <c r="UYD1" s="184"/>
      <c r="UYE1" s="185"/>
      <c r="UYF1" s="180"/>
      <c r="UYG1" s="181"/>
      <c r="UYH1" s="181"/>
      <c r="UYI1" s="181"/>
      <c r="UYJ1" s="181"/>
      <c r="UYK1" s="181"/>
      <c r="UYL1" s="181"/>
      <c r="UYM1" s="181"/>
      <c r="UYN1" s="181"/>
      <c r="UYO1" s="182"/>
      <c r="UYP1" s="183"/>
      <c r="UYQ1" s="184"/>
      <c r="UYR1" s="184"/>
      <c r="UYS1" s="184"/>
      <c r="UYT1" s="184"/>
      <c r="UYU1" s="184"/>
      <c r="UYV1" s="184"/>
      <c r="UYW1" s="184"/>
      <c r="UYX1" s="184"/>
      <c r="UYY1" s="185"/>
      <c r="UYZ1" s="180"/>
      <c r="UZA1" s="181"/>
      <c r="UZB1" s="181"/>
      <c r="UZC1" s="181"/>
      <c r="UZD1" s="181"/>
      <c r="UZE1" s="181"/>
      <c r="UZF1" s="181"/>
      <c r="UZG1" s="181"/>
      <c r="UZH1" s="181"/>
      <c r="UZI1" s="182"/>
      <c r="UZJ1" s="183"/>
      <c r="UZK1" s="184"/>
      <c r="UZL1" s="184"/>
      <c r="UZM1" s="184"/>
      <c r="UZN1" s="184"/>
      <c r="UZO1" s="184"/>
      <c r="UZP1" s="184"/>
      <c r="UZQ1" s="184"/>
      <c r="UZR1" s="184"/>
      <c r="UZS1" s="185"/>
      <c r="UZT1" s="180"/>
      <c r="UZU1" s="181"/>
      <c r="UZV1" s="181"/>
      <c r="UZW1" s="181"/>
      <c r="UZX1" s="181"/>
      <c r="UZY1" s="181"/>
      <c r="UZZ1" s="181"/>
      <c r="VAA1" s="181"/>
      <c r="VAB1" s="181"/>
      <c r="VAC1" s="182"/>
      <c r="VAD1" s="183"/>
      <c r="VAE1" s="184"/>
      <c r="VAF1" s="184"/>
      <c r="VAG1" s="184"/>
      <c r="VAH1" s="184"/>
      <c r="VAI1" s="184"/>
      <c r="VAJ1" s="184"/>
      <c r="VAK1" s="184"/>
      <c r="VAL1" s="184"/>
      <c r="VAM1" s="185"/>
      <c r="VAN1" s="180"/>
      <c r="VAO1" s="181"/>
      <c r="VAP1" s="181"/>
      <c r="VAQ1" s="181"/>
      <c r="VAR1" s="181"/>
      <c r="VAS1" s="181"/>
      <c r="VAT1" s="181"/>
      <c r="VAU1" s="181"/>
      <c r="VAV1" s="181"/>
      <c r="VAW1" s="182"/>
      <c r="VAX1" s="183"/>
      <c r="VAY1" s="184"/>
      <c r="VAZ1" s="184"/>
      <c r="VBA1" s="184"/>
      <c r="VBB1" s="184"/>
      <c r="VBC1" s="184"/>
      <c r="VBD1" s="184"/>
      <c r="VBE1" s="184"/>
      <c r="VBF1" s="184"/>
      <c r="VBG1" s="185"/>
      <c r="VBH1" s="180"/>
      <c r="VBI1" s="181"/>
      <c r="VBJ1" s="181"/>
      <c r="VBK1" s="181"/>
      <c r="VBL1" s="181"/>
      <c r="VBM1" s="181"/>
      <c r="VBN1" s="181"/>
      <c r="VBO1" s="181"/>
      <c r="VBP1" s="181"/>
      <c r="VBQ1" s="182"/>
      <c r="VBR1" s="183"/>
      <c r="VBS1" s="184"/>
      <c r="VBT1" s="184"/>
      <c r="VBU1" s="184"/>
      <c r="VBV1" s="184"/>
      <c r="VBW1" s="184"/>
      <c r="VBX1" s="184"/>
      <c r="VBY1" s="184"/>
      <c r="VBZ1" s="184"/>
      <c r="VCA1" s="185"/>
      <c r="VCB1" s="180"/>
      <c r="VCC1" s="181"/>
      <c r="VCD1" s="181"/>
      <c r="VCE1" s="181"/>
      <c r="VCF1" s="181"/>
      <c r="VCG1" s="181"/>
      <c r="VCH1" s="181"/>
      <c r="VCI1" s="181"/>
      <c r="VCJ1" s="181"/>
      <c r="VCK1" s="182"/>
      <c r="VCL1" s="183"/>
      <c r="VCM1" s="184"/>
      <c r="VCN1" s="184"/>
      <c r="VCO1" s="184"/>
      <c r="VCP1" s="184"/>
      <c r="VCQ1" s="184"/>
      <c r="VCR1" s="184"/>
      <c r="VCS1" s="184"/>
      <c r="VCT1" s="184"/>
      <c r="VCU1" s="185"/>
      <c r="VCV1" s="180"/>
      <c r="VCW1" s="181"/>
      <c r="VCX1" s="181"/>
      <c r="VCY1" s="181"/>
      <c r="VCZ1" s="181"/>
      <c r="VDA1" s="181"/>
      <c r="VDB1" s="181"/>
      <c r="VDC1" s="181"/>
      <c r="VDD1" s="181"/>
      <c r="VDE1" s="182"/>
      <c r="VDF1" s="183"/>
      <c r="VDG1" s="184"/>
      <c r="VDH1" s="184"/>
      <c r="VDI1" s="184"/>
      <c r="VDJ1" s="184"/>
      <c r="VDK1" s="184"/>
      <c r="VDL1" s="184"/>
      <c r="VDM1" s="184"/>
      <c r="VDN1" s="184"/>
      <c r="VDO1" s="185"/>
      <c r="VDP1" s="180"/>
      <c r="VDQ1" s="181"/>
      <c r="VDR1" s="181"/>
      <c r="VDS1" s="181"/>
      <c r="VDT1" s="181"/>
      <c r="VDU1" s="181"/>
      <c r="VDV1" s="181"/>
      <c r="VDW1" s="181"/>
      <c r="VDX1" s="181"/>
      <c r="VDY1" s="182"/>
      <c r="VDZ1" s="183"/>
      <c r="VEA1" s="184"/>
      <c r="VEB1" s="184"/>
      <c r="VEC1" s="184"/>
      <c r="VED1" s="184"/>
      <c r="VEE1" s="184"/>
      <c r="VEF1" s="184"/>
      <c r="VEG1" s="184"/>
      <c r="VEH1" s="184"/>
      <c r="VEI1" s="185"/>
      <c r="VEJ1" s="180"/>
      <c r="VEK1" s="181"/>
      <c r="VEL1" s="181"/>
      <c r="VEM1" s="181"/>
      <c r="VEN1" s="181"/>
      <c r="VEO1" s="181"/>
      <c r="VEP1" s="181"/>
      <c r="VEQ1" s="181"/>
      <c r="VER1" s="181"/>
      <c r="VES1" s="182"/>
      <c r="VET1" s="183"/>
      <c r="VEU1" s="184"/>
      <c r="VEV1" s="184"/>
      <c r="VEW1" s="184"/>
      <c r="VEX1" s="184"/>
      <c r="VEY1" s="184"/>
      <c r="VEZ1" s="184"/>
      <c r="VFA1" s="184"/>
      <c r="VFB1" s="184"/>
      <c r="VFC1" s="185"/>
      <c r="VFD1" s="180"/>
      <c r="VFE1" s="181"/>
      <c r="VFF1" s="181"/>
      <c r="VFG1" s="181"/>
      <c r="VFH1" s="181"/>
      <c r="VFI1" s="181"/>
      <c r="VFJ1" s="181"/>
      <c r="VFK1" s="181"/>
      <c r="VFL1" s="181"/>
      <c r="VFM1" s="182"/>
      <c r="VFN1" s="183"/>
      <c r="VFO1" s="184"/>
      <c r="VFP1" s="184"/>
      <c r="VFQ1" s="184"/>
      <c r="VFR1" s="184"/>
      <c r="VFS1" s="184"/>
      <c r="VFT1" s="184"/>
      <c r="VFU1" s="184"/>
      <c r="VFV1" s="184"/>
      <c r="VFW1" s="185"/>
      <c r="VFX1" s="180"/>
      <c r="VFY1" s="181"/>
      <c r="VFZ1" s="181"/>
      <c r="VGA1" s="181"/>
      <c r="VGB1" s="181"/>
      <c r="VGC1" s="181"/>
      <c r="VGD1" s="181"/>
      <c r="VGE1" s="181"/>
      <c r="VGF1" s="181"/>
      <c r="VGG1" s="182"/>
      <c r="VGH1" s="183"/>
      <c r="VGI1" s="184"/>
      <c r="VGJ1" s="184"/>
      <c r="VGK1" s="184"/>
      <c r="VGL1" s="184"/>
      <c r="VGM1" s="184"/>
      <c r="VGN1" s="184"/>
      <c r="VGO1" s="184"/>
      <c r="VGP1" s="184"/>
      <c r="VGQ1" s="185"/>
      <c r="VGR1" s="180"/>
      <c r="VGS1" s="181"/>
      <c r="VGT1" s="181"/>
      <c r="VGU1" s="181"/>
      <c r="VGV1" s="181"/>
      <c r="VGW1" s="181"/>
      <c r="VGX1" s="181"/>
      <c r="VGY1" s="181"/>
      <c r="VGZ1" s="181"/>
      <c r="VHA1" s="182"/>
      <c r="VHB1" s="183"/>
      <c r="VHC1" s="184"/>
      <c r="VHD1" s="184"/>
      <c r="VHE1" s="184"/>
      <c r="VHF1" s="184"/>
      <c r="VHG1" s="184"/>
      <c r="VHH1" s="184"/>
      <c r="VHI1" s="184"/>
      <c r="VHJ1" s="184"/>
      <c r="VHK1" s="185"/>
      <c r="VHL1" s="180"/>
      <c r="VHM1" s="181"/>
      <c r="VHN1" s="181"/>
      <c r="VHO1" s="181"/>
      <c r="VHP1" s="181"/>
      <c r="VHQ1" s="181"/>
      <c r="VHR1" s="181"/>
      <c r="VHS1" s="181"/>
      <c r="VHT1" s="181"/>
      <c r="VHU1" s="182"/>
      <c r="VHV1" s="183"/>
      <c r="VHW1" s="184"/>
      <c r="VHX1" s="184"/>
      <c r="VHY1" s="184"/>
      <c r="VHZ1" s="184"/>
      <c r="VIA1" s="184"/>
      <c r="VIB1" s="184"/>
      <c r="VIC1" s="184"/>
      <c r="VID1" s="184"/>
      <c r="VIE1" s="185"/>
      <c r="VIF1" s="180"/>
      <c r="VIG1" s="181"/>
      <c r="VIH1" s="181"/>
      <c r="VII1" s="181"/>
      <c r="VIJ1" s="181"/>
      <c r="VIK1" s="181"/>
      <c r="VIL1" s="181"/>
      <c r="VIM1" s="181"/>
      <c r="VIN1" s="181"/>
      <c r="VIO1" s="182"/>
      <c r="VIP1" s="183"/>
      <c r="VIQ1" s="184"/>
      <c r="VIR1" s="184"/>
      <c r="VIS1" s="184"/>
      <c r="VIT1" s="184"/>
      <c r="VIU1" s="184"/>
      <c r="VIV1" s="184"/>
      <c r="VIW1" s="184"/>
      <c r="VIX1" s="184"/>
      <c r="VIY1" s="185"/>
      <c r="VIZ1" s="180"/>
      <c r="VJA1" s="181"/>
      <c r="VJB1" s="181"/>
      <c r="VJC1" s="181"/>
      <c r="VJD1" s="181"/>
      <c r="VJE1" s="181"/>
      <c r="VJF1" s="181"/>
      <c r="VJG1" s="181"/>
      <c r="VJH1" s="181"/>
      <c r="VJI1" s="182"/>
      <c r="VJJ1" s="183"/>
      <c r="VJK1" s="184"/>
      <c r="VJL1" s="184"/>
      <c r="VJM1" s="184"/>
      <c r="VJN1" s="184"/>
      <c r="VJO1" s="184"/>
      <c r="VJP1" s="184"/>
      <c r="VJQ1" s="184"/>
      <c r="VJR1" s="184"/>
      <c r="VJS1" s="185"/>
      <c r="VJT1" s="180"/>
      <c r="VJU1" s="181"/>
      <c r="VJV1" s="181"/>
      <c r="VJW1" s="181"/>
      <c r="VJX1" s="181"/>
      <c r="VJY1" s="181"/>
      <c r="VJZ1" s="181"/>
      <c r="VKA1" s="181"/>
      <c r="VKB1" s="181"/>
      <c r="VKC1" s="182"/>
      <c r="VKD1" s="183"/>
      <c r="VKE1" s="184"/>
      <c r="VKF1" s="184"/>
      <c r="VKG1" s="184"/>
      <c r="VKH1" s="184"/>
      <c r="VKI1" s="184"/>
      <c r="VKJ1" s="184"/>
      <c r="VKK1" s="184"/>
      <c r="VKL1" s="184"/>
      <c r="VKM1" s="185"/>
      <c r="VKN1" s="180"/>
      <c r="VKO1" s="181"/>
      <c r="VKP1" s="181"/>
      <c r="VKQ1" s="181"/>
      <c r="VKR1" s="181"/>
      <c r="VKS1" s="181"/>
      <c r="VKT1" s="181"/>
      <c r="VKU1" s="181"/>
      <c r="VKV1" s="181"/>
      <c r="VKW1" s="182"/>
      <c r="VKX1" s="183"/>
      <c r="VKY1" s="184"/>
      <c r="VKZ1" s="184"/>
      <c r="VLA1" s="184"/>
      <c r="VLB1" s="184"/>
      <c r="VLC1" s="184"/>
      <c r="VLD1" s="184"/>
      <c r="VLE1" s="184"/>
      <c r="VLF1" s="184"/>
      <c r="VLG1" s="185"/>
      <c r="VLH1" s="180"/>
      <c r="VLI1" s="181"/>
      <c r="VLJ1" s="181"/>
      <c r="VLK1" s="181"/>
      <c r="VLL1" s="181"/>
      <c r="VLM1" s="181"/>
      <c r="VLN1" s="181"/>
      <c r="VLO1" s="181"/>
      <c r="VLP1" s="181"/>
      <c r="VLQ1" s="182"/>
      <c r="VLR1" s="183"/>
      <c r="VLS1" s="184"/>
      <c r="VLT1" s="184"/>
      <c r="VLU1" s="184"/>
      <c r="VLV1" s="184"/>
      <c r="VLW1" s="184"/>
      <c r="VLX1" s="184"/>
      <c r="VLY1" s="184"/>
      <c r="VLZ1" s="184"/>
      <c r="VMA1" s="185"/>
      <c r="VMB1" s="180"/>
      <c r="VMC1" s="181"/>
      <c r="VMD1" s="181"/>
      <c r="VME1" s="181"/>
      <c r="VMF1" s="181"/>
      <c r="VMG1" s="181"/>
      <c r="VMH1" s="181"/>
      <c r="VMI1" s="181"/>
      <c r="VMJ1" s="181"/>
      <c r="VMK1" s="182"/>
      <c r="VML1" s="183"/>
      <c r="VMM1" s="184"/>
      <c r="VMN1" s="184"/>
      <c r="VMO1" s="184"/>
      <c r="VMP1" s="184"/>
      <c r="VMQ1" s="184"/>
      <c r="VMR1" s="184"/>
      <c r="VMS1" s="184"/>
      <c r="VMT1" s="184"/>
      <c r="VMU1" s="185"/>
      <c r="VMV1" s="180"/>
      <c r="VMW1" s="181"/>
      <c r="VMX1" s="181"/>
      <c r="VMY1" s="181"/>
      <c r="VMZ1" s="181"/>
      <c r="VNA1" s="181"/>
      <c r="VNB1" s="181"/>
      <c r="VNC1" s="181"/>
      <c r="VND1" s="181"/>
      <c r="VNE1" s="182"/>
      <c r="VNF1" s="183"/>
      <c r="VNG1" s="184"/>
      <c r="VNH1" s="184"/>
      <c r="VNI1" s="184"/>
      <c r="VNJ1" s="184"/>
      <c r="VNK1" s="184"/>
      <c r="VNL1" s="184"/>
      <c r="VNM1" s="184"/>
      <c r="VNN1" s="184"/>
      <c r="VNO1" s="185"/>
      <c r="VNP1" s="180"/>
      <c r="VNQ1" s="181"/>
      <c r="VNR1" s="181"/>
      <c r="VNS1" s="181"/>
      <c r="VNT1" s="181"/>
      <c r="VNU1" s="181"/>
      <c r="VNV1" s="181"/>
      <c r="VNW1" s="181"/>
      <c r="VNX1" s="181"/>
      <c r="VNY1" s="182"/>
      <c r="VNZ1" s="183"/>
      <c r="VOA1" s="184"/>
      <c r="VOB1" s="184"/>
      <c r="VOC1" s="184"/>
      <c r="VOD1" s="184"/>
      <c r="VOE1" s="184"/>
      <c r="VOF1" s="184"/>
      <c r="VOG1" s="184"/>
      <c r="VOH1" s="184"/>
      <c r="VOI1" s="185"/>
      <c r="VOJ1" s="180"/>
      <c r="VOK1" s="181"/>
      <c r="VOL1" s="181"/>
      <c r="VOM1" s="181"/>
      <c r="VON1" s="181"/>
      <c r="VOO1" s="181"/>
      <c r="VOP1" s="181"/>
      <c r="VOQ1" s="181"/>
      <c r="VOR1" s="181"/>
      <c r="VOS1" s="182"/>
      <c r="VOT1" s="183"/>
      <c r="VOU1" s="184"/>
      <c r="VOV1" s="184"/>
      <c r="VOW1" s="184"/>
      <c r="VOX1" s="184"/>
      <c r="VOY1" s="184"/>
      <c r="VOZ1" s="184"/>
      <c r="VPA1" s="184"/>
      <c r="VPB1" s="184"/>
      <c r="VPC1" s="185"/>
      <c r="VPD1" s="180"/>
      <c r="VPE1" s="181"/>
      <c r="VPF1" s="181"/>
      <c r="VPG1" s="181"/>
      <c r="VPH1" s="181"/>
      <c r="VPI1" s="181"/>
      <c r="VPJ1" s="181"/>
      <c r="VPK1" s="181"/>
      <c r="VPL1" s="181"/>
      <c r="VPM1" s="182"/>
      <c r="VPN1" s="183"/>
      <c r="VPO1" s="184"/>
      <c r="VPP1" s="184"/>
      <c r="VPQ1" s="184"/>
      <c r="VPR1" s="184"/>
      <c r="VPS1" s="184"/>
      <c r="VPT1" s="184"/>
      <c r="VPU1" s="184"/>
      <c r="VPV1" s="184"/>
      <c r="VPW1" s="185"/>
      <c r="VPX1" s="180"/>
      <c r="VPY1" s="181"/>
      <c r="VPZ1" s="181"/>
      <c r="VQA1" s="181"/>
      <c r="VQB1" s="181"/>
      <c r="VQC1" s="181"/>
      <c r="VQD1" s="181"/>
      <c r="VQE1" s="181"/>
      <c r="VQF1" s="181"/>
      <c r="VQG1" s="182"/>
      <c r="VQH1" s="183"/>
      <c r="VQI1" s="184"/>
      <c r="VQJ1" s="184"/>
      <c r="VQK1" s="184"/>
      <c r="VQL1" s="184"/>
      <c r="VQM1" s="184"/>
      <c r="VQN1" s="184"/>
      <c r="VQO1" s="184"/>
      <c r="VQP1" s="184"/>
      <c r="VQQ1" s="185"/>
      <c r="VQR1" s="180"/>
      <c r="VQS1" s="181"/>
      <c r="VQT1" s="181"/>
      <c r="VQU1" s="181"/>
      <c r="VQV1" s="181"/>
      <c r="VQW1" s="181"/>
      <c r="VQX1" s="181"/>
      <c r="VQY1" s="181"/>
      <c r="VQZ1" s="181"/>
      <c r="VRA1" s="182"/>
      <c r="VRB1" s="183"/>
      <c r="VRC1" s="184"/>
      <c r="VRD1" s="184"/>
      <c r="VRE1" s="184"/>
      <c r="VRF1" s="184"/>
      <c r="VRG1" s="184"/>
      <c r="VRH1" s="184"/>
      <c r="VRI1" s="184"/>
      <c r="VRJ1" s="184"/>
      <c r="VRK1" s="185"/>
      <c r="VRL1" s="180"/>
      <c r="VRM1" s="181"/>
      <c r="VRN1" s="181"/>
      <c r="VRO1" s="181"/>
      <c r="VRP1" s="181"/>
      <c r="VRQ1" s="181"/>
      <c r="VRR1" s="181"/>
      <c r="VRS1" s="181"/>
      <c r="VRT1" s="181"/>
      <c r="VRU1" s="182"/>
      <c r="VRV1" s="183"/>
      <c r="VRW1" s="184"/>
      <c r="VRX1" s="184"/>
      <c r="VRY1" s="184"/>
      <c r="VRZ1" s="184"/>
      <c r="VSA1" s="184"/>
      <c r="VSB1" s="184"/>
      <c r="VSC1" s="184"/>
      <c r="VSD1" s="184"/>
      <c r="VSE1" s="185"/>
      <c r="VSF1" s="180"/>
      <c r="VSG1" s="181"/>
      <c r="VSH1" s="181"/>
      <c r="VSI1" s="181"/>
      <c r="VSJ1" s="181"/>
      <c r="VSK1" s="181"/>
      <c r="VSL1" s="181"/>
      <c r="VSM1" s="181"/>
      <c r="VSN1" s="181"/>
      <c r="VSO1" s="182"/>
      <c r="VSP1" s="183"/>
      <c r="VSQ1" s="184"/>
      <c r="VSR1" s="184"/>
      <c r="VSS1" s="184"/>
      <c r="VST1" s="184"/>
      <c r="VSU1" s="184"/>
      <c r="VSV1" s="184"/>
      <c r="VSW1" s="184"/>
      <c r="VSX1" s="184"/>
      <c r="VSY1" s="185"/>
      <c r="VSZ1" s="180"/>
      <c r="VTA1" s="181"/>
      <c r="VTB1" s="181"/>
      <c r="VTC1" s="181"/>
      <c r="VTD1" s="181"/>
      <c r="VTE1" s="181"/>
      <c r="VTF1" s="181"/>
      <c r="VTG1" s="181"/>
      <c r="VTH1" s="181"/>
      <c r="VTI1" s="182"/>
      <c r="VTJ1" s="183"/>
      <c r="VTK1" s="184"/>
      <c r="VTL1" s="184"/>
      <c r="VTM1" s="184"/>
      <c r="VTN1" s="184"/>
      <c r="VTO1" s="184"/>
      <c r="VTP1" s="184"/>
      <c r="VTQ1" s="184"/>
      <c r="VTR1" s="184"/>
      <c r="VTS1" s="185"/>
      <c r="VTT1" s="180"/>
      <c r="VTU1" s="181"/>
      <c r="VTV1" s="181"/>
      <c r="VTW1" s="181"/>
      <c r="VTX1" s="181"/>
      <c r="VTY1" s="181"/>
      <c r="VTZ1" s="181"/>
      <c r="VUA1" s="181"/>
      <c r="VUB1" s="181"/>
      <c r="VUC1" s="182"/>
      <c r="VUD1" s="183"/>
      <c r="VUE1" s="184"/>
      <c r="VUF1" s="184"/>
      <c r="VUG1" s="184"/>
      <c r="VUH1" s="184"/>
      <c r="VUI1" s="184"/>
      <c r="VUJ1" s="184"/>
      <c r="VUK1" s="184"/>
      <c r="VUL1" s="184"/>
      <c r="VUM1" s="185"/>
      <c r="VUN1" s="180"/>
      <c r="VUO1" s="181"/>
      <c r="VUP1" s="181"/>
      <c r="VUQ1" s="181"/>
      <c r="VUR1" s="181"/>
      <c r="VUS1" s="181"/>
      <c r="VUT1" s="181"/>
      <c r="VUU1" s="181"/>
      <c r="VUV1" s="181"/>
      <c r="VUW1" s="182"/>
      <c r="VUX1" s="183"/>
      <c r="VUY1" s="184"/>
      <c r="VUZ1" s="184"/>
      <c r="VVA1" s="184"/>
      <c r="VVB1" s="184"/>
      <c r="VVC1" s="184"/>
      <c r="VVD1" s="184"/>
      <c r="VVE1" s="184"/>
      <c r="VVF1" s="184"/>
      <c r="VVG1" s="185"/>
      <c r="VVH1" s="180"/>
      <c r="VVI1" s="181"/>
      <c r="VVJ1" s="181"/>
      <c r="VVK1" s="181"/>
      <c r="VVL1" s="181"/>
      <c r="VVM1" s="181"/>
      <c r="VVN1" s="181"/>
      <c r="VVO1" s="181"/>
      <c r="VVP1" s="181"/>
      <c r="VVQ1" s="182"/>
      <c r="VVR1" s="183"/>
      <c r="VVS1" s="184"/>
      <c r="VVT1" s="184"/>
      <c r="VVU1" s="184"/>
      <c r="VVV1" s="184"/>
      <c r="VVW1" s="184"/>
      <c r="VVX1" s="184"/>
      <c r="VVY1" s="184"/>
      <c r="VVZ1" s="184"/>
      <c r="VWA1" s="185"/>
      <c r="VWB1" s="180"/>
      <c r="VWC1" s="181"/>
      <c r="VWD1" s="181"/>
      <c r="VWE1" s="181"/>
      <c r="VWF1" s="181"/>
      <c r="VWG1" s="181"/>
      <c r="VWH1" s="181"/>
      <c r="VWI1" s="181"/>
      <c r="VWJ1" s="181"/>
      <c r="VWK1" s="182"/>
      <c r="VWL1" s="183"/>
      <c r="VWM1" s="184"/>
      <c r="VWN1" s="184"/>
      <c r="VWO1" s="184"/>
      <c r="VWP1" s="184"/>
      <c r="VWQ1" s="184"/>
      <c r="VWR1" s="184"/>
      <c r="VWS1" s="184"/>
      <c r="VWT1" s="184"/>
      <c r="VWU1" s="185"/>
      <c r="VWV1" s="180"/>
      <c r="VWW1" s="181"/>
      <c r="VWX1" s="181"/>
      <c r="VWY1" s="181"/>
      <c r="VWZ1" s="181"/>
      <c r="VXA1" s="181"/>
      <c r="VXB1" s="181"/>
      <c r="VXC1" s="181"/>
      <c r="VXD1" s="181"/>
      <c r="VXE1" s="182"/>
      <c r="VXF1" s="183"/>
      <c r="VXG1" s="184"/>
      <c r="VXH1" s="184"/>
      <c r="VXI1" s="184"/>
      <c r="VXJ1" s="184"/>
      <c r="VXK1" s="184"/>
      <c r="VXL1" s="184"/>
      <c r="VXM1" s="184"/>
      <c r="VXN1" s="184"/>
      <c r="VXO1" s="185"/>
      <c r="VXP1" s="180"/>
      <c r="VXQ1" s="181"/>
      <c r="VXR1" s="181"/>
      <c r="VXS1" s="181"/>
      <c r="VXT1" s="181"/>
      <c r="VXU1" s="181"/>
      <c r="VXV1" s="181"/>
      <c r="VXW1" s="181"/>
      <c r="VXX1" s="181"/>
      <c r="VXY1" s="182"/>
      <c r="VXZ1" s="183"/>
      <c r="VYA1" s="184"/>
      <c r="VYB1" s="184"/>
      <c r="VYC1" s="184"/>
      <c r="VYD1" s="184"/>
      <c r="VYE1" s="184"/>
      <c r="VYF1" s="184"/>
      <c r="VYG1" s="184"/>
      <c r="VYH1" s="184"/>
      <c r="VYI1" s="185"/>
      <c r="VYJ1" s="180"/>
      <c r="VYK1" s="181"/>
      <c r="VYL1" s="181"/>
      <c r="VYM1" s="181"/>
      <c r="VYN1" s="181"/>
      <c r="VYO1" s="181"/>
      <c r="VYP1" s="181"/>
      <c r="VYQ1" s="181"/>
      <c r="VYR1" s="181"/>
      <c r="VYS1" s="182"/>
      <c r="VYT1" s="183"/>
      <c r="VYU1" s="184"/>
      <c r="VYV1" s="184"/>
      <c r="VYW1" s="184"/>
      <c r="VYX1" s="184"/>
      <c r="VYY1" s="184"/>
      <c r="VYZ1" s="184"/>
      <c r="VZA1" s="184"/>
      <c r="VZB1" s="184"/>
      <c r="VZC1" s="185"/>
      <c r="VZD1" s="180"/>
      <c r="VZE1" s="181"/>
      <c r="VZF1" s="181"/>
      <c r="VZG1" s="181"/>
      <c r="VZH1" s="181"/>
      <c r="VZI1" s="181"/>
      <c r="VZJ1" s="181"/>
      <c r="VZK1" s="181"/>
      <c r="VZL1" s="181"/>
      <c r="VZM1" s="182"/>
      <c r="VZN1" s="183"/>
      <c r="VZO1" s="184"/>
      <c r="VZP1" s="184"/>
      <c r="VZQ1" s="184"/>
      <c r="VZR1" s="184"/>
      <c r="VZS1" s="184"/>
      <c r="VZT1" s="184"/>
      <c r="VZU1" s="184"/>
      <c r="VZV1" s="184"/>
      <c r="VZW1" s="185"/>
      <c r="VZX1" s="180"/>
      <c r="VZY1" s="181"/>
      <c r="VZZ1" s="181"/>
      <c r="WAA1" s="181"/>
      <c r="WAB1" s="181"/>
      <c r="WAC1" s="181"/>
      <c r="WAD1" s="181"/>
      <c r="WAE1" s="181"/>
      <c r="WAF1" s="181"/>
      <c r="WAG1" s="182"/>
      <c r="WAH1" s="183"/>
      <c r="WAI1" s="184"/>
      <c r="WAJ1" s="184"/>
      <c r="WAK1" s="184"/>
      <c r="WAL1" s="184"/>
      <c r="WAM1" s="184"/>
      <c r="WAN1" s="184"/>
      <c r="WAO1" s="184"/>
      <c r="WAP1" s="184"/>
      <c r="WAQ1" s="185"/>
      <c r="WAR1" s="180"/>
      <c r="WAS1" s="181"/>
      <c r="WAT1" s="181"/>
      <c r="WAU1" s="181"/>
      <c r="WAV1" s="181"/>
      <c r="WAW1" s="181"/>
      <c r="WAX1" s="181"/>
      <c r="WAY1" s="181"/>
      <c r="WAZ1" s="181"/>
      <c r="WBA1" s="182"/>
      <c r="WBB1" s="183"/>
      <c r="WBC1" s="184"/>
      <c r="WBD1" s="184"/>
      <c r="WBE1" s="184"/>
      <c r="WBF1" s="184"/>
      <c r="WBG1" s="184"/>
      <c r="WBH1" s="184"/>
      <c r="WBI1" s="184"/>
      <c r="WBJ1" s="184"/>
      <c r="WBK1" s="185"/>
      <c r="WBL1" s="180"/>
      <c r="WBM1" s="181"/>
      <c r="WBN1" s="181"/>
      <c r="WBO1" s="181"/>
      <c r="WBP1" s="181"/>
      <c r="WBQ1" s="181"/>
      <c r="WBR1" s="181"/>
      <c r="WBS1" s="181"/>
      <c r="WBT1" s="181"/>
      <c r="WBU1" s="182"/>
      <c r="WBV1" s="183"/>
      <c r="WBW1" s="184"/>
      <c r="WBX1" s="184"/>
      <c r="WBY1" s="184"/>
      <c r="WBZ1" s="184"/>
      <c r="WCA1" s="184"/>
      <c r="WCB1" s="184"/>
      <c r="WCC1" s="184"/>
      <c r="WCD1" s="184"/>
      <c r="WCE1" s="185"/>
      <c r="WCF1" s="180"/>
      <c r="WCG1" s="181"/>
      <c r="WCH1" s="181"/>
      <c r="WCI1" s="181"/>
      <c r="WCJ1" s="181"/>
      <c r="WCK1" s="181"/>
      <c r="WCL1" s="181"/>
      <c r="WCM1" s="181"/>
      <c r="WCN1" s="181"/>
      <c r="WCO1" s="182"/>
      <c r="WCP1" s="183"/>
      <c r="WCQ1" s="184"/>
      <c r="WCR1" s="184"/>
      <c r="WCS1" s="184"/>
      <c r="WCT1" s="184"/>
      <c r="WCU1" s="184"/>
      <c r="WCV1" s="184"/>
      <c r="WCW1" s="184"/>
      <c r="WCX1" s="184"/>
      <c r="WCY1" s="185"/>
      <c r="WCZ1" s="180"/>
      <c r="WDA1" s="181"/>
      <c r="WDB1" s="181"/>
      <c r="WDC1" s="181"/>
      <c r="WDD1" s="181"/>
      <c r="WDE1" s="181"/>
      <c r="WDF1" s="181"/>
      <c r="WDG1" s="181"/>
      <c r="WDH1" s="181"/>
      <c r="WDI1" s="182"/>
      <c r="WDJ1" s="183"/>
      <c r="WDK1" s="184"/>
      <c r="WDL1" s="184"/>
      <c r="WDM1" s="184"/>
      <c r="WDN1" s="184"/>
      <c r="WDO1" s="184"/>
      <c r="WDP1" s="184"/>
      <c r="WDQ1" s="184"/>
      <c r="WDR1" s="184"/>
      <c r="WDS1" s="185"/>
      <c r="WDT1" s="180"/>
      <c r="WDU1" s="181"/>
      <c r="WDV1" s="181"/>
      <c r="WDW1" s="181"/>
      <c r="WDX1" s="181"/>
      <c r="WDY1" s="181"/>
      <c r="WDZ1" s="181"/>
      <c r="WEA1" s="181"/>
      <c r="WEB1" s="181"/>
      <c r="WEC1" s="182"/>
      <c r="WED1" s="183"/>
      <c r="WEE1" s="184"/>
      <c r="WEF1" s="184"/>
      <c r="WEG1" s="184"/>
      <c r="WEH1" s="184"/>
      <c r="WEI1" s="184"/>
      <c r="WEJ1" s="184"/>
      <c r="WEK1" s="184"/>
      <c r="WEL1" s="184"/>
      <c r="WEM1" s="185"/>
      <c r="WEN1" s="180"/>
      <c r="WEO1" s="181"/>
      <c r="WEP1" s="181"/>
      <c r="WEQ1" s="181"/>
      <c r="WER1" s="181"/>
      <c r="WES1" s="181"/>
      <c r="WET1" s="181"/>
      <c r="WEU1" s="181"/>
      <c r="WEV1" s="181"/>
      <c r="WEW1" s="182"/>
      <c r="WEX1" s="183"/>
      <c r="WEY1" s="184"/>
      <c r="WEZ1" s="184"/>
      <c r="WFA1" s="184"/>
      <c r="WFB1" s="184"/>
      <c r="WFC1" s="184"/>
      <c r="WFD1" s="184"/>
      <c r="WFE1" s="184"/>
      <c r="WFF1" s="184"/>
      <c r="WFG1" s="185"/>
      <c r="WFH1" s="180"/>
      <c r="WFI1" s="181"/>
      <c r="WFJ1" s="181"/>
      <c r="WFK1" s="181"/>
      <c r="WFL1" s="181"/>
      <c r="WFM1" s="181"/>
      <c r="WFN1" s="181"/>
      <c r="WFO1" s="181"/>
      <c r="WFP1" s="181"/>
      <c r="WFQ1" s="182"/>
      <c r="WFR1" s="183"/>
      <c r="WFS1" s="184"/>
      <c r="WFT1" s="184"/>
      <c r="WFU1" s="184"/>
      <c r="WFV1" s="184"/>
      <c r="WFW1" s="184"/>
      <c r="WFX1" s="184"/>
      <c r="WFY1" s="184"/>
      <c r="WFZ1" s="184"/>
      <c r="WGA1" s="185"/>
      <c r="WGB1" s="180"/>
      <c r="WGC1" s="181"/>
      <c r="WGD1" s="181"/>
      <c r="WGE1" s="181"/>
      <c r="WGF1" s="181"/>
      <c r="WGG1" s="181"/>
      <c r="WGH1" s="181"/>
      <c r="WGI1" s="181"/>
      <c r="WGJ1" s="181"/>
      <c r="WGK1" s="182"/>
      <c r="WGL1" s="183"/>
      <c r="WGM1" s="184"/>
      <c r="WGN1" s="184"/>
      <c r="WGO1" s="184"/>
      <c r="WGP1" s="184"/>
      <c r="WGQ1" s="184"/>
      <c r="WGR1" s="184"/>
      <c r="WGS1" s="184"/>
      <c r="WGT1" s="184"/>
      <c r="WGU1" s="185"/>
      <c r="WGV1" s="180"/>
      <c r="WGW1" s="181"/>
      <c r="WGX1" s="181"/>
      <c r="WGY1" s="181"/>
      <c r="WGZ1" s="181"/>
      <c r="WHA1" s="181"/>
      <c r="WHB1" s="181"/>
      <c r="WHC1" s="181"/>
      <c r="WHD1" s="181"/>
      <c r="WHE1" s="182"/>
      <c r="WHF1" s="183"/>
      <c r="WHG1" s="184"/>
      <c r="WHH1" s="184"/>
      <c r="WHI1" s="184"/>
      <c r="WHJ1" s="184"/>
      <c r="WHK1" s="184"/>
      <c r="WHL1" s="184"/>
      <c r="WHM1" s="184"/>
      <c r="WHN1" s="184"/>
      <c r="WHO1" s="185"/>
      <c r="WHP1" s="180"/>
      <c r="WHQ1" s="181"/>
      <c r="WHR1" s="181"/>
      <c r="WHS1" s="181"/>
      <c r="WHT1" s="181"/>
      <c r="WHU1" s="181"/>
      <c r="WHV1" s="181"/>
      <c r="WHW1" s="181"/>
      <c r="WHX1" s="181"/>
      <c r="WHY1" s="182"/>
      <c r="WHZ1" s="183"/>
      <c r="WIA1" s="184"/>
      <c r="WIB1" s="184"/>
      <c r="WIC1" s="184"/>
      <c r="WID1" s="184"/>
      <c r="WIE1" s="184"/>
      <c r="WIF1" s="184"/>
      <c r="WIG1" s="184"/>
      <c r="WIH1" s="184"/>
      <c r="WII1" s="185"/>
      <c r="WIJ1" s="180"/>
      <c r="WIK1" s="181"/>
      <c r="WIL1" s="181"/>
      <c r="WIM1" s="181"/>
      <c r="WIN1" s="181"/>
      <c r="WIO1" s="181"/>
      <c r="WIP1" s="181"/>
      <c r="WIQ1" s="181"/>
      <c r="WIR1" s="181"/>
      <c r="WIS1" s="182"/>
      <c r="WIT1" s="183"/>
      <c r="WIU1" s="184"/>
      <c r="WIV1" s="184"/>
      <c r="WIW1" s="184"/>
      <c r="WIX1" s="184"/>
      <c r="WIY1" s="184"/>
      <c r="WIZ1" s="184"/>
      <c r="WJA1" s="184"/>
      <c r="WJB1" s="184"/>
      <c r="WJC1" s="185"/>
      <c r="WJD1" s="180"/>
      <c r="WJE1" s="181"/>
      <c r="WJF1" s="181"/>
      <c r="WJG1" s="181"/>
      <c r="WJH1" s="181"/>
      <c r="WJI1" s="181"/>
      <c r="WJJ1" s="181"/>
      <c r="WJK1" s="181"/>
      <c r="WJL1" s="181"/>
      <c r="WJM1" s="182"/>
      <c r="WJN1" s="183"/>
      <c r="WJO1" s="184"/>
      <c r="WJP1" s="184"/>
      <c r="WJQ1" s="184"/>
      <c r="WJR1" s="184"/>
      <c r="WJS1" s="184"/>
      <c r="WJT1" s="184"/>
      <c r="WJU1" s="184"/>
      <c r="WJV1" s="184"/>
      <c r="WJW1" s="185"/>
      <c r="WJX1" s="180"/>
      <c r="WJY1" s="181"/>
      <c r="WJZ1" s="181"/>
      <c r="WKA1" s="181"/>
      <c r="WKB1" s="181"/>
      <c r="WKC1" s="181"/>
      <c r="WKD1" s="181"/>
      <c r="WKE1" s="181"/>
      <c r="WKF1" s="181"/>
      <c r="WKG1" s="182"/>
      <c r="WKH1" s="183"/>
      <c r="WKI1" s="184"/>
      <c r="WKJ1" s="184"/>
      <c r="WKK1" s="184"/>
      <c r="WKL1" s="184"/>
      <c r="WKM1" s="184"/>
      <c r="WKN1" s="184"/>
      <c r="WKO1" s="184"/>
      <c r="WKP1" s="184"/>
      <c r="WKQ1" s="185"/>
      <c r="WKR1" s="180"/>
      <c r="WKS1" s="181"/>
      <c r="WKT1" s="181"/>
      <c r="WKU1" s="181"/>
      <c r="WKV1" s="181"/>
      <c r="WKW1" s="181"/>
      <c r="WKX1" s="181"/>
      <c r="WKY1" s="181"/>
      <c r="WKZ1" s="181"/>
      <c r="WLA1" s="182"/>
      <c r="WLB1" s="183"/>
      <c r="WLC1" s="184"/>
      <c r="WLD1" s="184"/>
      <c r="WLE1" s="184"/>
      <c r="WLF1" s="184"/>
      <c r="WLG1" s="184"/>
      <c r="WLH1" s="184"/>
      <c r="WLI1" s="184"/>
      <c r="WLJ1" s="184"/>
      <c r="WLK1" s="185"/>
      <c r="WLL1" s="180"/>
      <c r="WLM1" s="181"/>
      <c r="WLN1" s="181"/>
      <c r="WLO1" s="181"/>
      <c r="WLP1" s="181"/>
      <c r="WLQ1" s="181"/>
      <c r="WLR1" s="181"/>
      <c r="WLS1" s="181"/>
      <c r="WLT1" s="181"/>
      <c r="WLU1" s="182"/>
      <c r="WLV1" s="183"/>
      <c r="WLW1" s="184"/>
      <c r="WLX1" s="184"/>
      <c r="WLY1" s="184"/>
      <c r="WLZ1" s="184"/>
      <c r="WMA1" s="184"/>
      <c r="WMB1" s="184"/>
      <c r="WMC1" s="184"/>
      <c r="WMD1" s="184"/>
      <c r="WME1" s="185"/>
      <c r="WMF1" s="180"/>
      <c r="WMG1" s="181"/>
      <c r="WMH1" s="181"/>
      <c r="WMI1" s="181"/>
      <c r="WMJ1" s="181"/>
      <c r="WMK1" s="181"/>
      <c r="WML1" s="181"/>
      <c r="WMM1" s="181"/>
      <c r="WMN1" s="181"/>
      <c r="WMO1" s="182"/>
      <c r="WMP1" s="183"/>
      <c r="WMQ1" s="184"/>
      <c r="WMR1" s="184"/>
      <c r="WMS1" s="184"/>
      <c r="WMT1" s="184"/>
      <c r="WMU1" s="184"/>
      <c r="WMV1" s="184"/>
      <c r="WMW1" s="184"/>
      <c r="WMX1" s="184"/>
      <c r="WMY1" s="185"/>
      <c r="WMZ1" s="180"/>
      <c r="WNA1" s="181"/>
      <c r="WNB1" s="181"/>
      <c r="WNC1" s="181"/>
      <c r="WND1" s="181"/>
      <c r="WNE1" s="181"/>
      <c r="WNF1" s="181"/>
      <c r="WNG1" s="181"/>
      <c r="WNH1" s="181"/>
      <c r="WNI1" s="182"/>
      <c r="WNJ1" s="183"/>
      <c r="WNK1" s="184"/>
      <c r="WNL1" s="184"/>
      <c r="WNM1" s="184"/>
      <c r="WNN1" s="184"/>
      <c r="WNO1" s="184"/>
      <c r="WNP1" s="184"/>
      <c r="WNQ1" s="184"/>
      <c r="WNR1" s="184"/>
      <c r="WNS1" s="185"/>
      <c r="WNT1" s="180"/>
      <c r="WNU1" s="181"/>
      <c r="WNV1" s="181"/>
      <c r="WNW1" s="181"/>
      <c r="WNX1" s="181"/>
      <c r="WNY1" s="181"/>
      <c r="WNZ1" s="181"/>
      <c r="WOA1" s="181"/>
      <c r="WOB1" s="181"/>
      <c r="WOC1" s="182"/>
      <c r="WOD1" s="183"/>
      <c r="WOE1" s="184"/>
      <c r="WOF1" s="184"/>
      <c r="WOG1" s="184"/>
      <c r="WOH1" s="184"/>
      <c r="WOI1" s="184"/>
      <c r="WOJ1" s="184"/>
      <c r="WOK1" s="184"/>
      <c r="WOL1" s="184"/>
      <c r="WOM1" s="185"/>
      <c r="WON1" s="180"/>
      <c r="WOO1" s="181"/>
      <c r="WOP1" s="181"/>
      <c r="WOQ1" s="181"/>
      <c r="WOR1" s="181"/>
      <c r="WOS1" s="181"/>
      <c r="WOT1" s="181"/>
      <c r="WOU1" s="181"/>
      <c r="WOV1" s="181"/>
      <c r="WOW1" s="182"/>
      <c r="WOX1" s="183"/>
      <c r="WOY1" s="184"/>
      <c r="WOZ1" s="184"/>
      <c r="WPA1" s="184"/>
      <c r="WPB1" s="184"/>
      <c r="WPC1" s="184"/>
      <c r="WPD1" s="184"/>
      <c r="WPE1" s="184"/>
      <c r="WPF1" s="184"/>
      <c r="WPG1" s="185"/>
      <c r="WPH1" s="180"/>
      <c r="WPI1" s="181"/>
      <c r="WPJ1" s="181"/>
      <c r="WPK1" s="181"/>
      <c r="WPL1" s="181"/>
      <c r="WPM1" s="181"/>
      <c r="WPN1" s="181"/>
      <c r="WPO1" s="181"/>
      <c r="WPP1" s="181"/>
      <c r="WPQ1" s="182"/>
      <c r="WPR1" s="183"/>
      <c r="WPS1" s="184"/>
      <c r="WPT1" s="184"/>
      <c r="WPU1" s="184"/>
      <c r="WPV1" s="184"/>
      <c r="WPW1" s="184"/>
      <c r="WPX1" s="184"/>
      <c r="WPY1" s="184"/>
      <c r="WPZ1" s="184"/>
      <c r="WQA1" s="185"/>
      <c r="WQB1" s="180"/>
      <c r="WQC1" s="181"/>
      <c r="WQD1" s="181"/>
      <c r="WQE1" s="181"/>
      <c r="WQF1" s="181"/>
      <c r="WQG1" s="181"/>
      <c r="WQH1" s="181"/>
      <c r="WQI1" s="181"/>
      <c r="WQJ1" s="181"/>
      <c r="WQK1" s="182"/>
      <c r="WQL1" s="183"/>
      <c r="WQM1" s="184"/>
      <c r="WQN1" s="184"/>
      <c r="WQO1" s="184"/>
      <c r="WQP1" s="184"/>
      <c r="WQQ1" s="184"/>
      <c r="WQR1" s="184"/>
      <c r="WQS1" s="184"/>
      <c r="WQT1" s="184"/>
      <c r="WQU1" s="185"/>
      <c r="WQV1" s="180"/>
      <c r="WQW1" s="181"/>
      <c r="WQX1" s="181"/>
      <c r="WQY1" s="181"/>
      <c r="WQZ1" s="181"/>
      <c r="WRA1" s="181"/>
      <c r="WRB1" s="181"/>
      <c r="WRC1" s="181"/>
      <c r="WRD1" s="181"/>
      <c r="WRE1" s="182"/>
      <c r="WRF1" s="183"/>
      <c r="WRG1" s="184"/>
      <c r="WRH1" s="184"/>
      <c r="WRI1" s="184"/>
      <c r="WRJ1" s="184"/>
      <c r="WRK1" s="184"/>
      <c r="WRL1" s="184"/>
      <c r="WRM1" s="184"/>
      <c r="WRN1" s="184"/>
      <c r="WRO1" s="185"/>
      <c r="WRP1" s="180"/>
      <c r="WRQ1" s="181"/>
      <c r="WRR1" s="181"/>
      <c r="WRS1" s="181"/>
      <c r="WRT1" s="181"/>
      <c r="WRU1" s="181"/>
      <c r="WRV1" s="181"/>
      <c r="WRW1" s="181"/>
      <c r="WRX1" s="181"/>
      <c r="WRY1" s="182"/>
      <c r="WRZ1" s="183"/>
      <c r="WSA1" s="184"/>
      <c r="WSB1" s="184"/>
      <c r="WSC1" s="184"/>
      <c r="WSD1" s="184"/>
      <c r="WSE1" s="184"/>
      <c r="WSF1" s="184"/>
      <c r="WSG1" s="184"/>
      <c r="WSH1" s="184"/>
      <c r="WSI1" s="185"/>
      <c r="WSJ1" s="180"/>
      <c r="WSK1" s="181"/>
      <c r="WSL1" s="181"/>
      <c r="WSM1" s="181"/>
      <c r="WSN1" s="181"/>
      <c r="WSO1" s="181"/>
      <c r="WSP1" s="181"/>
      <c r="WSQ1" s="181"/>
      <c r="WSR1" s="181"/>
      <c r="WSS1" s="182"/>
      <c r="WST1" s="183"/>
      <c r="WSU1" s="184"/>
      <c r="WSV1" s="184"/>
      <c r="WSW1" s="184"/>
      <c r="WSX1" s="184"/>
      <c r="WSY1" s="184"/>
      <c r="WSZ1" s="184"/>
      <c r="WTA1" s="184"/>
      <c r="WTB1" s="184"/>
      <c r="WTC1" s="185"/>
      <c r="WTD1" s="180"/>
      <c r="WTE1" s="181"/>
      <c r="WTF1" s="181"/>
      <c r="WTG1" s="181"/>
      <c r="WTH1" s="181"/>
      <c r="WTI1" s="181"/>
      <c r="WTJ1" s="181"/>
      <c r="WTK1" s="181"/>
      <c r="WTL1" s="181"/>
      <c r="WTM1" s="182"/>
      <c r="WTN1" s="183"/>
      <c r="WTO1" s="184"/>
      <c r="WTP1" s="184"/>
      <c r="WTQ1" s="184"/>
      <c r="WTR1" s="184"/>
      <c r="WTS1" s="184"/>
      <c r="WTT1" s="184"/>
      <c r="WTU1" s="184"/>
      <c r="WTV1" s="184"/>
      <c r="WTW1" s="185"/>
      <c r="WTX1" s="180"/>
      <c r="WTY1" s="181"/>
      <c r="WTZ1" s="181"/>
      <c r="WUA1" s="181"/>
      <c r="WUB1" s="181"/>
      <c r="WUC1" s="181"/>
      <c r="WUD1" s="181"/>
      <c r="WUE1" s="181"/>
      <c r="WUF1" s="181"/>
      <c r="WUG1" s="182"/>
      <c r="WUH1" s="183"/>
      <c r="WUI1" s="184"/>
      <c r="WUJ1" s="184"/>
      <c r="WUK1" s="184"/>
      <c r="WUL1" s="184"/>
      <c r="WUM1" s="184"/>
      <c r="WUN1" s="184"/>
      <c r="WUO1" s="184"/>
      <c r="WUP1" s="184"/>
      <c r="WUQ1" s="185"/>
      <c r="WUR1" s="180"/>
      <c r="WUS1" s="181"/>
      <c r="WUT1" s="181"/>
      <c r="WUU1" s="181"/>
      <c r="WUV1" s="181"/>
      <c r="WUW1" s="181"/>
      <c r="WUX1" s="181"/>
      <c r="WUY1" s="181"/>
      <c r="WUZ1" s="181"/>
      <c r="WVA1" s="182"/>
      <c r="WVB1" s="183"/>
      <c r="WVC1" s="184"/>
      <c r="WVD1" s="184"/>
      <c r="WVE1" s="184"/>
      <c r="WVF1" s="184"/>
      <c r="WVG1" s="184"/>
      <c r="WVH1" s="184"/>
      <c r="WVI1" s="184"/>
      <c r="WVJ1" s="184"/>
      <c r="WVK1" s="185"/>
      <c r="WVL1" s="180"/>
      <c r="WVM1" s="181"/>
      <c r="WVN1" s="181"/>
      <c r="WVO1" s="181"/>
      <c r="WVP1" s="181"/>
      <c r="WVQ1" s="181"/>
      <c r="WVR1" s="181"/>
      <c r="WVS1" s="181"/>
      <c r="WVT1" s="181"/>
      <c r="WVU1" s="182"/>
      <c r="WVV1" s="183"/>
      <c r="WVW1" s="184"/>
      <c r="WVX1" s="184"/>
      <c r="WVY1" s="184"/>
      <c r="WVZ1" s="184"/>
      <c r="WWA1" s="184"/>
      <c r="WWB1" s="184"/>
      <c r="WWC1" s="184"/>
      <c r="WWD1" s="184"/>
      <c r="WWE1" s="185"/>
      <c r="WWF1" s="180"/>
      <c r="WWG1" s="181"/>
      <c r="WWH1" s="181"/>
      <c r="WWI1" s="181"/>
      <c r="WWJ1" s="181"/>
      <c r="WWK1" s="181"/>
      <c r="WWL1" s="181"/>
      <c r="WWM1" s="181"/>
      <c r="WWN1" s="181"/>
      <c r="WWO1" s="182"/>
      <c r="WWP1" s="183"/>
      <c r="WWQ1" s="184"/>
      <c r="WWR1" s="184"/>
      <c r="WWS1" s="184"/>
      <c r="WWT1" s="184"/>
      <c r="WWU1" s="184"/>
      <c r="WWV1" s="184"/>
      <c r="WWW1" s="184"/>
      <c r="WWX1" s="184"/>
      <c r="WWY1" s="185"/>
      <c r="WWZ1" s="180"/>
      <c r="WXA1" s="181"/>
      <c r="WXB1" s="181"/>
      <c r="WXC1" s="181"/>
      <c r="WXD1" s="181"/>
      <c r="WXE1" s="181"/>
      <c r="WXF1" s="181"/>
      <c r="WXG1" s="181"/>
      <c r="WXH1" s="181"/>
      <c r="WXI1" s="182"/>
      <c r="WXJ1" s="183"/>
      <c r="WXK1" s="184"/>
      <c r="WXL1" s="184"/>
      <c r="WXM1" s="184"/>
      <c r="WXN1" s="184"/>
      <c r="WXO1" s="184"/>
      <c r="WXP1" s="184"/>
      <c r="WXQ1" s="184"/>
      <c r="WXR1" s="184"/>
      <c r="WXS1" s="185"/>
      <c r="WXT1" s="180"/>
      <c r="WXU1" s="181"/>
      <c r="WXV1" s="181"/>
      <c r="WXW1" s="181"/>
      <c r="WXX1" s="181"/>
      <c r="WXY1" s="181"/>
      <c r="WXZ1" s="181"/>
      <c r="WYA1" s="181"/>
      <c r="WYB1" s="181"/>
      <c r="WYC1" s="182"/>
      <c r="WYD1" s="183"/>
      <c r="WYE1" s="184"/>
      <c r="WYF1" s="184"/>
      <c r="WYG1" s="184"/>
      <c r="WYH1" s="184"/>
      <c r="WYI1" s="184"/>
      <c r="WYJ1" s="184"/>
      <c r="WYK1" s="184"/>
      <c r="WYL1" s="184"/>
      <c r="WYM1" s="185"/>
      <c r="WYN1" s="180"/>
      <c r="WYO1" s="181"/>
      <c r="WYP1" s="181"/>
      <c r="WYQ1" s="181"/>
      <c r="WYR1" s="181"/>
      <c r="WYS1" s="181"/>
      <c r="WYT1" s="181"/>
      <c r="WYU1" s="181"/>
      <c r="WYV1" s="181"/>
      <c r="WYW1" s="182"/>
      <c r="WYX1" s="183"/>
      <c r="WYY1" s="184"/>
      <c r="WYZ1" s="184"/>
      <c r="WZA1" s="184"/>
      <c r="WZB1" s="184"/>
      <c r="WZC1" s="184"/>
      <c r="WZD1" s="184"/>
      <c r="WZE1" s="184"/>
      <c r="WZF1" s="184"/>
      <c r="WZG1" s="185"/>
      <c r="WZH1" s="180"/>
      <c r="WZI1" s="181"/>
      <c r="WZJ1" s="181"/>
      <c r="WZK1" s="181"/>
      <c r="WZL1" s="181"/>
      <c r="WZM1" s="181"/>
      <c r="WZN1" s="181"/>
      <c r="WZO1" s="181"/>
      <c r="WZP1" s="181"/>
      <c r="WZQ1" s="182"/>
      <c r="WZR1" s="183"/>
      <c r="WZS1" s="184"/>
      <c r="WZT1" s="184"/>
      <c r="WZU1" s="184"/>
      <c r="WZV1" s="184"/>
      <c r="WZW1" s="184"/>
      <c r="WZX1" s="184"/>
      <c r="WZY1" s="184"/>
      <c r="WZZ1" s="184"/>
      <c r="XAA1" s="185"/>
      <c r="XAB1" s="180"/>
      <c r="XAC1" s="181"/>
      <c r="XAD1" s="181"/>
      <c r="XAE1" s="181"/>
      <c r="XAF1" s="181"/>
      <c r="XAG1" s="181"/>
      <c r="XAH1" s="181"/>
      <c r="XAI1" s="181"/>
      <c r="XAJ1" s="181"/>
      <c r="XAK1" s="182"/>
      <c r="XAL1" s="183"/>
      <c r="XAM1" s="184"/>
      <c r="XAN1" s="184"/>
      <c r="XAO1" s="184"/>
      <c r="XAP1" s="184"/>
      <c r="XAQ1" s="184"/>
      <c r="XAR1" s="184"/>
      <c r="XAS1" s="184"/>
      <c r="XAT1" s="184"/>
      <c r="XAU1" s="185"/>
      <c r="XAV1" s="180"/>
      <c r="XAW1" s="181"/>
      <c r="XAX1" s="181"/>
      <c r="XAY1" s="181"/>
      <c r="XAZ1" s="181"/>
      <c r="XBA1" s="181"/>
      <c r="XBB1" s="181"/>
      <c r="XBC1" s="181"/>
      <c r="XBD1" s="181"/>
      <c r="XBE1" s="182"/>
      <c r="XBF1" s="183"/>
      <c r="XBG1" s="184"/>
      <c r="XBH1" s="184"/>
      <c r="XBI1" s="184"/>
      <c r="XBJ1" s="184"/>
      <c r="XBK1" s="184"/>
      <c r="XBL1" s="184"/>
      <c r="XBM1" s="184"/>
      <c r="XBN1" s="184"/>
      <c r="XBO1" s="185"/>
      <c r="XBP1" s="180"/>
      <c r="XBQ1" s="181"/>
      <c r="XBR1" s="181"/>
      <c r="XBS1" s="181"/>
      <c r="XBT1" s="181"/>
      <c r="XBU1" s="181"/>
      <c r="XBV1" s="181"/>
      <c r="XBW1" s="181"/>
      <c r="XBX1" s="181"/>
      <c r="XBY1" s="182"/>
      <c r="XBZ1" s="183"/>
      <c r="XCA1" s="184"/>
      <c r="XCB1" s="184"/>
      <c r="XCC1" s="184"/>
      <c r="XCD1" s="184"/>
      <c r="XCE1" s="184"/>
      <c r="XCF1" s="184"/>
      <c r="XCG1" s="184"/>
      <c r="XCH1" s="184"/>
      <c r="XCI1" s="185"/>
      <c r="XCJ1" s="180"/>
      <c r="XCK1" s="181"/>
      <c r="XCL1" s="181"/>
      <c r="XCM1" s="181"/>
      <c r="XCN1" s="181"/>
      <c r="XCO1" s="181"/>
      <c r="XCP1" s="181"/>
      <c r="XCQ1" s="181"/>
      <c r="XCR1" s="181"/>
      <c r="XCS1" s="182"/>
      <c r="XCT1" s="183"/>
      <c r="XCU1" s="184"/>
      <c r="XCV1" s="184"/>
      <c r="XCW1" s="184"/>
      <c r="XCX1" s="184"/>
      <c r="XCY1" s="184"/>
      <c r="XCZ1" s="184"/>
      <c r="XDA1" s="184"/>
      <c r="XDB1" s="184"/>
      <c r="XDC1" s="185"/>
      <c r="XDD1" s="180"/>
      <c r="XDE1" s="181"/>
      <c r="XDF1" s="181"/>
      <c r="XDG1" s="181"/>
      <c r="XDH1" s="181"/>
      <c r="XDI1" s="181"/>
      <c r="XDJ1" s="181"/>
      <c r="XDK1" s="181"/>
      <c r="XDL1" s="181"/>
      <c r="XDM1" s="182"/>
      <c r="XDN1" s="183"/>
      <c r="XDO1" s="184"/>
      <c r="XDP1" s="184"/>
      <c r="XDQ1" s="184"/>
      <c r="XDR1" s="184"/>
      <c r="XDS1" s="184"/>
      <c r="XDT1" s="184"/>
      <c r="XDU1" s="184"/>
      <c r="XDV1" s="184"/>
      <c r="XDW1" s="185"/>
      <c r="XDX1" s="180"/>
      <c r="XDY1" s="181"/>
      <c r="XDZ1" s="181"/>
      <c r="XEA1" s="181"/>
      <c r="XEB1" s="181"/>
      <c r="XEC1" s="181"/>
      <c r="XED1" s="181"/>
      <c r="XEE1" s="181"/>
      <c r="XEF1" s="181"/>
      <c r="XEG1" s="182"/>
      <c r="XEH1" s="183"/>
      <c r="XEI1" s="184"/>
      <c r="XEJ1" s="184"/>
      <c r="XEK1" s="184"/>
      <c r="XEL1" s="184"/>
      <c r="XEM1" s="184"/>
      <c r="XEN1" s="184"/>
      <c r="XEO1" s="184"/>
      <c r="XEP1" s="184"/>
      <c r="XEQ1" s="185"/>
      <c r="XER1" s="180"/>
      <c r="XES1" s="181"/>
      <c r="XET1" s="181"/>
      <c r="XEU1" s="181"/>
      <c r="XEV1" s="181"/>
      <c r="XEW1" s="181"/>
      <c r="XEX1" s="181"/>
      <c r="XEY1" s="181"/>
      <c r="XEZ1" s="181"/>
      <c r="XFA1" s="182"/>
      <c r="XFB1" s="183"/>
      <c r="XFC1" s="184"/>
      <c r="XFD1" s="184"/>
    </row>
    <row r="2" spans="1:16384" s="107" customFormat="1" x14ac:dyDescent="0.25">
      <c r="A2" s="114" t="s">
        <v>17</v>
      </c>
      <c r="B2" s="104" t="s">
        <v>0</v>
      </c>
      <c r="C2" s="105" t="s">
        <v>39</v>
      </c>
      <c r="D2" s="105" t="s">
        <v>40</v>
      </c>
      <c r="E2" s="105" t="s">
        <v>41</v>
      </c>
      <c r="F2" s="105" t="s">
        <v>42</v>
      </c>
      <c r="G2" s="105" t="s">
        <v>43</v>
      </c>
      <c r="H2" s="105" t="s">
        <v>44</v>
      </c>
      <c r="I2" s="105" t="s">
        <v>71</v>
      </c>
      <c r="J2" s="105" t="s">
        <v>115</v>
      </c>
      <c r="K2" s="115" t="s">
        <v>116</v>
      </c>
      <c r="L2" s="106" t="s">
        <v>0</v>
      </c>
      <c r="M2" s="107" t="s">
        <v>39</v>
      </c>
      <c r="N2" s="107" t="s">
        <v>40</v>
      </c>
      <c r="O2" s="107" t="s">
        <v>41</v>
      </c>
      <c r="P2" s="107" t="s">
        <v>42</v>
      </c>
      <c r="Q2" s="107" t="s">
        <v>43</v>
      </c>
      <c r="R2" s="107" t="s">
        <v>44</v>
      </c>
      <c r="S2" s="107" t="s">
        <v>71</v>
      </c>
      <c r="T2" s="107" t="s">
        <v>115</v>
      </c>
      <c r="U2" s="74" t="s">
        <v>116</v>
      </c>
      <c r="V2" s="104" t="s">
        <v>0</v>
      </c>
      <c r="W2" s="105" t="s">
        <v>39</v>
      </c>
      <c r="X2" s="105" t="s">
        <v>40</v>
      </c>
      <c r="Y2" s="105" t="s">
        <v>41</v>
      </c>
      <c r="Z2" s="105" t="s">
        <v>42</v>
      </c>
      <c r="AA2" s="105" t="s">
        <v>43</v>
      </c>
      <c r="AB2" s="105" t="s">
        <v>44</v>
      </c>
      <c r="AC2" s="105" t="s">
        <v>71</v>
      </c>
      <c r="AD2" s="105" t="s">
        <v>115</v>
      </c>
      <c r="AE2" s="115" t="s">
        <v>116</v>
      </c>
      <c r="AF2" s="106" t="s">
        <v>0</v>
      </c>
      <c r="AG2" s="107" t="s">
        <v>39</v>
      </c>
      <c r="AH2" s="107" t="s">
        <v>40</v>
      </c>
      <c r="AI2" s="107" t="s">
        <v>41</v>
      </c>
      <c r="AJ2" s="107" t="s">
        <v>42</v>
      </c>
      <c r="AK2" s="107" t="s">
        <v>43</v>
      </c>
      <c r="AL2" s="107" t="s">
        <v>44</v>
      </c>
      <c r="AM2" s="107" t="s">
        <v>71</v>
      </c>
      <c r="AN2" s="107" t="s">
        <v>115</v>
      </c>
      <c r="AO2" s="74" t="s">
        <v>116</v>
      </c>
      <c r="AP2" s="104" t="s">
        <v>0</v>
      </c>
      <c r="AQ2" s="105" t="s">
        <v>39</v>
      </c>
      <c r="AR2" s="105" t="s">
        <v>40</v>
      </c>
      <c r="AS2" s="105" t="s">
        <v>41</v>
      </c>
      <c r="AT2" s="105" t="s">
        <v>42</v>
      </c>
      <c r="AU2" s="105" t="s">
        <v>43</v>
      </c>
      <c r="AV2" s="105" t="s">
        <v>44</v>
      </c>
      <c r="AW2" s="105" t="s">
        <v>71</v>
      </c>
      <c r="AX2" s="105" t="s">
        <v>115</v>
      </c>
      <c r="AY2" s="115" t="s">
        <v>116</v>
      </c>
      <c r="AZ2" s="106" t="s">
        <v>0</v>
      </c>
      <c r="BA2" s="107" t="s">
        <v>39</v>
      </c>
      <c r="BB2" s="107" t="s">
        <v>40</v>
      </c>
      <c r="BC2" s="107" t="s">
        <v>41</v>
      </c>
      <c r="BD2" s="107" t="s">
        <v>42</v>
      </c>
      <c r="BE2" s="107" t="s">
        <v>43</v>
      </c>
      <c r="BF2" s="107" t="s">
        <v>44</v>
      </c>
      <c r="BG2" s="107" t="s">
        <v>71</v>
      </c>
      <c r="BH2" s="107" t="s">
        <v>115</v>
      </c>
      <c r="BI2" s="74" t="s">
        <v>116</v>
      </c>
      <c r="BJ2" s="104" t="s">
        <v>0</v>
      </c>
      <c r="BK2" s="105" t="s">
        <v>39</v>
      </c>
      <c r="BL2" s="105" t="s">
        <v>40</v>
      </c>
      <c r="BM2" s="105" t="s">
        <v>41</v>
      </c>
      <c r="BN2" s="105" t="s">
        <v>42</v>
      </c>
      <c r="BO2" s="105" t="s">
        <v>43</v>
      </c>
      <c r="BP2" s="105" t="s">
        <v>44</v>
      </c>
      <c r="BQ2" s="105" t="s">
        <v>71</v>
      </c>
      <c r="BR2" s="105" t="s">
        <v>115</v>
      </c>
      <c r="BS2" s="115" t="s">
        <v>116</v>
      </c>
      <c r="BT2" s="106" t="s">
        <v>0</v>
      </c>
      <c r="BU2" s="107" t="s">
        <v>39</v>
      </c>
      <c r="BV2" s="107" t="s">
        <v>40</v>
      </c>
      <c r="BW2" s="107" t="s">
        <v>41</v>
      </c>
      <c r="BX2" s="107" t="s">
        <v>42</v>
      </c>
      <c r="BY2" s="107" t="s">
        <v>43</v>
      </c>
      <c r="BZ2" s="107" t="s">
        <v>44</v>
      </c>
      <c r="CA2" s="107" t="s">
        <v>71</v>
      </c>
      <c r="CB2" s="107" t="s">
        <v>115</v>
      </c>
      <c r="CC2" s="74" t="s">
        <v>116</v>
      </c>
      <c r="CD2" s="104" t="s">
        <v>0</v>
      </c>
      <c r="CE2" s="105" t="s">
        <v>39</v>
      </c>
      <c r="CF2" s="105" t="s">
        <v>40</v>
      </c>
      <c r="CG2" s="105" t="s">
        <v>41</v>
      </c>
      <c r="CH2" s="105" t="s">
        <v>42</v>
      </c>
      <c r="CI2" s="105" t="s">
        <v>43</v>
      </c>
      <c r="CJ2" s="105" t="s">
        <v>44</v>
      </c>
      <c r="CK2" s="105" t="s">
        <v>71</v>
      </c>
      <c r="CL2" s="105" t="s">
        <v>115</v>
      </c>
      <c r="CM2" s="115" t="s">
        <v>116</v>
      </c>
      <c r="CN2" s="106" t="s">
        <v>0</v>
      </c>
      <c r="CO2" s="107" t="s">
        <v>39</v>
      </c>
      <c r="CP2" s="107" t="s">
        <v>40</v>
      </c>
      <c r="CQ2" s="107" t="s">
        <v>41</v>
      </c>
      <c r="CR2" s="107" t="s">
        <v>42</v>
      </c>
      <c r="CS2" s="107" t="s">
        <v>43</v>
      </c>
      <c r="CT2" s="107" t="s">
        <v>44</v>
      </c>
      <c r="CU2" s="107" t="s">
        <v>71</v>
      </c>
      <c r="CV2" s="107" t="s">
        <v>115</v>
      </c>
      <c r="CW2" s="74" t="s">
        <v>116</v>
      </c>
    </row>
    <row r="3" spans="1:16384" s="1" customFormat="1" x14ac:dyDescent="0.25">
      <c r="A3" s="114">
        <v>27</v>
      </c>
      <c r="B3" s="29"/>
      <c r="C3" s="30"/>
      <c r="D3" s="30"/>
      <c r="E3" s="30"/>
      <c r="F3" s="30"/>
      <c r="G3" s="30"/>
      <c r="H3" s="30"/>
      <c r="I3" s="30"/>
      <c r="J3" s="30"/>
      <c r="K3" s="31"/>
      <c r="L3" s="5"/>
      <c r="U3" s="6"/>
      <c r="V3" s="29"/>
      <c r="W3" s="30"/>
      <c r="X3" s="30"/>
      <c r="Y3" s="30"/>
      <c r="Z3" s="30"/>
      <c r="AA3" s="30"/>
      <c r="AB3" s="30"/>
      <c r="AC3" s="30"/>
      <c r="AD3" s="30"/>
      <c r="AE3" s="31"/>
      <c r="AF3" s="5"/>
      <c r="AO3" s="6"/>
      <c r="AP3" s="29"/>
      <c r="AQ3" s="30"/>
      <c r="AR3" s="30"/>
      <c r="AS3" s="30"/>
      <c r="AT3" s="30"/>
      <c r="AU3" s="30"/>
      <c r="AV3" s="30"/>
      <c r="AW3" s="30"/>
      <c r="AX3" s="30"/>
      <c r="AY3" s="31"/>
      <c r="AZ3" s="5"/>
      <c r="BI3" s="6"/>
      <c r="BJ3" s="29"/>
      <c r="BK3" s="30"/>
      <c r="BL3" s="30"/>
      <c r="BM3" s="30"/>
      <c r="BN3" s="30"/>
      <c r="BO3" s="30"/>
      <c r="BP3" s="30"/>
      <c r="BQ3" s="30"/>
      <c r="BR3" s="30"/>
      <c r="BS3" s="31"/>
      <c r="BT3" s="5"/>
      <c r="CC3" s="6"/>
      <c r="CD3" s="29"/>
      <c r="CE3" s="30"/>
      <c r="CF3" s="30"/>
      <c r="CG3" s="30"/>
      <c r="CH3" s="30"/>
      <c r="CI3" s="30"/>
      <c r="CJ3" s="30"/>
      <c r="CK3" s="30"/>
      <c r="CL3" s="30"/>
      <c r="CM3" s="31"/>
      <c r="CN3" s="5"/>
      <c r="CW3" s="6"/>
    </row>
    <row r="4" spans="1:16384" s="1" customFormat="1" x14ac:dyDescent="0.25">
      <c r="A4" s="114">
        <v>269</v>
      </c>
      <c r="B4" s="29"/>
      <c r="C4" s="30"/>
      <c r="D4" s="30"/>
      <c r="E4" s="30"/>
      <c r="F4" s="30"/>
      <c r="G4" s="30"/>
      <c r="H4" s="30"/>
      <c r="I4" s="30"/>
      <c r="J4" s="30"/>
      <c r="K4" s="31"/>
      <c r="L4" s="5"/>
      <c r="U4" s="6"/>
      <c r="V4" s="29"/>
      <c r="W4" s="30"/>
      <c r="X4" s="30"/>
      <c r="Y4" s="30"/>
      <c r="Z4" s="30"/>
      <c r="AA4" s="30"/>
      <c r="AB4" s="30"/>
      <c r="AC4" s="30"/>
      <c r="AD4" s="30"/>
      <c r="AE4" s="31"/>
      <c r="AF4" s="5"/>
      <c r="AO4" s="6"/>
      <c r="AP4" s="29"/>
      <c r="AQ4" s="30"/>
      <c r="AR4" s="30"/>
      <c r="AS4" s="30"/>
      <c r="AT4" s="30"/>
      <c r="AU4" s="30"/>
      <c r="AV4" s="30"/>
      <c r="AW4" s="30"/>
      <c r="AX4" s="30"/>
      <c r="AY4" s="31"/>
      <c r="AZ4" s="5"/>
      <c r="BI4" s="6"/>
      <c r="BJ4" s="29"/>
      <c r="BK4" s="30"/>
      <c r="BL4" s="30"/>
      <c r="BM4" s="30"/>
      <c r="BN4" s="30"/>
      <c r="BO4" s="30"/>
      <c r="BP4" s="30"/>
      <c r="BQ4" s="30"/>
      <c r="BR4" s="30"/>
      <c r="BS4" s="31"/>
      <c r="BT4" s="5"/>
      <c r="CC4" s="6"/>
      <c r="CD4" s="29"/>
      <c r="CE4" s="30"/>
      <c r="CF4" s="30"/>
      <c r="CG4" s="30"/>
      <c r="CH4" s="30"/>
      <c r="CI4" s="30"/>
      <c r="CJ4" s="30"/>
      <c r="CK4" s="30"/>
      <c r="CL4" s="30"/>
      <c r="CM4" s="31"/>
      <c r="CN4" s="5"/>
      <c r="CW4" s="6"/>
    </row>
    <row r="5" spans="1:16384" s="1" customFormat="1" x14ac:dyDescent="0.25">
      <c r="A5" s="114">
        <v>359</v>
      </c>
      <c r="B5" s="29"/>
      <c r="C5" s="30"/>
      <c r="D5" s="30"/>
      <c r="E5" s="30"/>
      <c r="F5" s="30"/>
      <c r="G5" s="30"/>
      <c r="H5" s="30"/>
      <c r="I5" s="30"/>
      <c r="J5" s="30"/>
      <c r="K5" s="31"/>
      <c r="L5" s="5"/>
      <c r="U5" s="6"/>
      <c r="V5" s="29"/>
      <c r="W5" s="30"/>
      <c r="X5" s="30"/>
      <c r="Y5" s="30"/>
      <c r="Z5" s="30"/>
      <c r="AA5" s="30"/>
      <c r="AB5" s="30"/>
      <c r="AC5" s="30"/>
      <c r="AD5" s="30"/>
      <c r="AE5" s="31"/>
      <c r="AF5" s="5"/>
      <c r="AO5" s="6"/>
      <c r="AP5" s="29"/>
      <c r="AQ5" s="30"/>
      <c r="AR5" s="30"/>
      <c r="AS5" s="30"/>
      <c r="AT5" s="30"/>
      <c r="AU5" s="30"/>
      <c r="AV5" s="30"/>
      <c r="AW5" s="30"/>
      <c r="AX5" s="30"/>
      <c r="AY5" s="31"/>
      <c r="AZ5" s="5"/>
      <c r="BI5" s="6"/>
      <c r="BJ5" s="29"/>
      <c r="BK5" s="30"/>
      <c r="BL5" s="30"/>
      <c r="BM5" s="30"/>
      <c r="BN5" s="30"/>
      <c r="BO5" s="30"/>
      <c r="BP5" s="30"/>
      <c r="BQ5" s="30"/>
      <c r="BR5" s="30"/>
      <c r="BS5" s="31"/>
      <c r="BT5" s="5"/>
      <c r="CC5" s="6"/>
      <c r="CD5" s="29"/>
      <c r="CE5" s="30"/>
      <c r="CF5" s="30"/>
      <c r="CG5" s="30"/>
      <c r="CH5" s="30"/>
      <c r="CI5" s="30"/>
      <c r="CJ5" s="30"/>
      <c r="CK5" s="30"/>
      <c r="CL5" s="30"/>
      <c r="CM5" s="31"/>
      <c r="CN5" s="5"/>
      <c r="CW5" s="6"/>
    </row>
    <row r="6" spans="1:16384" s="1" customFormat="1" x14ac:dyDescent="0.25">
      <c r="A6" s="114">
        <v>876</v>
      </c>
      <c r="B6" s="29"/>
      <c r="C6" s="30"/>
      <c r="D6" s="30"/>
      <c r="E6" s="30"/>
      <c r="F6" s="30"/>
      <c r="G6" s="30"/>
      <c r="H6" s="30"/>
      <c r="I6" s="30"/>
      <c r="J6" s="30"/>
      <c r="K6" s="31"/>
      <c r="L6" s="5"/>
      <c r="U6" s="6"/>
      <c r="V6" s="29"/>
      <c r="W6" s="30"/>
      <c r="X6" s="30"/>
      <c r="Y6" s="30"/>
      <c r="Z6" s="30"/>
      <c r="AA6" s="30"/>
      <c r="AB6" s="30"/>
      <c r="AC6" s="30"/>
      <c r="AD6" s="30"/>
      <c r="AE6" s="31"/>
      <c r="AF6" s="5"/>
      <c r="AO6" s="6"/>
      <c r="AP6" s="29"/>
      <c r="AQ6" s="30"/>
      <c r="AR6" s="30"/>
      <c r="AS6" s="30"/>
      <c r="AT6" s="30"/>
      <c r="AU6" s="30"/>
      <c r="AV6" s="30"/>
      <c r="AW6" s="30"/>
      <c r="AX6" s="30"/>
      <c r="AY6" s="31"/>
      <c r="AZ6" s="5"/>
      <c r="BI6" s="6"/>
      <c r="BJ6" s="29"/>
      <c r="BK6" s="30"/>
      <c r="BL6" s="30"/>
      <c r="BM6" s="30"/>
      <c r="BN6" s="30"/>
      <c r="BO6" s="30"/>
      <c r="BP6" s="30"/>
      <c r="BQ6" s="30"/>
      <c r="BR6" s="30"/>
      <c r="BS6" s="31"/>
      <c r="BT6" s="5"/>
      <c r="CC6" s="6"/>
      <c r="CD6" s="29"/>
      <c r="CE6" s="30"/>
      <c r="CF6" s="30"/>
      <c r="CG6" s="30"/>
      <c r="CH6" s="30"/>
      <c r="CI6" s="30"/>
      <c r="CJ6" s="30"/>
      <c r="CK6" s="30"/>
      <c r="CL6" s="30"/>
      <c r="CM6" s="31"/>
      <c r="CN6" s="5"/>
      <c r="CW6" s="6"/>
    </row>
    <row r="7" spans="1:16384" s="1" customFormat="1" x14ac:dyDescent="0.25">
      <c r="A7" s="114">
        <v>877</v>
      </c>
      <c r="B7" s="29"/>
      <c r="C7" s="30"/>
      <c r="D7" s="30"/>
      <c r="E7" s="30"/>
      <c r="F7" s="30"/>
      <c r="G7" s="30"/>
      <c r="H7" s="30"/>
      <c r="I7" s="30"/>
      <c r="J7" s="30"/>
      <c r="K7" s="31"/>
      <c r="L7" s="5"/>
      <c r="U7" s="6"/>
      <c r="V7" s="29"/>
      <c r="W7" s="30"/>
      <c r="X7" s="30"/>
      <c r="Y7" s="30"/>
      <c r="Z7" s="30"/>
      <c r="AA7" s="30"/>
      <c r="AB7" s="30"/>
      <c r="AC7" s="30"/>
      <c r="AD7" s="30"/>
      <c r="AE7" s="31"/>
      <c r="AF7" s="5"/>
      <c r="AO7" s="6"/>
      <c r="AP7" s="29"/>
      <c r="AQ7" s="30"/>
      <c r="AR7" s="30"/>
      <c r="AS7" s="30"/>
      <c r="AT7" s="30"/>
      <c r="AU7" s="30"/>
      <c r="AV7" s="30"/>
      <c r="AW7" s="30"/>
      <c r="AX7" s="30"/>
      <c r="AY7" s="31"/>
      <c r="AZ7" s="5"/>
      <c r="BI7" s="6"/>
      <c r="BJ7" s="29"/>
      <c r="BK7" s="30"/>
      <c r="BL7" s="30"/>
      <c r="BM7" s="30"/>
      <c r="BN7" s="30"/>
      <c r="BO7" s="30"/>
      <c r="BP7" s="30"/>
      <c r="BQ7" s="30"/>
      <c r="BR7" s="30"/>
      <c r="BS7" s="31"/>
      <c r="BT7" s="5"/>
      <c r="CC7" s="6"/>
      <c r="CD7" s="29"/>
      <c r="CE7" s="30"/>
      <c r="CF7" s="30"/>
      <c r="CG7" s="30"/>
      <c r="CH7" s="30"/>
      <c r="CI7" s="30"/>
      <c r="CJ7" s="30"/>
      <c r="CK7" s="30"/>
      <c r="CL7" s="30"/>
      <c r="CM7" s="31"/>
      <c r="CN7" s="5"/>
      <c r="CW7" s="6"/>
    </row>
    <row r="8" spans="1:16384" s="1" customFormat="1" x14ac:dyDescent="0.25">
      <c r="A8" s="114">
        <v>1259</v>
      </c>
      <c r="B8" s="29"/>
      <c r="C8" s="30"/>
      <c r="D8" s="30"/>
      <c r="E8" s="30"/>
      <c r="F8" s="30"/>
      <c r="G8" s="30"/>
      <c r="H8" s="30"/>
      <c r="I8" s="30"/>
      <c r="J8" s="30"/>
      <c r="K8" s="31"/>
      <c r="L8" s="5"/>
      <c r="U8" s="6"/>
      <c r="V8" s="29"/>
      <c r="W8" s="30"/>
      <c r="X8" s="30"/>
      <c r="Y8" s="30"/>
      <c r="Z8" s="30"/>
      <c r="AA8" s="30"/>
      <c r="AB8" s="30"/>
      <c r="AC8" s="30"/>
      <c r="AD8" s="30"/>
      <c r="AE8" s="31"/>
      <c r="AF8" s="5"/>
      <c r="AO8" s="6"/>
      <c r="AP8" s="29"/>
      <c r="AQ8" s="30"/>
      <c r="AR8" s="30"/>
      <c r="AS8" s="30"/>
      <c r="AT8" s="30"/>
      <c r="AU8" s="30"/>
      <c r="AV8" s="30"/>
      <c r="AW8" s="30"/>
      <c r="AX8" s="30"/>
      <c r="AY8" s="31"/>
      <c r="AZ8" s="5"/>
      <c r="BI8" s="6"/>
      <c r="BJ8" s="29"/>
      <c r="BK8" s="30"/>
      <c r="BL8" s="30"/>
      <c r="BM8" s="30"/>
      <c r="BN8" s="30"/>
      <c r="BO8" s="30"/>
      <c r="BP8" s="30"/>
      <c r="BQ8" s="30"/>
      <c r="BR8" s="30"/>
      <c r="BS8" s="31"/>
      <c r="BT8" s="5"/>
      <c r="CC8" s="6"/>
      <c r="CD8" s="29"/>
      <c r="CE8" s="30"/>
      <c r="CF8" s="30"/>
      <c r="CG8" s="30"/>
      <c r="CH8" s="30"/>
      <c r="CI8" s="30"/>
      <c r="CJ8" s="30"/>
      <c r="CK8" s="30"/>
      <c r="CL8" s="30"/>
      <c r="CM8" s="31"/>
      <c r="CN8" s="5"/>
      <c r="CW8" s="6"/>
    </row>
    <row r="9" spans="1:16384" s="1" customFormat="1" x14ac:dyDescent="0.25">
      <c r="A9" s="114">
        <v>1716</v>
      </c>
      <c r="B9" s="29"/>
      <c r="C9" s="30"/>
      <c r="D9" s="30"/>
      <c r="E9" s="30"/>
      <c r="F9" s="30"/>
      <c r="G9" s="30"/>
      <c r="H9" s="30"/>
      <c r="I9" s="30"/>
      <c r="J9" s="30"/>
      <c r="K9" s="31"/>
      <c r="L9" s="5"/>
      <c r="U9" s="6"/>
      <c r="V9" s="29"/>
      <c r="W9" s="30"/>
      <c r="X9" s="30"/>
      <c r="Y9" s="30"/>
      <c r="Z9" s="30"/>
      <c r="AA9" s="30"/>
      <c r="AB9" s="30"/>
      <c r="AC9" s="30"/>
      <c r="AD9" s="30"/>
      <c r="AE9" s="31"/>
      <c r="AF9" s="5"/>
      <c r="AO9" s="6"/>
      <c r="AP9" s="29"/>
      <c r="AQ9" s="30"/>
      <c r="AR9" s="30"/>
      <c r="AS9" s="30"/>
      <c r="AT9" s="30"/>
      <c r="AU9" s="30"/>
      <c r="AV9" s="30"/>
      <c r="AW9" s="30"/>
      <c r="AX9" s="30"/>
      <c r="AY9" s="31"/>
      <c r="AZ9" s="5"/>
      <c r="BI9" s="6"/>
      <c r="BJ9" s="29"/>
      <c r="BK9" s="30"/>
      <c r="BL9" s="30"/>
      <c r="BM9" s="30"/>
      <c r="BN9" s="30"/>
      <c r="BO9" s="30"/>
      <c r="BP9" s="30"/>
      <c r="BQ9" s="30"/>
      <c r="BR9" s="30"/>
      <c r="BS9" s="31"/>
      <c r="BT9" s="5"/>
      <c r="CC9" s="6"/>
      <c r="CD9" s="29"/>
      <c r="CE9" s="30"/>
      <c r="CF9" s="30"/>
      <c r="CG9" s="30"/>
      <c r="CH9" s="30"/>
      <c r="CI9" s="30"/>
      <c r="CJ9" s="30"/>
      <c r="CK9" s="30"/>
      <c r="CL9" s="30"/>
      <c r="CM9" s="31"/>
      <c r="CN9" s="5"/>
      <c r="CW9" s="6"/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2</v>
      </c>
      <c r="DD9" s="1">
        <v>0</v>
      </c>
    </row>
    <row r="10" spans="1:16384" s="1" customFormat="1" x14ac:dyDescent="0.25">
      <c r="A10" s="114">
        <v>1781</v>
      </c>
      <c r="B10" s="29"/>
      <c r="C10" s="30"/>
      <c r="D10" s="30"/>
      <c r="E10" s="30"/>
      <c r="F10" s="30"/>
      <c r="G10" s="30"/>
      <c r="H10" s="30"/>
      <c r="I10" s="30"/>
      <c r="J10" s="30"/>
      <c r="K10" s="31"/>
      <c r="L10" s="5"/>
      <c r="U10" s="6"/>
      <c r="V10" s="29"/>
      <c r="W10" s="30"/>
      <c r="X10" s="30"/>
      <c r="Y10" s="30"/>
      <c r="Z10" s="30"/>
      <c r="AA10" s="30"/>
      <c r="AB10" s="30"/>
      <c r="AC10" s="30"/>
      <c r="AD10" s="30"/>
      <c r="AE10" s="31"/>
      <c r="AF10" s="5"/>
      <c r="AO10" s="6"/>
      <c r="AP10" s="29"/>
      <c r="AQ10" s="30"/>
      <c r="AR10" s="30"/>
      <c r="AS10" s="30"/>
      <c r="AT10" s="30"/>
      <c r="AU10" s="30"/>
      <c r="AV10" s="30"/>
      <c r="AW10" s="30"/>
      <c r="AX10" s="30"/>
      <c r="AY10" s="31"/>
      <c r="AZ10" s="5"/>
      <c r="BI10" s="6"/>
      <c r="BJ10" s="29"/>
      <c r="BK10" s="30"/>
      <c r="BL10" s="30"/>
      <c r="BM10" s="30"/>
      <c r="BN10" s="30"/>
      <c r="BO10" s="30"/>
      <c r="BP10" s="30"/>
      <c r="BQ10" s="30"/>
      <c r="BR10" s="30"/>
      <c r="BS10" s="31"/>
      <c r="BT10" s="5"/>
      <c r="CC10" s="6"/>
      <c r="CD10" s="29"/>
      <c r="CE10" s="30"/>
      <c r="CF10" s="30"/>
      <c r="CG10" s="30"/>
      <c r="CH10" s="30"/>
      <c r="CI10" s="30"/>
      <c r="CJ10" s="30"/>
      <c r="CK10" s="30"/>
      <c r="CL10" s="30"/>
      <c r="CM10" s="31"/>
      <c r="CN10" s="5"/>
      <c r="CW10" s="6"/>
    </row>
    <row r="11" spans="1:16384" s="1" customFormat="1" x14ac:dyDescent="0.25">
      <c r="A11" s="114">
        <v>2175</v>
      </c>
      <c r="B11" s="29"/>
      <c r="C11" s="30"/>
      <c r="D11" s="30"/>
      <c r="E11" s="30"/>
      <c r="F11" s="30"/>
      <c r="G11" s="30"/>
      <c r="H11" s="30"/>
      <c r="I11" s="30"/>
      <c r="J11" s="30"/>
      <c r="K11" s="31"/>
      <c r="L11" s="5"/>
      <c r="U11" s="6"/>
      <c r="V11" s="29"/>
      <c r="W11" s="30"/>
      <c r="X11" s="30"/>
      <c r="Y11" s="30"/>
      <c r="Z11" s="30"/>
      <c r="AA11" s="30"/>
      <c r="AB11" s="30"/>
      <c r="AC11" s="30"/>
      <c r="AD11" s="30"/>
      <c r="AE11" s="31"/>
      <c r="AF11" s="5"/>
      <c r="AO11" s="6"/>
      <c r="AP11" s="29"/>
      <c r="AQ11" s="30"/>
      <c r="AR11" s="30"/>
      <c r="AS11" s="30"/>
      <c r="AT11" s="30"/>
      <c r="AU11" s="30"/>
      <c r="AV11" s="30"/>
      <c r="AW11" s="30"/>
      <c r="AX11" s="30"/>
      <c r="AY11" s="31"/>
      <c r="AZ11" s="5"/>
      <c r="BI11" s="6"/>
      <c r="BJ11" s="29"/>
      <c r="BK11" s="30"/>
      <c r="BL11" s="30"/>
      <c r="BM11" s="30"/>
      <c r="BN11" s="30"/>
      <c r="BO11" s="30"/>
      <c r="BP11" s="30"/>
      <c r="BQ11" s="30"/>
      <c r="BR11" s="30"/>
      <c r="BS11" s="31"/>
      <c r="BT11" s="5"/>
      <c r="CC11" s="6"/>
      <c r="CD11" s="29"/>
      <c r="CE11" s="30"/>
      <c r="CF11" s="30"/>
      <c r="CG11" s="30"/>
      <c r="CH11" s="30"/>
      <c r="CI11" s="30"/>
      <c r="CJ11" s="30"/>
      <c r="CK11" s="30"/>
      <c r="CL11" s="30"/>
      <c r="CM11" s="31"/>
      <c r="CN11" s="5"/>
      <c r="CW11" s="6"/>
    </row>
    <row r="12" spans="1:16384" s="1" customFormat="1" x14ac:dyDescent="0.25">
      <c r="A12" s="114">
        <v>2220</v>
      </c>
      <c r="B12" s="29"/>
      <c r="C12" s="30"/>
      <c r="D12" s="30"/>
      <c r="E12" s="30"/>
      <c r="F12" s="30"/>
      <c r="G12" s="30"/>
      <c r="H12" s="30"/>
      <c r="I12" s="30"/>
      <c r="J12" s="30"/>
      <c r="K12" s="31"/>
      <c r="L12" s="5"/>
      <c r="U12" s="6"/>
      <c r="V12" s="29"/>
      <c r="W12" s="30"/>
      <c r="X12" s="30"/>
      <c r="Y12" s="30"/>
      <c r="Z12" s="30"/>
      <c r="AA12" s="30"/>
      <c r="AB12" s="30"/>
      <c r="AC12" s="30"/>
      <c r="AD12" s="30"/>
      <c r="AE12" s="31"/>
      <c r="AF12" s="5"/>
      <c r="AO12" s="6"/>
      <c r="AP12" s="29"/>
      <c r="AQ12" s="30"/>
      <c r="AR12" s="30"/>
      <c r="AS12" s="30"/>
      <c r="AT12" s="30"/>
      <c r="AU12" s="30"/>
      <c r="AV12" s="30"/>
      <c r="AW12" s="30"/>
      <c r="AX12" s="30"/>
      <c r="AY12" s="31"/>
      <c r="AZ12" s="5"/>
      <c r="BI12" s="6"/>
      <c r="BJ12" s="29"/>
      <c r="BK12" s="30"/>
      <c r="BL12" s="30"/>
      <c r="BM12" s="30"/>
      <c r="BN12" s="30"/>
      <c r="BO12" s="30"/>
      <c r="BP12" s="30"/>
      <c r="BQ12" s="30"/>
      <c r="BR12" s="30"/>
      <c r="BS12" s="31"/>
      <c r="BT12" s="5"/>
      <c r="CC12" s="6"/>
      <c r="CD12" s="29"/>
      <c r="CE12" s="30"/>
      <c r="CF12" s="30"/>
      <c r="CG12" s="30"/>
      <c r="CH12" s="30"/>
      <c r="CI12" s="30"/>
      <c r="CJ12" s="30"/>
      <c r="CK12" s="30"/>
      <c r="CL12" s="30"/>
      <c r="CM12" s="31"/>
      <c r="CN12" s="5"/>
      <c r="CW12" s="6"/>
    </row>
    <row r="13" spans="1:16384" s="1" customFormat="1" x14ac:dyDescent="0.25">
      <c r="A13" s="114">
        <v>2491</v>
      </c>
      <c r="B13" s="29"/>
      <c r="C13" s="30"/>
      <c r="D13" s="30"/>
      <c r="E13" s="30"/>
      <c r="F13" s="30"/>
      <c r="G13" s="30"/>
      <c r="H13" s="30"/>
      <c r="I13" s="30"/>
      <c r="J13" s="30"/>
      <c r="K13" s="31"/>
      <c r="L13" s="5"/>
      <c r="U13" s="6"/>
      <c r="V13" s="29"/>
      <c r="W13" s="30"/>
      <c r="X13" s="30"/>
      <c r="Y13" s="30"/>
      <c r="Z13" s="30"/>
      <c r="AA13" s="30"/>
      <c r="AB13" s="30"/>
      <c r="AC13" s="30"/>
      <c r="AD13" s="30"/>
      <c r="AE13" s="31"/>
      <c r="AF13" s="5"/>
      <c r="AO13" s="6"/>
      <c r="AP13" s="29"/>
      <c r="AQ13" s="30"/>
      <c r="AR13" s="30"/>
      <c r="AS13" s="30"/>
      <c r="AT13" s="30"/>
      <c r="AU13" s="30"/>
      <c r="AV13" s="30"/>
      <c r="AW13" s="30"/>
      <c r="AX13" s="30"/>
      <c r="AY13" s="31"/>
      <c r="AZ13" s="5"/>
      <c r="BI13" s="6"/>
      <c r="BJ13" s="29"/>
      <c r="BK13" s="30"/>
      <c r="BL13" s="30"/>
      <c r="BM13" s="30"/>
      <c r="BN13" s="30"/>
      <c r="BO13" s="30"/>
      <c r="BP13" s="30"/>
      <c r="BQ13" s="30"/>
      <c r="BR13" s="30"/>
      <c r="BS13" s="31"/>
      <c r="BT13" s="5"/>
      <c r="CC13" s="6"/>
      <c r="CD13" s="29"/>
      <c r="CE13" s="30"/>
      <c r="CF13" s="30"/>
      <c r="CG13" s="30"/>
      <c r="CH13" s="30"/>
      <c r="CI13" s="30"/>
      <c r="CJ13" s="30"/>
      <c r="CK13" s="30"/>
      <c r="CL13" s="30"/>
      <c r="CM13" s="31"/>
      <c r="CN13" s="5"/>
      <c r="CW13" s="6"/>
    </row>
    <row r="14" spans="1:16384" s="1" customFormat="1" x14ac:dyDescent="0.25">
      <c r="A14" s="114">
        <v>2500</v>
      </c>
      <c r="B14" s="29"/>
      <c r="C14" s="30"/>
      <c r="D14" s="30"/>
      <c r="E14" s="30"/>
      <c r="F14" s="30"/>
      <c r="G14" s="30"/>
      <c r="H14" s="30"/>
      <c r="I14" s="30"/>
      <c r="J14" s="30"/>
      <c r="K14" s="31"/>
      <c r="L14" s="5"/>
      <c r="U14" s="6"/>
      <c r="V14" s="29"/>
      <c r="W14" s="30"/>
      <c r="X14" s="30"/>
      <c r="Y14" s="30"/>
      <c r="Z14" s="30"/>
      <c r="AA14" s="30"/>
      <c r="AB14" s="30"/>
      <c r="AC14" s="30"/>
      <c r="AD14" s="30"/>
      <c r="AE14" s="31"/>
      <c r="AF14" s="5"/>
      <c r="AO14" s="6"/>
      <c r="AP14" s="29"/>
      <c r="AQ14" s="30"/>
      <c r="AR14" s="30"/>
      <c r="AS14" s="30"/>
      <c r="AT14" s="30"/>
      <c r="AU14" s="30"/>
      <c r="AV14" s="30"/>
      <c r="AW14" s="30"/>
      <c r="AX14" s="30"/>
      <c r="AY14" s="31"/>
      <c r="AZ14" s="5"/>
      <c r="BI14" s="6"/>
      <c r="BJ14" s="29"/>
      <c r="BK14" s="30"/>
      <c r="BL14" s="30"/>
      <c r="BM14" s="30"/>
      <c r="BN14" s="30"/>
      <c r="BO14" s="30"/>
      <c r="BP14" s="30"/>
      <c r="BQ14" s="30"/>
      <c r="BR14" s="30"/>
      <c r="BS14" s="31"/>
      <c r="BT14" s="5"/>
      <c r="CC14" s="6"/>
      <c r="CD14" s="29"/>
      <c r="CE14" s="30"/>
      <c r="CF14" s="30"/>
      <c r="CG14" s="30"/>
      <c r="CH14" s="30"/>
      <c r="CI14" s="30"/>
      <c r="CJ14" s="30"/>
      <c r="CK14" s="30"/>
      <c r="CL14" s="30"/>
      <c r="CM14" s="31"/>
      <c r="CN14" s="5"/>
      <c r="CW14" s="6"/>
    </row>
    <row r="15" spans="1:16384" s="1" customFormat="1" x14ac:dyDescent="0.25">
      <c r="A15" s="114">
        <v>2502</v>
      </c>
      <c r="B15" s="29"/>
      <c r="C15" s="30"/>
      <c r="D15" s="30"/>
      <c r="E15" s="30"/>
      <c r="F15" s="30"/>
      <c r="G15" s="30"/>
      <c r="H15" s="30"/>
      <c r="I15" s="30"/>
      <c r="J15" s="30"/>
      <c r="K15" s="31"/>
      <c r="L15" s="5"/>
      <c r="U15" s="6"/>
      <c r="V15" s="29"/>
      <c r="W15" s="30"/>
      <c r="X15" s="30"/>
      <c r="Y15" s="30"/>
      <c r="Z15" s="30"/>
      <c r="AA15" s="30"/>
      <c r="AB15" s="30"/>
      <c r="AC15" s="30"/>
      <c r="AD15" s="30"/>
      <c r="AE15" s="31"/>
      <c r="AF15" s="5"/>
      <c r="AO15" s="6"/>
      <c r="AP15" s="29"/>
      <c r="AQ15" s="30"/>
      <c r="AR15" s="30"/>
      <c r="AS15" s="30"/>
      <c r="AT15" s="30"/>
      <c r="AU15" s="30"/>
      <c r="AV15" s="30"/>
      <c r="AW15" s="30"/>
      <c r="AX15" s="30"/>
      <c r="AY15" s="31"/>
      <c r="AZ15" s="5"/>
      <c r="BI15" s="6"/>
      <c r="BJ15" s="29"/>
      <c r="BK15" s="30"/>
      <c r="BL15" s="30"/>
      <c r="BM15" s="30"/>
      <c r="BN15" s="30"/>
      <c r="BO15" s="30"/>
      <c r="BP15" s="30"/>
      <c r="BQ15" s="30"/>
      <c r="BR15" s="30"/>
      <c r="BS15" s="31"/>
      <c r="BT15" s="5"/>
      <c r="CC15" s="6"/>
      <c r="CD15" s="29"/>
      <c r="CE15" s="30"/>
      <c r="CF15" s="30"/>
      <c r="CG15" s="30"/>
      <c r="CH15" s="30"/>
      <c r="CI15" s="30"/>
      <c r="CJ15" s="30"/>
      <c r="CK15" s="30"/>
      <c r="CL15" s="30"/>
      <c r="CM15" s="31"/>
      <c r="CN15" s="5"/>
      <c r="CW15" s="6"/>
    </row>
    <row r="16" spans="1:16384" s="1" customFormat="1" x14ac:dyDescent="0.25">
      <c r="A16" s="114">
        <v>2506</v>
      </c>
      <c r="B16" s="29"/>
      <c r="C16" s="30"/>
      <c r="D16" s="30"/>
      <c r="E16" s="30"/>
      <c r="F16" s="30"/>
      <c r="G16" s="30"/>
      <c r="H16" s="30"/>
      <c r="I16" s="30"/>
      <c r="J16" s="30"/>
      <c r="K16" s="31"/>
      <c r="L16" s="5"/>
      <c r="U16" s="6"/>
      <c r="V16" s="29"/>
      <c r="W16" s="30"/>
      <c r="X16" s="30"/>
      <c r="Y16" s="30"/>
      <c r="Z16" s="30"/>
      <c r="AA16" s="30"/>
      <c r="AB16" s="30"/>
      <c r="AC16" s="30"/>
      <c r="AD16" s="30"/>
      <c r="AE16" s="31"/>
      <c r="AF16" s="5"/>
      <c r="AO16" s="6"/>
      <c r="AP16" s="29"/>
      <c r="AQ16" s="30"/>
      <c r="AR16" s="30"/>
      <c r="AS16" s="30"/>
      <c r="AT16" s="30"/>
      <c r="AU16" s="30"/>
      <c r="AV16" s="30"/>
      <c r="AW16" s="30"/>
      <c r="AX16" s="30"/>
      <c r="AY16" s="31"/>
      <c r="AZ16" s="5"/>
      <c r="BI16" s="6"/>
      <c r="BJ16" s="29"/>
      <c r="BK16" s="30"/>
      <c r="BL16" s="30"/>
      <c r="BM16" s="30"/>
      <c r="BN16" s="30"/>
      <c r="BO16" s="30"/>
      <c r="BP16" s="30"/>
      <c r="BQ16" s="30"/>
      <c r="BR16" s="30"/>
      <c r="BS16" s="31"/>
      <c r="BT16" s="5"/>
      <c r="CC16" s="6"/>
      <c r="CD16" s="29"/>
      <c r="CE16" s="30"/>
      <c r="CF16" s="30"/>
      <c r="CG16" s="30"/>
      <c r="CH16" s="30"/>
      <c r="CI16" s="30"/>
      <c r="CJ16" s="30"/>
      <c r="CK16" s="30"/>
      <c r="CL16" s="30"/>
      <c r="CM16" s="31"/>
      <c r="CN16" s="5"/>
      <c r="CW16" s="6"/>
    </row>
    <row r="17" spans="1:101" s="1" customFormat="1" x14ac:dyDescent="0.25">
      <c r="A17" s="114">
        <v>2512</v>
      </c>
      <c r="B17" s="29"/>
      <c r="C17" s="30"/>
      <c r="D17" s="30"/>
      <c r="E17" s="30"/>
      <c r="F17" s="30"/>
      <c r="G17" s="30"/>
      <c r="H17" s="30"/>
      <c r="I17" s="30"/>
      <c r="J17" s="30"/>
      <c r="K17" s="31"/>
      <c r="L17" s="5"/>
      <c r="U17" s="6"/>
      <c r="V17" s="29"/>
      <c r="W17" s="30"/>
      <c r="X17" s="30"/>
      <c r="Y17" s="30"/>
      <c r="Z17" s="30"/>
      <c r="AA17" s="30"/>
      <c r="AB17" s="30"/>
      <c r="AC17" s="30"/>
      <c r="AD17" s="30"/>
      <c r="AE17" s="31"/>
      <c r="AF17" s="5"/>
      <c r="AO17" s="6"/>
      <c r="AP17" s="29"/>
      <c r="AQ17" s="30"/>
      <c r="AR17" s="30"/>
      <c r="AS17" s="30"/>
      <c r="AT17" s="30"/>
      <c r="AU17" s="30"/>
      <c r="AV17" s="30"/>
      <c r="AW17" s="30"/>
      <c r="AX17" s="30"/>
      <c r="AY17" s="31"/>
      <c r="AZ17" s="5"/>
      <c r="BI17" s="6"/>
      <c r="BJ17" s="29"/>
      <c r="BK17" s="30"/>
      <c r="BL17" s="30"/>
      <c r="BM17" s="30"/>
      <c r="BN17" s="30"/>
      <c r="BO17" s="30"/>
      <c r="BP17" s="30"/>
      <c r="BQ17" s="30"/>
      <c r="BR17" s="30"/>
      <c r="BS17" s="31"/>
      <c r="BT17" s="5"/>
      <c r="CC17" s="6"/>
      <c r="CD17" s="29"/>
      <c r="CE17" s="30"/>
      <c r="CF17" s="30"/>
      <c r="CG17" s="30"/>
      <c r="CH17" s="30"/>
      <c r="CI17" s="30"/>
      <c r="CJ17" s="30"/>
      <c r="CK17" s="30"/>
      <c r="CL17" s="30"/>
      <c r="CM17" s="31"/>
      <c r="CN17" s="5"/>
      <c r="CW17" s="6"/>
    </row>
    <row r="18" spans="1:101" s="1" customFormat="1" x14ac:dyDescent="0.25">
      <c r="A18" s="114">
        <v>2518</v>
      </c>
      <c r="B18" s="29"/>
      <c r="C18" s="30"/>
      <c r="D18" s="30"/>
      <c r="E18" s="30"/>
      <c r="F18" s="30"/>
      <c r="G18" s="30"/>
      <c r="H18" s="30"/>
      <c r="I18" s="30"/>
      <c r="J18" s="30"/>
      <c r="K18" s="31"/>
      <c r="L18" s="5"/>
      <c r="U18" s="6"/>
      <c r="V18" s="29"/>
      <c r="W18" s="30"/>
      <c r="X18" s="30"/>
      <c r="Y18" s="30"/>
      <c r="Z18" s="30"/>
      <c r="AA18" s="30"/>
      <c r="AB18" s="30"/>
      <c r="AC18" s="30"/>
      <c r="AD18" s="30"/>
      <c r="AE18" s="31"/>
      <c r="AF18" s="5"/>
      <c r="AO18" s="6"/>
      <c r="AP18" s="29"/>
      <c r="AQ18" s="30"/>
      <c r="AR18" s="30"/>
      <c r="AS18" s="30"/>
      <c r="AT18" s="30"/>
      <c r="AU18" s="30"/>
      <c r="AV18" s="30"/>
      <c r="AW18" s="30"/>
      <c r="AX18" s="30"/>
      <c r="AY18" s="31"/>
      <c r="AZ18" s="5"/>
      <c r="BI18" s="6"/>
      <c r="BJ18" s="29"/>
      <c r="BK18" s="30"/>
      <c r="BL18" s="30"/>
      <c r="BM18" s="30"/>
      <c r="BN18" s="30"/>
      <c r="BO18" s="30"/>
      <c r="BP18" s="30"/>
      <c r="BQ18" s="30"/>
      <c r="BR18" s="30"/>
      <c r="BS18" s="31"/>
      <c r="BT18" s="5"/>
      <c r="CC18" s="6"/>
      <c r="CD18" s="29"/>
      <c r="CE18" s="30"/>
      <c r="CF18" s="30"/>
      <c r="CG18" s="30"/>
      <c r="CH18" s="30"/>
      <c r="CI18" s="30"/>
      <c r="CJ18" s="30"/>
      <c r="CK18" s="30"/>
      <c r="CL18" s="30"/>
      <c r="CM18" s="31"/>
      <c r="CN18" s="5"/>
      <c r="CW18" s="6"/>
    </row>
    <row r="19" spans="1:101" s="1" customFormat="1" x14ac:dyDescent="0.25">
      <c r="A19" s="114">
        <v>2538</v>
      </c>
      <c r="B19" s="29"/>
      <c r="C19" s="30"/>
      <c r="D19" s="30"/>
      <c r="E19" s="30"/>
      <c r="F19" s="30"/>
      <c r="G19" s="30"/>
      <c r="H19" s="30"/>
      <c r="I19" s="30"/>
      <c r="J19" s="30"/>
      <c r="K19" s="31"/>
      <c r="L19" s="5"/>
      <c r="U19" s="6"/>
      <c r="V19" s="29"/>
      <c r="W19" s="30"/>
      <c r="X19" s="30"/>
      <c r="Y19" s="30"/>
      <c r="Z19" s="30"/>
      <c r="AA19" s="30"/>
      <c r="AB19" s="30"/>
      <c r="AC19" s="30"/>
      <c r="AD19" s="30"/>
      <c r="AE19" s="31"/>
      <c r="AF19" s="5"/>
      <c r="AO19" s="6"/>
      <c r="AP19" s="29"/>
      <c r="AQ19" s="30"/>
      <c r="AR19" s="30"/>
      <c r="AS19" s="30"/>
      <c r="AT19" s="30"/>
      <c r="AU19" s="30"/>
      <c r="AV19" s="30"/>
      <c r="AW19" s="30"/>
      <c r="AX19" s="30"/>
      <c r="AY19" s="31"/>
      <c r="AZ19" s="5"/>
      <c r="BI19" s="6"/>
      <c r="BJ19" s="29"/>
      <c r="BK19" s="30"/>
      <c r="BL19" s="30"/>
      <c r="BM19" s="30"/>
      <c r="BN19" s="30"/>
      <c r="BO19" s="30"/>
      <c r="BP19" s="30"/>
      <c r="BQ19" s="30"/>
      <c r="BR19" s="30"/>
      <c r="BS19" s="31"/>
      <c r="BT19" s="5"/>
      <c r="CC19" s="6"/>
      <c r="CD19" s="29"/>
      <c r="CE19" s="30"/>
      <c r="CF19" s="30"/>
      <c r="CG19" s="30"/>
      <c r="CH19" s="30"/>
      <c r="CI19" s="30"/>
      <c r="CJ19" s="30"/>
      <c r="CK19" s="30"/>
      <c r="CL19" s="30"/>
      <c r="CM19" s="31"/>
      <c r="CN19" s="5"/>
      <c r="CW19" s="6"/>
    </row>
    <row r="20" spans="1:101" s="1" customFormat="1" x14ac:dyDescent="0.25">
      <c r="A20" s="114">
        <v>2574</v>
      </c>
      <c r="B20" s="29"/>
      <c r="C20" s="30"/>
      <c r="D20" s="30"/>
      <c r="E20" s="30"/>
      <c r="F20" s="30"/>
      <c r="G20" s="30"/>
      <c r="H20" s="30"/>
      <c r="I20" s="30"/>
      <c r="J20" s="30"/>
      <c r="K20" s="31"/>
      <c r="L20" s="5"/>
      <c r="U20" s="6"/>
      <c r="V20" s="29"/>
      <c r="W20" s="30"/>
      <c r="X20" s="30"/>
      <c r="Y20" s="30"/>
      <c r="Z20" s="30"/>
      <c r="AA20" s="30"/>
      <c r="AB20" s="30"/>
      <c r="AC20" s="30"/>
      <c r="AD20" s="30"/>
      <c r="AE20" s="31"/>
      <c r="AF20" s="5"/>
      <c r="AO20" s="6"/>
      <c r="AP20" s="29"/>
      <c r="AQ20" s="30"/>
      <c r="AR20" s="30"/>
      <c r="AS20" s="30"/>
      <c r="AT20" s="30"/>
      <c r="AU20" s="30"/>
      <c r="AV20" s="30"/>
      <c r="AW20" s="30"/>
      <c r="AX20" s="30"/>
      <c r="AY20" s="31"/>
      <c r="AZ20" s="5"/>
      <c r="BI20" s="6"/>
      <c r="BJ20" s="29"/>
      <c r="BK20" s="30"/>
      <c r="BL20" s="30"/>
      <c r="BM20" s="30"/>
      <c r="BN20" s="30"/>
      <c r="BO20" s="30"/>
      <c r="BP20" s="30"/>
      <c r="BQ20" s="30"/>
      <c r="BR20" s="30"/>
      <c r="BS20" s="31"/>
      <c r="BT20" s="5"/>
      <c r="CC20" s="6"/>
      <c r="CD20" s="29"/>
      <c r="CE20" s="30"/>
      <c r="CF20" s="30"/>
      <c r="CG20" s="30"/>
      <c r="CH20" s="30"/>
      <c r="CI20" s="30"/>
      <c r="CJ20" s="30"/>
      <c r="CK20" s="30"/>
      <c r="CL20" s="30"/>
      <c r="CM20" s="31"/>
      <c r="CN20" s="5"/>
      <c r="CW20" s="6"/>
    </row>
    <row r="21" spans="1:101" s="1" customFormat="1" x14ac:dyDescent="0.25">
      <c r="A21" s="114">
        <v>2826</v>
      </c>
      <c r="B21" s="29"/>
      <c r="C21" s="30"/>
      <c r="D21" s="30"/>
      <c r="E21" s="30"/>
      <c r="F21" s="30"/>
      <c r="G21" s="30"/>
      <c r="H21" s="30"/>
      <c r="I21" s="30"/>
      <c r="J21" s="30"/>
      <c r="K21" s="31"/>
      <c r="L21" s="5"/>
      <c r="U21" s="6"/>
      <c r="V21" s="29"/>
      <c r="W21" s="30"/>
      <c r="X21" s="30"/>
      <c r="Y21" s="30"/>
      <c r="Z21" s="30"/>
      <c r="AA21" s="30"/>
      <c r="AB21" s="30"/>
      <c r="AC21" s="30"/>
      <c r="AD21" s="30"/>
      <c r="AE21" s="31"/>
      <c r="AF21" s="5"/>
      <c r="AO21" s="6"/>
      <c r="AP21" s="29"/>
      <c r="AQ21" s="30"/>
      <c r="AR21" s="30"/>
      <c r="AS21" s="30"/>
      <c r="AT21" s="30"/>
      <c r="AU21" s="30"/>
      <c r="AV21" s="30"/>
      <c r="AW21" s="30"/>
      <c r="AX21" s="30"/>
      <c r="AY21" s="31"/>
      <c r="AZ21" s="5"/>
      <c r="BI21" s="6"/>
      <c r="BJ21" s="29"/>
      <c r="BK21" s="30"/>
      <c r="BL21" s="30"/>
      <c r="BM21" s="30"/>
      <c r="BN21" s="30"/>
      <c r="BO21" s="30"/>
      <c r="BP21" s="30"/>
      <c r="BQ21" s="30"/>
      <c r="BR21" s="30"/>
      <c r="BS21" s="31"/>
      <c r="BT21" s="5"/>
      <c r="CC21" s="6"/>
      <c r="CD21" s="29"/>
      <c r="CE21" s="30"/>
      <c r="CF21" s="30"/>
      <c r="CG21" s="30"/>
      <c r="CH21" s="30"/>
      <c r="CI21" s="30"/>
      <c r="CJ21" s="30"/>
      <c r="CK21" s="30"/>
      <c r="CL21" s="30"/>
      <c r="CM21" s="31"/>
      <c r="CN21" s="5"/>
      <c r="CW21" s="6"/>
    </row>
    <row r="22" spans="1:101" s="1" customFormat="1" x14ac:dyDescent="0.25">
      <c r="A22" s="114">
        <v>2846</v>
      </c>
      <c r="B22" s="29"/>
      <c r="C22" s="30"/>
      <c r="D22" s="30"/>
      <c r="E22" s="30"/>
      <c r="F22" s="30"/>
      <c r="G22" s="30"/>
      <c r="H22" s="30"/>
      <c r="I22" s="30"/>
      <c r="J22" s="30"/>
      <c r="K22" s="31"/>
      <c r="L22" s="5"/>
      <c r="U22" s="6"/>
      <c r="V22" s="29"/>
      <c r="W22" s="30"/>
      <c r="X22" s="30"/>
      <c r="Y22" s="30"/>
      <c r="Z22" s="30"/>
      <c r="AA22" s="30"/>
      <c r="AB22" s="30"/>
      <c r="AC22" s="30"/>
      <c r="AD22" s="30"/>
      <c r="AE22" s="31"/>
      <c r="AF22" s="5"/>
      <c r="AO22" s="6"/>
      <c r="AP22" s="29"/>
      <c r="AQ22" s="30"/>
      <c r="AR22" s="30"/>
      <c r="AS22" s="30"/>
      <c r="AT22" s="30"/>
      <c r="AU22" s="30"/>
      <c r="AV22" s="30"/>
      <c r="AW22" s="30"/>
      <c r="AX22" s="30"/>
      <c r="AY22" s="31"/>
      <c r="AZ22" s="5"/>
      <c r="BI22" s="6"/>
      <c r="BJ22" s="29"/>
      <c r="BK22" s="30"/>
      <c r="BL22" s="30"/>
      <c r="BM22" s="30"/>
      <c r="BN22" s="30"/>
      <c r="BO22" s="30"/>
      <c r="BP22" s="30"/>
      <c r="BQ22" s="30"/>
      <c r="BR22" s="30"/>
      <c r="BS22" s="31"/>
      <c r="BT22" s="5"/>
      <c r="CC22" s="6"/>
      <c r="CD22" s="29"/>
      <c r="CE22" s="30"/>
      <c r="CF22" s="30"/>
      <c r="CG22" s="30"/>
      <c r="CH22" s="30"/>
      <c r="CI22" s="30"/>
      <c r="CJ22" s="30"/>
      <c r="CK22" s="30"/>
      <c r="CL22" s="30"/>
      <c r="CM22" s="31"/>
      <c r="CN22" s="5"/>
      <c r="CW22" s="6"/>
    </row>
    <row r="23" spans="1:101" s="1" customFormat="1" x14ac:dyDescent="0.25">
      <c r="A23" s="114">
        <v>2883</v>
      </c>
      <c r="B23" s="29"/>
      <c r="C23" s="30"/>
      <c r="D23" s="30"/>
      <c r="E23" s="30"/>
      <c r="F23" s="30"/>
      <c r="G23" s="30"/>
      <c r="H23" s="30"/>
      <c r="I23" s="30"/>
      <c r="J23" s="30"/>
      <c r="K23" s="31"/>
      <c r="L23" s="5"/>
      <c r="U23" s="6"/>
      <c r="V23" s="29"/>
      <c r="W23" s="30"/>
      <c r="X23" s="30"/>
      <c r="Y23" s="30"/>
      <c r="Z23" s="30"/>
      <c r="AA23" s="30"/>
      <c r="AB23" s="30"/>
      <c r="AC23" s="30"/>
      <c r="AD23" s="30"/>
      <c r="AE23" s="31"/>
      <c r="AF23" s="5"/>
      <c r="AO23" s="6"/>
      <c r="AP23" s="29"/>
      <c r="AQ23" s="30"/>
      <c r="AR23" s="30"/>
      <c r="AS23" s="30"/>
      <c r="AT23" s="30"/>
      <c r="AU23" s="30"/>
      <c r="AV23" s="30"/>
      <c r="AW23" s="30"/>
      <c r="AX23" s="30"/>
      <c r="AY23" s="31"/>
      <c r="AZ23" s="5"/>
      <c r="BI23" s="6"/>
      <c r="BJ23" s="29"/>
      <c r="BK23" s="30"/>
      <c r="BL23" s="30"/>
      <c r="BM23" s="30"/>
      <c r="BN23" s="30"/>
      <c r="BO23" s="30"/>
      <c r="BP23" s="30"/>
      <c r="BQ23" s="30"/>
      <c r="BR23" s="30"/>
      <c r="BS23" s="31"/>
      <c r="BT23" s="5"/>
      <c r="CC23" s="6"/>
      <c r="CD23" s="29"/>
      <c r="CE23" s="30"/>
      <c r="CF23" s="30"/>
      <c r="CG23" s="30"/>
      <c r="CH23" s="30"/>
      <c r="CI23" s="30"/>
      <c r="CJ23" s="30"/>
      <c r="CK23" s="30"/>
      <c r="CL23" s="30"/>
      <c r="CM23" s="31"/>
      <c r="CN23" s="5"/>
      <c r="CW23" s="6"/>
    </row>
    <row r="24" spans="1:101" s="1" customFormat="1" x14ac:dyDescent="0.25">
      <c r="A24" s="114">
        <v>2957</v>
      </c>
      <c r="B24" s="29"/>
      <c r="C24" s="30"/>
      <c r="D24" s="30"/>
      <c r="E24" s="30"/>
      <c r="F24" s="30"/>
      <c r="G24" s="30"/>
      <c r="H24" s="30"/>
      <c r="I24" s="30"/>
      <c r="J24" s="30"/>
      <c r="K24" s="31"/>
      <c r="L24" s="5"/>
      <c r="U24" s="6"/>
      <c r="V24" s="29"/>
      <c r="W24" s="30"/>
      <c r="X24" s="30"/>
      <c r="Y24" s="30"/>
      <c r="Z24" s="30"/>
      <c r="AA24" s="30"/>
      <c r="AB24" s="30"/>
      <c r="AC24" s="30"/>
      <c r="AD24" s="30"/>
      <c r="AE24" s="31"/>
      <c r="AF24" s="5"/>
      <c r="AO24" s="6"/>
      <c r="AP24" s="29"/>
      <c r="AQ24" s="30"/>
      <c r="AR24" s="30"/>
      <c r="AS24" s="30"/>
      <c r="AT24" s="30"/>
      <c r="AU24" s="30"/>
      <c r="AV24" s="30"/>
      <c r="AW24" s="30"/>
      <c r="AX24" s="30"/>
      <c r="AY24" s="31"/>
      <c r="AZ24" s="5"/>
      <c r="BI24" s="6"/>
      <c r="BJ24" s="29"/>
      <c r="BK24" s="30"/>
      <c r="BL24" s="30"/>
      <c r="BM24" s="30"/>
      <c r="BN24" s="30"/>
      <c r="BO24" s="30"/>
      <c r="BP24" s="30"/>
      <c r="BQ24" s="30"/>
      <c r="BR24" s="30"/>
      <c r="BS24" s="31"/>
      <c r="BT24" s="5"/>
      <c r="CC24" s="6"/>
      <c r="CD24" s="29"/>
      <c r="CE24" s="30"/>
      <c r="CF24" s="30"/>
      <c r="CG24" s="30"/>
      <c r="CH24" s="30"/>
      <c r="CI24" s="30"/>
      <c r="CJ24" s="30"/>
      <c r="CK24" s="30"/>
      <c r="CL24" s="30"/>
      <c r="CM24" s="31"/>
      <c r="CN24" s="5"/>
      <c r="CW24" s="6"/>
    </row>
    <row r="25" spans="1:101" s="1" customFormat="1" x14ac:dyDescent="0.25">
      <c r="A25" s="114">
        <v>3036</v>
      </c>
      <c r="B25" s="29"/>
      <c r="C25" s="30"/>
      <c r="D25" s="30"/>
      <c r="E25" s="30"/>
      <c r="F25" s="30"/>
      <c r="G25" s="30"/>
      <c r="H25" s="30"/>
      <c r="I25" s="30"/>
      <c r="J25" s="30"/>
      <c r="K25" s="31"/>
      <c r="L25" s="5"/>
      <c r="U25" s="6"/>
      <c r="V25" s="29"/>
      <c r="W25" s="30"/>
      <c r="X25" s="30"/>
      <c r="Y25" s="30"/>
      <c r="Z25" s="30"/>
      <c r="AA25" s="30"/>
      <c r="AB25" s="30"/>
      <c r="AC25" s="30"/>
      <c r="AD25" s="30"/>
      <c r="AE25" s="31"/>
      <c r="AF25" s="5"/>
      <c r="AO25" s="6"/>
      <c r="AP25" s="29"/>
      <c r="AQ25" s="30"/>
      <c r="AR25" s="30"/>
      <c r="AS25" s="30"/>
      <c r="AT25" s="30"/>
      <c r="AU25" s="30"/>
      <c r="AV25" s="30"/>
      <c r="AW25" s="30"/>
      <c r="AX25" s="30"/>
      <c r="AY25" s="31"/>
      <c r="AZ25" s="5"/>
      <c r="BI25" s="6"/>
      <c r="BJ25" s="29"/>
      <c r="BK25" s="30"/>
      <c r="BL25" s="30"/>
      <c r="BM25" s="30"/>
      <c r="BN25" s="30"/>
      <c r="BO25" s="30"/>
      <c r="BP25" s="30"/>
      <c r="BQ25" s="30"/>
      <c r="BR25" s="30"/>
      <c r="BS25" s="31"/>
      <c r="BT25" s="5"/>
      <c r="CC25" s="6"/>
      <c r="CD25" s="29"/>
      <c r="CE25" s="30"/>
      <c r="CF25" s="30"/>
      <c r="CG25" s="30"/>
      <c r="CH25" s="30"/>
      <c r="CI25" s="30"/>
      <c r="CJ25" s="30"/>
      <c r="CK25" s="30"/>
      <c r="CL25" s="30"/>
      <c r="CM25" s="31"/>
      <c r="CN25" s="5"/>
      <c r="CW25" s="6"/>
    </row>
    <row r="26" spans="1:101" s="1" customFormat="1" x14ac:dyDescent="0.25">
      <c r="A26" s="114">
        <v>3055</v>
      </c>
      <c r="B26" s="29"/>
      <c r="C26" s="30"/>
      <c r="D26" s="30"/>
      <c r="E26" s="30"/>
      <c r="F26" s="30"/>
      <c r="G26" s="30"/>
      <c r="H26" s="30"/>
      <c r="I26" s="30"/>
      <c r="J26" s="30"/>
      <c r="K26" s="31"/>
      <c r="L26" s="5"/>
      <c r="U26" s="6"/>
      <c r="V26" s="29"/>
      <c r="W26" s="30"/>
      <c r="X26" s="30"/>
      <c r="Y26" s="30"/>
      <c r="Z26" s="30"/>
      <c r="AA26" s="30"/>
      <c r="AB26" s="30"/>
      <c r="AC26" s="30"/>
      <c r="AD26" s="30"/>
      <c r="AE26" s="31"/>
      <c r="AF26" s="5"/>
      <c r="AO26" s="6"/>
      <c r="AP26" s="29"/>
      <c r="AQ26" s="30"/>
      <c r="AR26" s="30"/>
      <c r="AS26" s="30"/>
      <c r="AT26" s="30"/>
      <c r="AU26" s="30"/>
      <c r="AV26" s="30"/>
      <c r="AW26" s="30"/>
      <c r="AX26" s="30"/>
      <c r="AY26" s="31"/>
      <c r="AZ26" s="5"/>
      <c r="BI26" s="6"/>
      <c r="BJ26" s="29"/>
      <c r="BK26" s="30"/>
      <c r="BL26" s="30"/>
      <c r="BM26" s="30"/>
      <c r="BN26" s="30"/>
      <c r="BO26" s="30"/>
      <c r="BP26" s="30"/>
      <c r="BQ26" s="30"/>
      <c r="BR26" s="30"/>
      <c r="BS26" s="31"/>
      <c r="BT26" s="5"/>
      <c r="CC26" s="6"/>
      <c r="CD26" s="29"/>
      <c r="CE26" s="30"/>
      <c r="CF26" s="30"/>
      <c r="CG26" s="30"/>
      <c r="CH26" s="30"/>
      <c r="CI26" s="30"/>
      <c r="CJ26" s="30"/>
      <c r="CK26" s="30"/>
      <c r="CL26" s="30"/>
      <c r="CM26" s="31"/>
      <c r="CN26" s="5"/>
      <c r="CW26" s="6"/>
    </row>
    <row r="27" spans="1:101" s="1" customFormat="1" x14ac:dyDescent="0.25">
      <c r="A27" s="114">
        <v>3056</v>
      </c>
      <c r="B27" s="29"/>
      <c r="C27" s="30"/>
      <c r="D27" s="30"/>
      <c r="E27" s="30"/>
      <c r="F27" s="30"/>
      <c r="G27" s="30"/>
      <c r="H27" s="30"/>
      <c r="I27" s="30"/>
      <c r="J27" s="30"/>
      <c r="K27" s="31"/>
      <c r="L27" s="5"/>
      <c r="U27" s="6"/>
      <c r="V27" s="29"/>
      <c r="W27" s="30"/>
      <c r="X27" s="30"/>
      <c r="Y27" s="30"/>
      <c r="Z27" s="30"/>
      <c r="AA27" s="30"/>
      <c r="AB27" s="30"/>
      <c r="AC27" s="30"/>
      <c r="AD27" s="30"/>
      <c r="AE27" s="31"/>
      <c r="AF27" s="5"/>
      <c r="AO27" s="6"/>
      <c r="AP27" s="29"/>
      <c r="AQ27" s="30"/>
      <c r="AR27" s="30"/>
      <c r="AS27" s="30"/>
      <c r="AT27" s="30"/>
      <c r="AU27" s="30"/>
      <c r="AV27" s="30"/>
      <c r="AW27" s="30"/>
      <c r="AX27" s="30"/>
      <c r="AY27" s="31"/>
      <c r="AZ27" s="5"/>
      <c r="BI27" s="6"/>
      <c r="BJ27" s="29"/>
      <c r="BK27" s="30"/>
      <c r="BL27" s="30"/>
      <c r="BM27" s="30"/>
      <c r="BN27" s="30"/>
      <c r="BO27" s="30"/>
      <c r="BP27" s="30"/>
      <c r="BQ27" s="30"/>
      <c r="BR27" s="30"/>
      <c r="BS27" s="31"/>
      <c r="BT27" s="5"/>
      <c r="CC27" s="6"/>
      <c r="CD27" s="29"/>
      <c r="CE27" s="30"/>
      <c r="CF27" s="30"/>
      <c r="CG27" s="30"/>
      <c r="CH27" s="30"/>
      <c r="CI27" s="30"/>
      <c r="CJ27" s="30"/>
      <c r="CK27" s="30"/>
      <c r="CL27" s="30"/>
      <c r="CM27" s="31"/>
      <c r="CN27" s="5"/>
      <c r="CW27" s="6"/>
    </row>
    <row r="28" spans="1:101" s="1" customFormat="1" x14ac:dyDescent="0.25">
      <c r="A28" s="114">
        <v>3130</v>
      </c>
      <c r="B28" s="29"/>
      <c r="C28" s="30"/>
      <c r="D28" s="30"/>
      <c r="E28" s="30"/>
      <c r="F28" s="30"/>
      <c r="G28" s="30"/>
      <c r="H28" s="30"/>
      <c r="I28" s="30"/>
      <c r="J28" s="30"/>
      <c r="K28" s="31"/>
      <c r="L28" s="5"/>
      <c r="U28" s="6"/>
      <c r="V28" s="29"/>
      <c r="W28" s="30"/>
      <c r="X28" s="30"/>
      <c r="Y28" s="30"/>
      <c r="Z28" s="30"/>
      <c r="AA28" s="30"/>
      <c r="AB28" s="30"/>
      <c r="AC28" s="30"/>
      <c r="AD28" s="30"/>
      <c r="AE28" s="31"/>
      <c r="AF28" s="5"/>
      <c r="AO28" s="6"/>
      <c r="AP28" s="29"/>
      <c r="AQ28" s="30"/>
      <c r="AR28" s="30"/>
      <c r="AS28" s="30"/>
      <c r="AT28" s="30"/>
      <c r="AU28" s="30"/>
      <c r="AV28" s="30"/>
      <c r="AW28" s="30"/>
      <c r="AX28" s="30"/>
      <c r="AY28" s="31"/>
      <c r="AZ28" s="5"/>
      <c r="BI28" s="6"/>
      <c r="BJ28" s="29"/>
      <c r="BK28" s="30"/>
      <c r="BL28" s="30"/>
      <c r="BM28" s="30"/>
      <c r="BN28" s="30"/>
      <c r="BO28" s="30"/>
      <c r="BP28" s="30"/>
      <c r="BQ28" s="30"/>
      <c r="BR28" s="30"/>
      <c r="BS28" s="31"/>
      <c r="BT28" s="5"/>
      <c r="CC28" s="6"/>
      <c r="CD28" s="29"/>
      <c r="CE28" s="30"/>
      <c r="CF28" s="30"/>
      <c r="CG28" s="30"/>
      <c r="CH28" s="30"/>
      <c r="CI28" s="30"/>
      <c r="CJ28" s="30"/>
      <c r="CK28" s="30"/>
      <c r="CL28" s="30"/>
      <c r="CM28" s="31"/>
      <c r="CN28" s="5"/>
      <c r="CW28" s="6"/>
    </row>
    <row r="29" spans="1:101" s="1" customFormat="1" x14ac:dyDescent="0.25">
      <c r="A29" s="114">
        <v>3197</v>
      </c>
      <c r="B29" s="29"/>
      <c r="C29" s="30"/>
      <c r="D29" s="30"/>
      <c r="E29" s="30"/>
      <c r="F29" s="30"/>
      <c r="G29" s="30"/>
      <c r="H29" s="30"/>
      <c r="I29" s="30"/>
      <c r="J29" s="30"/>
      <c r="K29" s="31"/>
      <c r="L29" s="5"/>
      <c r="U29" s="6"/>
      <c r="V29" s="29"/>
      <c r="W29" s="30"/>
      <c r="X29" s="30"/>
      <c r="Y29" s="30"/>
      <c r="Z29" s="30"/>
      <c r="AA29" s="30"/>
      <c r="AB29" s="30"/>
      <c r="AC29" s="30"/>
      <c r="AD29" s="30"/>
      <c r="AE29" s="31"/>
      <c r="AF29" s="5"/>
      <c r="AO29" s="6"/>
      <c r="AP29" s="29"/>
      <c r="AQ29" s="30"/>
      <c r="AR29" s="30"/>
      <c r="AS29" s="30"/>
      <c r="AT29" s="30"/>
      <c r="AU29" s="30"/>
      <c r="AV29" s="30"/>
      <c r="AW29" s="30"/>
      <c r="AX29" s="30"/>
      <c r="AY29" s="31"/>
      <c r="AZ29" s="5"/>
      <c r="BI29" s="6"/>
      <c r="BJ29" s="29"/>
      <c r="BK29" s="30"/>
      <c r="BL29" s="30"/>
      <c r="BM29" s="30"/>
      <c r="BN29" s="30"/>
      <c r="BO29" s="30"/>
      <c r="BP29" s="30"/>
      <c r="BQ29" s="30"/>
      <c r="BR29" s="30"/>
      <c r="BS29" s="31"/>
      <c r="BT29" s="5"/>
      <c r="CC29" s="6"/>
      <c r="CD29" s="29"/>
      <c r="CE29" s="30"/>
      <c r="CF29" s="30"/>
      <c r="CG29" s="30"/>
      <c r="CH29" s="30"/>
      <c r="CI29" s="30"/>
      <c r="CJ29" s="30"/>
      <c r="CK29" s="30"/>
      <c r="CL29" s="30"/>
      <c r="CM29" s="31"/>
      <c r="CN29" s="5"/>
      <c r="CW29" s="6"/>
    </row>
    <row r="30" spans="1:101" s="1" customFormat="1" x14ac:dyDescent="0.25">
      <c r="A30" s="114">
        <v>3206</v>
      </c>
      <c r="B30" s="29"/>
      <c r="C30" s="30"/>
      <c r="D30" s="30"/>
      <c r="E30" s="30"/>
      <c r="F30" s="30"/>
      <c r="G30" s="30"/>
      <c r="H30" s="30"/>
      <c r="I30" s="30"/>
      <c r="J30" s="30"/>
      <c r="K30" s="31"/>
      <c r="L30" s="5"/>
      <c r="U30" s="6"/>
      <c r="V30" s="29"/>
      <c r="W30" s="30"/>
      <c r="X30" s="30"/>
      <c r="Y30" s="30"/>
      <c r="Z30" s="30"/>
      <c r="AA30" s="30"/>
      <c r="AB30" s="30"/>
      <c r="AC30" s="30"/>
      <c r="AD30" s="30"/>
      <c r="AE30" s="31"/>
      <c r="AF30" s="5"/>
      <c r="AO30" s="6"/>
      <c r="AP30" s="29"/>
      <c r="AQ30" s="30"/>
      <c r="AR30" s="30"/>
      <c r="AS30" s="30"/>
      <c r="AT30" s="30"/>
      <c r="AU30" s="30"/>
      <c r="AV30" s="30"/>
      <c r="AW30" s="30"/>
      <c r="AX30" s="30"/>
      <c r="AY30" s="31"/>
      <c r="AZ30" s="5"/>
      <c r="BI30" s="6"/>
      <c r="BJ30" s="29"/>
      <c r="BK30" s="30"/>
      <c r="BL30" s="30"/>
      <c r="BM30" s="30"/>
      <c r="BN30" s="30"/>
      <c r="BO30" s="30"/>
      <c r="BP30" s="30"/>
      <c r="BQ30" s="30"/>
      <c r="BR30" s="30"/>
      <c r="BS30" s="31"/>
      <c r="BT30" s="5"/>
      <c r="CC30" s="6"/>
      <c r="CD30" s="29"/>
      <c r="CE30" s="30"/>
      <c r="CF30" s="30"/>
      <c r="CG30" s="30"/>
      <c r="CH30" s="30"/>
      <c r="CI30" s="30"/>
      <c r="CJ30" s="30"/>
      <c r="CK30" s="30"/>
      <c r="CL30" s="30"/>
      <c r="CM30" s="31"/>
      <c r="CN30" s="5"/>
      <c r="CW30" s="6"/>
    </row>
    <row r="31" spans="1:101" s="1" customFormat="1" x14ac:dyDescent="0.25">
      <c r="A31" s="114">
        <v>3212</v>
      </c>
      <c r="B31" s="29"/>
      <c r="C31" s="30"/>
      <c r="D31" s="30"/>
      <c r="E31" s="30"/>
      <c r="F31" s="30"/>
      <c r="G31" s="30"/>
      <c r="H31" s="30"/>
      <c r="I31" s="30"/>
      <c r="J31" s="30"/>
      <c r="K31" s="31"/>
      <c r="L31" s="5"/>
      <c r="U31" s="6"/>
      <c r="V31" s="29"/>
      <c r="W31" s="30"/>
      <c r="X31" s="30"/>
      <c r="Y31" s="30"/>
      <c r="Z31" s="30"/>
      <c r="AA31" s="30"/>
      <c r="AB31" s="30"/>
      <c r="AC31" s="30"/>
      <c r="AD31" s="30"/>
      <c r="AE31" s="31"/>
      <c r="AF31" s="5"/>
      <c r="AO31" s="6"/>
      <c r="AP31" s="29"/>
      <c r="AQ31" s="30"/>
      <c r="AR31" s="30"/>
      <c r="AS31" s="30"/>
      <c r="AT31" s="30"/>
      <c r="AU31" s="30"/>
      <c r="AV31" s="30"/>
      <c r="AW31" s="30"/>
      <c r="AX31" s="30"/>
      <c r="AY31" s="31"/>
      <c r="AZ31" s="5"/>
      <c r="BI31" s="6"/>
      <c r="BJ31" s="29"/>
      <c r="BK31" s="30"/>
      <c r="BL31" s="30"/>
      <c r="BM31" s="30"/>
      <c r="BN31" s="30"/>
      <c r="BO31" s="30"/>
      <c r="BP31" s="30"/>
      <c r="BQ31" s="30"/>
      <c r="BR31" s="30"/>
      <c r="BS31" s="31"/>
      <c r="BT31" s="5"/>
      <c r="CC31" s="6"/>
      <c r="CD31" s="29"/>
      <c r="CE31" s="30"/>
      <c r="CF31" s="30"/>
      <c r="CG31" s="30"/>
      <c r="CH31" s="30"/>
      <c r="CI31" s="30"/>
      <c r="CJ31" s="30"/>
      <c r="CK31" s="30"/>
      <c r="CL31" s="30"/>
      <c r="CM31" s="31"/>
      <c r="CN31" s="5"/>
      <c r="CW31" s="6"/>
    </row>
    <row r="32" spans="1:101" s="1" customFormat="1" x14ac:dyDescent="0.25">
      <c r="A32" s="114">
        <v>3267</v>
      </c>
      <c r="B32" s="29"/>
      <c r="C32" s="30"/>
      <c r="D32" s="30"/>
      <c r="E32" s="30"/>
      <c r="F32" s="30"/>
      <c r="G32" s="30"/>
      <c r="H32" s="30"/>
      <c r="I32" s="30"/>
      <c r="J32" s="30"/>
      <c r="K32" s="31"/>
      <c r="L32" s="5"/>
      <c r="U32" s="6"/>
      <c r="V32" s="29"/>
      <c r="W32" s="30"/>
      <c r="X32" s="30"/>
      <c r="Y32" s="30"/>
      <c r="Z32" s="30"/>
      <c r="AA32" s="30"/>
      <c r="AB32" s="30"/>
      <c r="AC32" s="30"/>
      <c r="AD32" s="30"/>
      <c r="AE32" s="31"/>
      <c r="AF32" s="5"/>
      <c r="AO32" s="6"/>
      <c r="AP32" s="29"/>
      <c r="AQ32" s="30"/>
      <c r="AR32" s="30"/>
      <c r="AS32" s="30"/>
      <c r="AT32" s="30"/>
      <c r="AU32" s="30"/>
      <c r="AV32" s="30"/>
      <c r="AW32" s="30"/>
      <c r="AX32" s="30"/>
      <c r="AY32" s="31"/>
      <c r="AZ32" s="5"/>
      <c r="BI32" s="6"/>
      <c r="BJ32" s="29"/>
      <c r="BK32" s="30"/>
      <c r="BL32" s="30"/>
      <c r="BM32" s="30"/>
      <c r="BN32" s="30"/>
      <c r="BO32" s="30"/>
      <c r="BP32" s="30"/>
      <c r="BQ32" s="30"/>
      <c r="BR32" s="30"/>
      <c r="BS32" s="31"/>
      <c r="BT32" s="5"/>
      <c r="CC32" s="6"/>
      <c r="CD32" s="29"/>
      <c r="CE32" s="30"/>
      <c r="CF32" s="30"/>
      <c r="CG32" s="30"/>
      <c r="CH32" s="30"/>
      <c r="CI32" s="30"/>
      <c r="CJ32" s="30"/>
      <c r="CK32" s="30"/>
      <c r="CL32" s="30"/>
      <c r="CM32" s="31"/>
      <c r="CN32" s="5"/>
      <c r="CW32" s="6"/>
    </row>
    <row r="33" spans="1:101" s="1" customFormat="1" x14ac:dyDescent="0.25">
      <c r="A33" s="114">
        <v>3298</v>
      </c>
      <c r="B33" s="29"/>
      <c r="C33" s="30"/>
      <c r="D33" s="30"/>
      <c r="E33" s="30"/>
      <c r="F33" s="30"/>
      <c r="G33" s="30"/>
      <c r="H33" s="30"/>
      <c r="I33" s="30"/>
      <c r="J33" s="30"/>
      <c r="K33" s="31"/>
      <c r="L33" s="5"/>
      <c r="U33" s="6"/>
      <c r="V33" s="29"/>
      <c r="W33" s="30"/>
      <c r="X33" s="30"/>
      <c r="Y33" s="30"/>
      <c r="Z33" s="30"/>
      <c r="AA33" s="30"/>
      <c r="AB33" s="30"/>
      <c r="AC33" s="30"/>
      <c r="AD33" s="30"/>
      <c r="AE33" s="31"/>
      <c r="AF33" s="5"/>
      <c r="AO33" s="6"/>
      <c r="AP33" s="29"/>
      <c r="AQ33" s="30"/>
      <c r="AR33" s="30"/>
      <c r="AS33" s="30"/>
      <c r="AT33" s="30"/>
      <c r="AU33" s="30"/>
      <c r="AV33" s="30"/>
      <c r="AW33" s="30"/>
      <c r="AX33" s="30"/>
      <c r="AY33" s="31"/>
      <c r="AZ33" s="5"/>
      <c r="BI33" s="6"/>
      <c r="BJ33" s="29"/>
      <c r="BK33" s="30"/>
      <c r="BL33" s="30"/>
      <c r="BM33" s="30"/>
      <c r="BN33" s="30"/>
      <c r="BO33" s="30"/>
      <c r="BP33" s="30"/>
      <c r="BQ33" s="30"/>
      <c r="BR33" s="30"/>
      <c r="BS33" s="31"/>
      <c r="BT33" s="5"/>
      <c r="CC33" s="6"/>
      <c r="CD33" s="29"/>
      <c r="CE33" s="30"/>
      <c r="CF33" s="30"/>
      <c r="CG33" s="30"/>
      <c r="CH33" s="30"/>
      <c r="CI33" s="30"/>
      <c r="CJ33" s="30"/>
      <c r="CK33" s="30"/>
      <c r="CL33" s="30"/>
      <c r="CM33" s="31"/>
      <c r="CN33" s="5"/>
      <c r="CW33" s="6"/>
    </row>
    <row r="34" spans="1:101" s="1" customFormat="1" x14ac:dyDescent="0.25">
      <c r="A34" s="114">
        <v>3381</v>
      </c>
      <c r="B34" s="29"/>
      <c r="C34" s="30"/>
      <c r="D34" s="30"/>
      <c r="E34" s="30"/>
      <c r="F34" s="30"/>
      <c r="G34" s="30"/>
      <c r="H34" s="30"/>
      <c r="I34" s="30"/>
      <c r="J34" s="30"/>
      <c r="K34" s="31"/>
      <c r="L34" s="5"/>
      <c r="U34" s="6"/>
      <c r="V34" s="29"/>
      <c r="W34" s="30"/>
      <c r="X34" s="30"/>
      <c r="Y34" s="30"/>
      <c r="Z34" s="30"/>
      <c r="AA34" s="30"/>
      <c r="AB34" s="30"/>
      <c r="AC34" s="30"/>
      <c r="AD34" s="30"/>
      <c r="AE34" s="31"/>
      <c r="AF34" s="5"/>
      <c r="AO34" s="6"/>
      <c r="AP34" s="29"/>
      <c r="AQ34" s="30"/>
      <c r="AR34" s="30"/>
      <c r="AS34" s="30"/>
      <c r="AT34" s="30"/>
      <c r="AU34" s="30"/>
      <c r="AV34" s="30"/>
      <c r="AW34" s="30"/>
      <c r="AX34" s="30"/>
      <c r="AY34" s="31"/>
      <c r="AZ34" s="5"/>
      <c r="BI34" s="6"/>
      <c r="BJ34" s="29"/>
      <c r="BK34" s="30"/>
      <c r="BL34" s="30"/>
      <c r="BM34" s="30"/>
      <c r="BN34" s="30"/>
      <c r="BO34" s="30"/>
      <c r="BP34" s="30"/>
      <c r="BQ34" s="30"/>
      <c r="BR34" s="30"/>
      <c r="BS34" s="31"/>
      <c r="BT34" s="5"/>
      <c r="CC34" s="6"/>
      <c r="CD34" s="29"/>
      <c r="CE34" s="30"/>
      <c r="CF34" s="30"/>
      <c r="CG34" s="30"/>
      <c r="CH34" s="30"/>
      <c r="CI34" s="30"/>
      <c r="CJ34" s="30"/>
      <c r="CK34" s="30"/>
      <c r="CL34" s="30"/>
      <c r="CM34" s="31"/>
      <c r="CN34" s="5"/>
      <c r="CW34" s="6"/>
    </row>
    <row r="35" spans="1:101" s="1" customFormat="1" x14ac:dyDescent="0.25">
      <c r="A35" s="114">
        <v>3723</v>
      </c>
      <c r="B35" s="29"/>
      <c r="C35" s="30"/>
      <c r="D35" s="30"/>
      <c r="E35" s="30"/>
      <c r="F35" s="30"/>
      <c r="G35" s="30"/>
      <c r="H35" s="30"/>
      <c r="I35" s="30"/>
      <c r="J35" s="30"/>
      <c r="K35" s="31"/>
      <c r="L35" s="5"/>
      <c r="U35" s="6"/>
      <c r="V35" s="29"/>
      <c r="W35" s="30"/>
      <c r="X35" s="30"/>
      <c r="Y35" s="30"/>
      <c r="Z35" s="30"/>
      <c r="AA35" s="30"/>
      <c r="AB35" s="30"/>
      <c r="AC35" s="30"/>
      <c r="AD35" s="30"/>
      <c r="AE35" s="31"/>
      <c r="AF35" s="5"/>
      <c r="AO35" s="6"/>
      <c r="AP35" s="29"/>
      <c r="AQ35" s="30"/>
      <c r="AR35" s="30"/>
      <c r="AS35" s="30"/>
      <c r="AT35" s="30"/>
      <c r="AU35" s="30"/>
      <c r="AV35" s="30"/>
      <c r="AW35" s="30"/>
      <c r="AX35" s="30"/>
      <c r="AY35" s="31"/>
      <c r="AZ35" s="5"/>
      <c r="BI35" s="6"/>
      <c r="BJ35" s="29"/>
      <c r="BK35" s="30"/>
      <c r="BL35" s="30"/>
      <c r="BM35" s="30"/>
      <c r="BN35" s="30"/>
      <c r="BO35" s="30"/>
      <c r="BP35" s="30"/>
      <c r="BQ35" s="30"/>
      <c r="BR35" s="30"/>
      <c r="BS35" s="31"/>
      <c r="BT35" s="5"/>
      <c r="CC35" s="6"/>
      <c r="CD35" s="29"/>
      <c r="CE35" s="30"/>
      <c r="CF35" s="30"/>
      <c r="CG35" s="30"/>
      <c r="CH35" s="30"/>
      <c r="CI35" s="30"/>
      <c r="CJ35" s="30"/>
      <c r="CK35" s="30"/>
      <c r="CL35" s="30"/>
      <c r="CM35" s="31"/>
      <c r="CN35" s="5"/>
      <c r="CW35" s="6"/>
    </row>
    <row r="36" spans="1:101" s="1" customFormat="1" x14ac:dyDescent="0.25">
      <c r="A36" s="114">
        <v>3750</v>
      </c>
      <c r="B36" s="29"/>
      <c r="C36" s="30"/>
      <c r="D36" s="30"/>
      <c r="E36" s="30"/>
      <c r="F36" s="30"/>
      <c r="G36" s="30"/>
      <c r="H36" s="30"/>
      <c r="I36" s="30"/>
      <c r="J36" s="30"/>
      <c r="K36" s="31"/>
      <c r="L36" s="5"/>
      <c r="U36" s="6"/>
      <c r="V36" s="29"/>
      <c r="W36" s="30"/>
      <c r="X36" s="30"/>
      <c r="Y36" s="30"/>
      <c r="Z36" s="30"/>
      <c r="AA36" s="30"/>
      <c r="AB36" s="30"/>
      <c r="AC36" s="30"/>
      <c r="AD36" s="30"/>
      <c r="AE36" s="31"/>
      <c r="AF36" s="5"/>
      <c r="AO36" s="6"/>
      <c r="AP36" s="29"/>
      <c r="AQ36" s="30"/>
      <c r="AR36" s="30"/>
      <c r="AS36" s="30"/>
      <c r="AT36" s="30"/>
      <c r="AU36" s="30"/>
      <c r="AV36" s="30"/>
      <c r="AW36" s="30"/>
      <c r="AX36" s="30"/>
      <c r="AY36" s="31"/>
      <c r="AZ36" s="5"/>
      <c r="BI36" s="6"/>
      <c r="BJ36" s="29"/>
      <c r="BK36" s="30"/>
      <c r="BL36" s="30"/>
      <c r="BM36" s="30"/>
      <c r="BN36" s="30"/>
      <c r="BO36" s="30"/>
      <c r="BP36" s="30"/>
      <c r="BQ36" s="30"/>
      <c r="BR36" s="30"/>
      <c r="BS36" s="31"/>
      <c r="BT36" s="5"/>
      <c r="CC36" s="6"/>
      <c r="CD36" s="29"/>
      <c r="CE36" s="30"/>
      <c r="CF36" s="30"/>
      <c r="CG36" s="30"/>
      <c r="CH36" s="30"/>
      <c r="CI36" s="30"/>
      <c r="CJ36" s="30"/>
      <c r="CK36" s="30"/>
      <c r="CL36" s="30"/>
      <c r="CM36" s="31"/>
      <c r="CN36" s="5"/>
      <c r="CW36" s="6"/>
    </row>
    <row r="37" spans="1:101" s="1" customFormat="1" x14ac:dyDescent="0.25">
      <c r="A37" s="114">
        <v>3754</v>
      </c>
      <c r="B37" s="29"/>
      <c r="C37" s="30"/>
      <c r="D37" s="30"/>
      <c r="E37" s="30"/>
      <c r="F37" s="30"/>
      <c r="G37" s="30"/>
      <c r="H37" s="30"/>
      <c r="I37" s="30"/>
      <c r="J37" s="30"/>
      <c r="K37" s="31"/>
      <c r="L37" s="5"/>
      <c r="U37" s="6"/>
      <c r="V37" s="29"/>
      <c r="W37" s="30"/>
      <c r="X37" s="30"/>
      <c r="Y37" s="30"/>
      <c r="Z37" s="30"/>
      <c r="AA37" s="30"/>
      <c r="AB37" s="30"/>
      <c r="AC37" s="30"/>
      <c r="AD37" s="30"/>
      <c r="AE37" s="31"/>
      <c r="AF37" s="5"/>
      <c r="AO37" s="6"/>
      <c r="AP37" s="29"/>
      <c r="AQ37" s="30"/>
      <c r="AR37" s="30"/>
      <c r="AS37" s="30"/>
      <c r="AT37" s="30"/>
      <c r="AU37" s="30"/>
      <c r="AV37" s="30"/>
      <c r="AW37" s="30"/>
      <c r="AX37" s="30"/>
      <c r="AY37" s="31"/>
      <c r="AZ37" s="5"/>
      <c r="BI37" s="6"/>
      <c r="BJ37" s="29"/>
      <c r="BK37" s="30"/>
      <c r="BL37" s="30"/>
      <c r="BM37" s="30"/>
      <c r="BN37" s="30"/>
      <c r="BO37" s="30"/>
      <c r="BP37" s="30"/>
      <c r="BQ37" s="30"/>
      <c r="BR37" s="30"/>
      <c r="BS37" s="31"/>
      <c r="BT37" s="5"/>
      <c r="CC37" s="6"/>
      <c r="CD37" s="29"/>
      <c r="CE37" s="30"/>
      <c r="CF37" s="30"/>
      <c r="CG37" s="30"/>
      <c r="CH37" s="30"/>
      <c r="CI37" s="30"/>
      <c r="CJ37" s="30"/>
      <c r="CK37" s="30"/>
      <c r="CL37" s="30"/>
      <c r="CM37" s="31"/>
      <c r="CN37" s="5"/>
      <c r="CW37" s="6"/>
    </row>
    <row r="38" spans="1:101" s="1" customFormat="1" x14ac:dyDescent="0.25">
      <c r="A38" s="114">
        <v>4166</v>
      </c>
      <c r="B38" s="29"/>
      <c r="C38" s="30"/>
      <c r="D38" s="30"/>
      <c r="E38" s="30"/>
      <c r="F38" s="30"/>
      <c r="G38" s="30"/>
      <c r="H38" s="30"/>
      <c r="I38" s="30"/>
      <c r="J38" s="30"/>
      <c r="K38" s="31"/>
      <c r="L38" s="5"/>
      <c r="U38" s="6"/>
      <c r="V38" s="29"/>
      <c r="W38" s="30"/>
      <c r="X38" s="30"/>
      <c r="Y38" s="30"/>
      <c r="Z38" s="30"/>
      <c r="AA38" s="30"/>
      <c r="AB38" s="30"/>
      <c r="AC38" s="30"/>
      <c r="AD38" s="30"/>
      <c r="AE38" s="31"/>
      <c r="AF38" s="5"/>
      <c r="AO38" s="6"/>
      <c r="AP38" s="29"/>
      <c r="AQ38" s="30"/>
      <c r="AR38" s="30"/>
      <c r="AS38" s="30"/>
      <c r="AT38" s="30"/>
      <c r="AU38" s="30"/>
      <c r="AV38" s="30"/>
      <c r="AW38" s="30"/>
      <c r="AX38" s="30"/>
      <c r="AY38" s="31"/>
      <c r="AZ38" s="5"/>
      <c r="BI38" s="6"/>
      <c r="BJ38" s="29"/>
      <c r="BK38" s="30"/>
      <c r="BL38" s="30"/>
      <c r="BM38" s="30"/>
      <c r="BN38" s="30"/>
      <c r="BO38" s="30"/>
      <c r="BP38" s="30"/>
      <c r="BQ38" s="30"/>
      <c r="BR38" s="30"/>
      <c r="BS38" s="31"/>
      <c r="BT38" s="5"/>
      <c r="CC38" s="6"/>
      <c r="CD38" s="29"/>
      <c r="CE38" s="30"/>
      <c r="CF38" s="30"/>
      <c r="CG38" s="30"/>
      <c r="CH38" s="30"/>
      <c r="CI38" s="30"/>
      <c r="CJ38" s="30"/>
      <c r="CK38" s="30"/>
      <c r="CL38" s="30"/>
      <c r="CM38" s="31"/>
      <c r="CN38" s="5"/>
      <c r="CW38" s="6"/>
    </row>
    <row r="39" spans="1:101" s="1" customFormat="1" x14ac:dyDescent="0.25">
      <c r="A39" s="114">
        <v>4198</v>
      </c>
      <c r="B39" s="29"/>
      <c r="C39" s="30"/>
      <c r="D39" s="30"/>
      <c r="E39" s="30"/>
      <c r="F39" s="30"/>
      <c r="G39" s="30"/>
      <c r="H39" s="30"/>
      <c r="I39" s="30"/>
      <c r="J39" s="30"/>
      <c r="K39" s="31"/>
      <c r="L39" s="5"/>
      <c r="U39" s="6"/>
      <c r="V39" s="29"/>
      <c r="W39" s="30"/>
      <c r="X39" s="30"/>
      <c r="Y39" s="30"/>
      <c r="Z39" s="30"/>
      <c r="AA39" s="30"/>
      <c r="AB39" s="30"/>
      <c r="AC39" s="30"/>
      <c r="AD39" s="30"/>
      <c r="AE39" s="31"/>
      <c r="AF39" s="5"/>
      <c r="AO39" s="6"/>
      <c r="AP39" s="29"/>
      <c r="AQ39" s="30"/>
      <c r="AR39" s="30"/>
      <c r="AS39" s="30"/>
      <c r="AT39" s="30"/>
      <c r="AU39" s="30"/>
      <c r="AV39" s="30"/>
      <c r="AW39" s="30"/>
      <c r="AX39" s="30"/>
      <c r="AY39" s="31"/>
      <c r="AZ39" s="5"/>
      <c r="BI39" s="6"/>
      <c r="BJ39" s="29"/>
      <c r="BK39" s="30"/>
      <c r="BL39" s="30"/>
      <c r="BM39" s="30"/>
      <c r="BN39" s="30"/>
      <c r="BO39" s="30"/>
      <c r="BP39" s="30"/>
      <c r="BQ39" s="30"/>
      <c r="BR39" s="30"/>
      <c r="BS39" s="31"/>
      <c r="BT39" s="5"/>
      <c r="CC39" s="6"/>
      <c r="CD39" s="29"/>
      <c r="CE39" s="30"/>
      <c r="CF39" s="30"/>
      <c r="CG39" s="30"/>
      <c r="CH39" s="30"/>
      <c r="CI39" s="30"/>
      <c r="CJ39" s="30"/>
      <c r="CK39" s="30"/>
      <c r="CL39" s="30"/>
      <c r="CM39" s="31"/>
      <c r="CN39" s="5"/>
      <c r="CW39" s="6"/>
    </row>
    <row r="40" spans="1:101" s="1" customFormat="1" x14ac:dyDescent="0.25">
      <c r="A40" s="114">
        <v>4226</v>
      </c>
      <c r="B40" s="29"/>
      <c r="C40" s="30"/>
      <c r="D40" s="30"/>
      <c r="E40" s="30"/>
      <c r="F40" s="30"/>
      <c r="G40" s="30"/>
      <c r="H40" s="30"/>
      <c r="I40" s="30"/>
      <c r="J40" s="30"/>
      <c r="K40" s="31"/>
      <c r="L40" s="5"/>
      <c r="U40" s="6"/>
      <c r="V40" s="29"/>
      <c r="W40" s="30"/>
      <c r="X40" s="30"/>
      <c r="Y40" s="30"/>
      <c r="Z40" s="30"/>
      <c r="AA40" s="30"/>
      <c r="AB40" s="30"/>
      <c r="AC40" s="30"/>
      <c r="AD40" s="30"/>
      <c r="AE40" s="31"/>
      <c r="AF40" s="5"/>
      <c r="AO40" s="6"/>
      <c r="AP40" s="29"/>
      <c r="AQ40" s="30"/>
      <c r="AR40" s="30"/>
      <c r="AS40" s="30"/>
      <c r="AT40" s="30"/>
      <c r="AU40" s="30"/>
      <c r="AV40" s="30"/>
      <c r="AW40" s="30"/>
      <c r="AX40" s="30"/>
      <c r="AY40" s="31"/>
      <c r="AZ40" s="5"/>
      <c r="BI40" s="6"/>
      <c r="BJ40" s="29"/>
      <c r="BK40" s="30"/>
      <c r="BL40" s="30"/>
      <c r="BM40" s="30"/>
      <c r="BN40" s="30"/>
      <c r="BO40" s="30"/>
      <c r="BP40" s="30"/>
      <c r="BQ40" s="30"/>
      <c r="BR40" s="30"/>
      <c r="BS40" s="31"/>
      <c r="BT40" s="5"/>
      <c r="CC40" s="6"/>
      <c r="CD40" s="29"/>
      <c r="CE40" s="30"/>
      <c r="CF40" s="30"/>
      <c r="CG40" s="30"/>
      <c r="CH40" s="30"/>
      <c r="CI40" s="30"/>
      <c r="CJ40" s="30"/>
      <c r="CK40" s="30"/>
      <c r="CL40" s="30"/>
      <c r="CM40" s="31"/>
      <c r="CN40" s="5"/>
      <c r="CW40" s="6"/>
    </row>
    <row r="41" spans="1:101" s="1" customFormat="1" x14ac:dyDescent="0.25">
      <c r="A41" s="114">
        <v>4238</v>
      </c>
      <c r="B41" s="29"/>
      <c r="C41" s="30"/>
      <c r="D41" s="30"/>
      <c r="E41" s="30"/>
      <c r="F41" s="30"/>
      <c r="G41" s="30"/>
      <c r="H41" s="30"/>
      <c r="I41" s="30"/>
      <c r="J41" s="30"/>
      <c r="K41" s="31"/>
      <c r="L41" s="5"/>
      <c r="U41" s="6"/>
      <c r="V41" s="29"/>
      <c r="W41" s="30"/>
      <c r="X41" s="30"/>
      <c r="Y41" s="30"/>
      <c r="Z41" s="30"/>
      <c r="AA41" s="30"/>
      <c r="AB41" s="30"/>
      <c r="AC41" s="30"/>
      <c r="AD41" s="30"/>
      <c r="AE41" s="31"/>
      <c r="AF41" s="5"/>
      <c r="AO41" s="6"/>
      <c r="AP41" s="29"/>
      <c r="AQ41" s="30"/>
      <c r="AR41" s="30"/>
      <c r="AS41" s="30"/>
      <c r="AT41" s="30"/>
      <c r="AU41" s="30"/>
      <c r="AV41" s="30"/>
      <c r="AW41" s="30"/>
      <c r="AX41" s="30"/>
      <c r="AY41" s="31"/>
      <c r="AZ41" s="5"/>
      <c r="BI41" s="6"/>
      <c r="BJ41" s="29"/>
      <c r="BK41" s="30"/>
      <c r="BL41" s="30"/>
      <c r="BM41" s="30"/>
      <c r="BN41" s="30"/>
      <c r="BO41" s="30"/>
      <c r="BP41" s="30"/>
      <c r="BQ41" s="30"/>
      <c r="BR41" s="30"/>
      <c r="BS41" s="31"/>
      <c r="BT41" s="5"/>
      <c r="CC41" s="6"/>
      <c r="CD41" s="29"/>
      <c r="CE41" s="30"/>
      <c r="CF41" s="30"/>
      <c r="CG41" s="30"/>
      <c r="CH41" s="30"/>
      <c r="CI41" s="30"/>
      <c r="CJ41" s="30"/>
      <c r="CK41" s="30"/>
      <c r="CL41" s="30"/>
      <c r="CM41" s="31"/>
      <c r="CN41" s="5"/>
      <c r="CW41" s="6"/>
    </row>
    <row r="42" spans="1:101" s="1" customFormat="1" x14ac:dyDescent="0.25">
      <c r="A42" s="114">
        <v>4531</v>
      </c>
      <c r="B42" s="29"/>
      <c r="C42" s="30"/>
      <c r="D42" s="30"/>
      <c r="E42" s="30"/>
      <c r="F42" s="30"/>
      <c r="G42" s="30"/>
      <c r="H42" s="30"/>
      <c r="I42" s="30"/>
      <c r="J42" s="30"/>
      <c r="K42" s="31"/>
      <c r="L42" s="5"/>
      <c r="U42" s="6"/>
      <c r="V42" s="29"/>
      <c r="W42" s="30"/>
      <c r="X42" s="30"/>
      <c r="Y42" s="30"/>
      <c r="Z42" s="30"/>
      <c r="AA42" s="30"/>
      <c r="AB42" s="30"/>
      <c r="AC42" s="30"/>
      <c r="AD42" s="30"/>
      <c r="AE42" s="31"/>
      <c r="AF42" s="5"/>
      <c r="AO42" s="6"/>
      <c r="AP42" s="29"/>
      <c r="AQ42" s="30"/>
      <c r="AR42" s="30"/>
      <c r="AS42" s="30"/>
      <c r="AT42" s="30"/>
      <c r="AU42" s="30"/>
      <c r="AV42" s="30"/>
      <c r="AW42" s="30"/>
      <c r="AX42" s="30"/>
      <c r="AY42" s="31"/>
      <c r="AZ42" s="5"/>
      <c r="BI42" s="6"/>
      <c r="BJ42" s="29"/>
      <c r="BK42" s="30"/>
      <c r="BL42" s="30"/>
      <c r="BM42" s="30"/>
      <c r="BN42" s="30"/>
      <c r="BO42" s="30"/>
      <c r="BP42" s="30"/>
      <c r="BQ42" s="30"/>
      <c r="BR42" s="30"/>
      <c r="BS42" s="31"/>
      <c r="BT42" s="5"/>
      <c r="CC42" s="6"/>
      <c r="CD42" s="29"/>
      <c r="CE42" s="30"/>
      <c r="CF42" s="30"/>
      <c r="CG42" s="30"/>
      <c r="CH42" s="30"/>
      <c r="CI42" s="30"/>
      <c r="CJ42" s="30"/>
      <c r="CK42" s="30"/>
      <c r="CL42" s="30"/>
      <c r="CM42" s="31"/>
      <c r="CN42" s="5"/>
      <c r="CW42" s="6"/>
    </row>
    <row r="43" spans="1:101" s="1" customFormat="1" x14ac:dyDescent="0.25">
      <c r="A43" s="114">
        <v>4549</v>
      </c>
      <c r="B43" s="29"/>
      <c r="C43" s="30"/>
      <c r="D43" s="30"/>
      <c r="E43" s="30"/>
      <c r="F43" s="30"/>
      <c r="G43" s="30"/>
      <c r="H43" s="30"/>
      <c r="I43" s="30"/>
      <c r="J43" s="30"/>
      <c r="K43" s="31"/>
      <c r="L43" s="5"/>
      <c r="U43" s="6"/>
      <c r="V43" s="29"/>
      <c r="W43" s="30"/>
      <c r="X43" s="30"/>
      <c r="Y43" s="30"/>
      <c r="Z43" s="30"/>
      <c r="AA43" s="30"/>
      <c r="AB43" s="30"/>
      <c r="AC43" s="30"/>
      <c r="AD43" s="30"/>
      <c r="AE43" s="31"/>
      <c r="AF43" s="5"/>
      <c r="AO43" s="6"/>
      <c r="AP43" s="29"/>
      <c r="AQ43" s="30"/>
      <c r="AR43" s="30"/>
      <c r="AS43" s="30"/>
      <c r="AT43" s="30"/>
      <c r="AU43" s="30"/>
      <c r="AV43" s="30"/>
      <c r="AW43" s="30"/>
      <c r="AX43" s="30"/>
      <c r="AY43" s="31"/>
      <c r="AZ43" s="5"/>
      <c r="BI43" s="6"/>
      <c r="BJ43" s="29"/>
      <c r="BK43" s="30"/>
      <c r="BL43" s="30"/>
      <c r="BM43" s="30"/>
      <c r="BN43" s="30"/>
      <c r="BO43" s="30"/>
      <c r="BP43" s="30"/>
      <c r="BQ43" s="30"/>
      <c r="BR43" s="30"/>
      <c r="BS43" s="31"/>
      <c r="BT43" s="5"/>
      <c r="CC43" s="6"/>
      <c r="CD43" s="29"/>
      <c r="CE43" s="30"/>
      <c r="CF43" s="30"/>
      <c r="CG43" s="30"/>
      <c r="CH43" s="30"/>
      <c r="CI43" s="30"/>
      <c r="CJ43" s="30"/>
      <c r="CK43" s="30"/>
      <c r="CL43" s="30"/>
      <c r="CM43" s="31"/>
      <c r="CN43" s="5"/>
      <c r="CW43" s="6"/>
    </row>
    <row r="44" spans="1:101" s="1" customFormat="1" x14ac:dyDescent="0.25">
      <c r="A44" s="114">
        <v>4623</v>
      </c>
      <c r="B44" s="29"/>
      <c r="C44" s="30"/>
      <c r="D44" s="30"/>
      <c r="E44" s="30"/>
      <c r="F44" s="30"/>
      <c r="G44" s="30"/>
      <c r="H44" s="30"/>
      <c r="I44" s="30"/>
      <c r="J44" s="30"/>
      <c r="K44" s="31"/>
      <c r="L44" s="5"/>
      <c r="U44" s="6"/>
      <c r="V44" s="29"/>
      <c r="W44" s="30"/>
      <c r="X44" s="30"/>
      <c r="Y44" s="30"/>
      <c r="Z44" s="30"/>
      <c r="AA44" s="30"/>
      <c r="AB44" s="30"/>
      <c r="AC44" s="30"/>
      <c r="AD44" s="30"/>
      <c r="AE44" s="31"/>
      <c r="AF44" s="5"/>
      <c r="AO44" s="6"/>
      <c r="AP44" s="29"/>
      <c r="AQ44" s="30"/>
      <c r="AR44" s="30"/>
      <c r="AS44" s="30"/>
      <c r="AT44" s="30"/>
      <c r="AU44" s="30"/>
      <c r="AV44" s="30"/>
      <c r="AW44" s="30"/>
      <c r="AX44" s="30"/>
      <c r="AY44" s="31"/>
      <c r="AZ44" s="5"/>
      <c r="BI44" s="6"/>
      <c r="BJ44" s="29"/>
      <c r="BK44" s="30"/>
      <c r="BL44" s="30"/>
      <c r="BM44" s="30"/>
      <c r="BN44" s="30"/>
      <c r="BO44" s="30"/>
      <c r="BP44" s="30"/>
      <c r="BQ44" s="30"/>
      <c r="BR44" s="30"/>
      <c r="BS44" s="31"/>
      <c r="BT44" s="5"/>
      <c r="CC44" s="6"/>
      <c r="CD44" s="29"/>
      <c r="CE44" s="30"/>
      <c r="CF44" s="30"/>
      <c r="CG44" s="30"/>
      <c r="CH44" s="30"/>
      <c r="CI44" s="30"/>
      <c r="CJ44" s="30"/>
      <c r="CK44" s="30"/>
      <c r="CL44" s="30"/>
      <c r="CM44" s="31"/>
      <c r="CN44" s="5"/>
      <c r="CW44" s="6"/>
    </row>
    <row r="45" spans="1:101" s="1" customFormat="1" x14ac:dyDescent="0.25">
      <c r="A45" s="114">
        <v>4624</v>
      </c>
      <c r="B45" s="29"/>
      <c r="C45" s="30"/>
      <c r="D45" s="30"/>
      <c r="E45" s="30"/>
      <c r="F45" s="30"/>
      <c r="G45" s="30"/>
      <c r="H45" s="30"/>
      <c r="I45" s="30"/>
      <c r="J45" s="30"/>
      <c r="K45" s="31"/>
      <c r="L45" s="5"/>
      <c r="U45" s="6"/>
      <c r="V45" s="29"/>
      <c r="W45" s="30"/>
      <c r="X45" s="30"/>
      <c r="Y45" s="30"/>
      <c r="Z45" s="30"/>
      <c r="AA45" s="30"/>
      <c r="AB45" s="30"/>
      <c r="AC45" s="30"/>
      <c r="AD45" s="30"/>
      <c r="AE45" s="31"/>
      <c r="AF45" s="5"/>
      <c r="AO45" s="6"/>
      <c r="AP45" s="29"/>
      <c r="AQ45" s="30"/>
      <c r="AR45" s="30"/>
      <c r="AS45" s="30"/>
      <c r="AT45" s="30"/>
      <c r="AU45" s="30"/>
      <c r="AV45" s="30"/>
      <c r="AW45" s="30"/>
      <c r="AX45" s="30"/>
      <c r="AY45" s="31"/>
      <c r="AZ45" s="5"/>
      <c r="BI45" s="6"/>
      <c r="BJ45" s="29"/>
      <c r="BK45" s="30"/>
      <c r="BL45" s="30"/>
      <c r="BM45" s="30"/>
      <c r="BN45" s="30"/>
      <c r="BO45" s="30"/>
      <c r="BP45" s="30"/>
      <c r="BQ45" s="30"/>
      <c r="BR45" s="30"/>
      <c r="BS45" s="31"/>
      <c r="BT45" s="5"/>
      <c r="CC45" s="6"/>
      <c r="CD45" s="29"/>
      <c r="CE45" s="30"/>
      <c r="CF45" s="30"/>
      <c r="CG45" s="30"/>
      <c r="CH45" s="30"/>
      <c r="CI45" s="30"/>
      <c r="CJ45" s="30"/>
      <c r="CK45" s="30"/>
      <c r="CL45" s="30"/>
      <c r="CM45" s="31"/>
      <c r="CN45" s="5"/>
      <c r="CW45" s="6"/>
    </row>
    <row r="46" spans="1:101" s="1" customFormat="1" x14ac:dyDescent="0.25">
      <c r="A46" s="114">
        <v>4656</v>
      </c>
      <c r="B46" s="29"/>
      <c r="C46" s="30"/>
      <c r="D46" s="30"/>
      <c r="E46" s="30"/>
      <c r="F46" s="30"/>
      <c r="G46" s="30"/>
      <c r="H46" s="30"/>
      <c r="I46" s="30"/>
      <c r="J46" s="30"/>
      <c r="K46" s="31"/>
      <c r="L46" s="5"/>
      <c r="U46" s="6"/>
      <c r="V46" s="29"/>
      <c r="W46" s="30"/>
      <c r="X46" s="30"/>
      <c r="Y46" s="30"/>
      <c r="Z46" s="30"/>
      <c r="AA46" s="30"/>
      <c r="AB46" s="30"/>
      <c r="AC46" s="30"/>
      <c r="AD46" s="30"/>
      <c r="AE46" s="31"/>
      <c r="AF46" s="5"/>
      <c r="AO46" s="6"/>
      <c r="AP46" s="29"/>
      <c r="AQ46" s="30"/>
      <c r="AR46" s="30"/>
      <c r="AS46" s="30"/>
      <c r="AT46" s="30"/>
      <c r="AU46" s="30"/>
      <c r="AV46" s="30"/>
      <c r="AW46" s="30"/>
      <c r="AX46" s="30"/>
      <c r="AY46" s="31"/>
      <c r="AZ46" s="5"/>
      <c r="BI46" s="6"/>
      <c r="BJ46" s="29"/>
      <c r="BK46" s="30"/>
      <c r="BL46" s="30"/>
      <c r="BM46" s="30"/>
      <c r="BN46" s="30"/>
      <c r="BO46" s="30"/>
      <c r="BP46" s="30"/>
      <c r="BQ46" s="30"/>
      <c r="BR46" s="30"/>
      <c r="BS46" s="31"/>
      <c r="BT46" s="5"/>
      <c r="CC46" s="6"/>
      <c r="CD46" s="29"/>
      <c r="CE46" s="30"/>
      <c r="CF46" s="30"/>
      <c r="CG46" s="30"/>
      <c r="CH46" s="30"/>
      <c r="CI46" s="30"/>
      <c r="CJ46" s="30"/>
      <c r="CK46" s="30"/>
      <c r="CL46" s="30"/>
      <c r="CM46" s="31"/>
      <c r="CN46" s="5"/>
      <c r="CW46" s="6"/>
    </row>
    <row r="47" spans="1:101" s="1" customFormat="1" x14ac:dyDescent="0.25">
      <c r="A47" s="114">
        <v>4657</v>
      </c>
      <c r="B47" s="29"/>
      <c r="C47" s="30"/>
      <c r="D47" s="30"/>
      <c r="E47" s="30"/>
      <c r="F47" s="30"/>
      <c r="G47" s="30"/>
      <c r="H47" s="30"/>
      <c r="I47" s="30"/>
      <c r="J47" s="30"/>
      <c r="K47" s="31"/>
      <c r="L47" s="5"/>
      <c r="U47" s="6"/>
      <c r="V47" s="29"/>
      <c r="W47" s="30"/>
      <c r="X47" s="30"/>
      <c r="Y47" s="30"/>
      <c r="Z47" s="30"/>
      <c r="AA47" s="30"/>
      <c r="AB47" s="30"/>
      <c r="AC47" s="30"/>
      <c r="AD47" s="30"/>
      <c r="AE47" s="31"/>
      <c r="AF47" s="5"/>
      <c r="AO47" s="6"/>
      <c r="AP47" s="29"/>
      <c r="AQ47" s="30"/>
      <c r="AR47" s="30"/>
      <c r="AS47" s="30"/>
      <c r="AT47" s="30"/>
      <c r="AU47" s="30"/>
      <c r="AV47" s="30"/>
      <c r="AW47" s="30"/>
      <c r="AX47" s="30"/>
      <c r="AY47" s="31"/>
      <c r="AZ47" s="5"/>
      <c r="BI47" s="6"/>
      <c r="BJ47" s="29"/>
      <c r="BK47" s="30"/>
      <c r="BL47" s="30"/>
      <c r="BM47" s="30"/>
      <c r="BN47" s="30"/>
      <c r="BO47" s="30"/>
      <c r="BP47" s="30"/>
      <c r="BQ47" s="30"/>
      <c r="BR47" s="30"/>
      <c r="BS47" s="31"/>
      <c r="BT47" s="5"/>
      <c r="CC47" s="6"/>
      <c r="CD47" s="29"/>
      <c r="CE47" s="30"/>
      <c r="CF47" s="30"/>
      <c r="CG47" s="30"/>
      <c r="CH47" s="30"/>
      <c r="CI47" s="30"/>
      <c r="CJ47" s="30"/>
      <c r="CK47" s="30"/>
      <c r="CL47" s="30"/>
      <c r="CM47" s="31"/>
      <c r="CN47" s="5"/>
      <c r="CW47" s="6"/>
    </row>
    <row r="48" spans="1:101" s="1" customFormat="1" x14ac:dyDescent="0.25">
      <c r="A48" s="114">
        <v>4671</v>
      </c>
      <c r="B48" s="29"/>
      <c r="C48" s="30"/>
      <c r="D48" s="30"/>
      <c r="E48" s="30"/>
      <c r="F48" s="30"/>
      <c r="G48" s="30"/>
      <c r="H48" s="30"/>
      <c r="I48" s="30"/>
      <c r="J48" s="30"/>
      <c r="K48" s="31"/>
      <c r="L48" s="5"/>
      <c r="U48" s="6"/>
      <c r="V48" s="29"/>
      <c r="W48" s="30"/>
      <c r="X48" s="30"/>
      <c r="Y48" s="30"/>
      <c r="Z48" s="30"/>
      <c r="AA48" s="30"/>
      <c r="AB48" s="30"/>
      <c r="AC48" s="30"/>
      <c r="AD48" s="30"/>
      <c r="AE48" s="31"/>
      <c r="AF48" s="5"/>
      <c r="AO48" s="6"/>
      <c r="AP48" s="29"/>
      <c r="AQ48" s="30"/>
      <c r="AR48" s="30"/>
      <c r="AS48" s="30"/>
      <c r="AT48" s="30"/>
      <c r="AU48" s="30"/>
      <c r="AV48" s="30"/>
      <c r="AW48" s="30"/>
      <c r="AX48" s="30"/>
      <c r="AY48" s="31"/>
      <c r="AZ48" s="5"/>
      <c r="BI48" s="6"/>
      <c r="BJ48" s="29"/>
      <c r="BK48" s="30"/>
      <c r="BL48" s="30"/>
      <c r="BM48" s="30"/>
      <c r="BN48" s="30"/>
      <c r="BO48" s="30"/>
      <c r="BP48" s="30"/>
      <c r="BQ48" s="30"/>
      <c r="BR48" s="30"/>
      <c r="BS48" s="31"/>
      <c r="BT48" s="5"/>
      <c r="CC48" s="6"/>
      <c r="CD48" s="29"/>
      <c r="CE48" s="30"/>
      <c r="CF48" s="30"/>
      <c r="CG48" s="30"/>
      <c r="CH48" s="30"/>
      <c r="CI48" s="30"/>
      <c r="CJ48" s="30"/>
      <c r="CK48" s="30"/>
      <c r="CL48" s="30"/>
      <c r="CM48" s="31"/>
      <c r="CN48" s="5"/>
      <c r="CW48" s="6"/>
    </row>
    <row r="49" spans="1:101" s="1" customFormat="1" x14ac:dyDescent="0.25">
      <c r="A49" s="114">
        <v>4674</v>
      </c>
      <c r="B49" s="29"/>
      <c r="C49" s="30"/>
      <c r="D49" s="30"/>
      <c r="E49" s="30"/>
      <c r="F49" s="30"/>
      <c r="G49" s="30"/>
      <c r="H49" s="30"/>
      <c r="I49" s="30"/>
      <c r="J49" s="30"/>
      <c r="K49" s="31"/>
      <c r="L49" s="5"/>
      <c r="U49" s="6"/>
      <c r="V49" s="29"/>
      <c r="W49" s="30"/>
      <c r="X49" s="30"/>
      <c r="Y49" s="30"/>
      <c r="Z49" s="30"/>
      <c r="AA49" s="30"/>
      <c r="AB49" s="30"/>
      <c r="AC49" s="30"/>
      <c r="AD49" s="30"/>
      <c r="AE49" s="31"/>
      <c r="AF49" s="5"/>
      <c r="AO49" s="6"/>
      <c r="AP49" s="29"/>
      <c r="AQ49" s="30"/>
      <c r="AR49" s="30"/>
      <c r="AS49" s="30"/>
      <c r="AT49" s="30"/>
      <c r="AU49" s="30"/>
      <c r="AV49" s="30"/>
      <c r="AW49" s="30"/>
      <c r="AX49" s="30"/>
      <c r="AY49" s="31"/>
      <c r="AZ49" s="5"/>
      <c r="BI49" s="6"/>
      <c r="BJ49" s="29"/>
      <c r="BK49" s="30"/>
      <c r="BL49" s="30"/>
      <c r="BM49" s="30"/>
      <c r="BN49" s="30"/>
      <c r="BO49" s="30"/>
      <c r="BP49" s="30"/>
      <c r="BQ49" s="30"/>
      <c r="BR49" s="30"/>
      <c r="BS49" s="31"/>
      <c r="BT49" s="5"/>
      <c r="CC49" s="6"/>
      <c r="CD49" s="29"/>
      <c r="CE49" s="30"/>
      <c r="CF49" s="30"/>
      <c r="CG49" s="30"/>
      <c r="CH49" s="30"/>
      <c r="CI49" s="30"/>
      <c r="CJ49" s="30"/>
      <c r="CK49" s="30"/>
      <c r="CL49" s="30"/>
      <c r="CM49" s="31"/>
      <c r="CN49" s="5"/>
      <c r="CW49" s="6"/>
    </row>
    <row r="50" spans="1:101" s="1" customFormat="1" x14ac:dyDescent="0.25">
      <c r="A50" s="114">
        <v>4693</v>
      </c>
      <c r="B50" s="29"/>
      <c r="C50" s="30"/>
      <c r="D50" s="30"/>
      <c r="E50" s="30"/>
      <c r="F50" s="30"/>
      <c r="G50" s="30"/>
      <c r="H50" s="30"/>
      <c r="I50" s="30"/>
      <c r="J50" s="30"/>
      <c r="K50" s="31"/>
      <c r="L50" s="5"/>
      <c r="U50" s="6"/>
      <c r="V50" s="29"/>
      <c r="W50" s="30"/>
      <c r="X50" s="30"/>
      <c r="Y50" s="30"/>
      <c r="Z50" s="30"/>
      <c r="AA50" s="30"/>
      <c r="AB50" s="30"/>
      <c r="AC50" s="30"/>
      <c r="AD50" s="30"/>
      <c r="AE50" s="31"/>
      <c r="AF50" s="5"/>
      <c r="AO50" s="6"/>
      <c r="AP50" s="29"/>
      <c r="AQ50" s="30"/>
      <c r="AR50" s="30"/>
      <c r="AS50" s="30"/>
      <c r="AT50" s="30"/>
      <c r="AU50" s="30"/>
      <c r="AV50" s="30"/>
      <c r="AW50" s="30"/>
      <c r="AX50" s="30"/>
      <c r="AY50" s="31"/>
      <c r="AZ50" s="5"/>
      <c r="BI50" s="6"/>
      <c r="BJ50" s="29"/>
      <c r="BK50" s="30"/>
      <c r="BL50" s="30"/>
      <c r="BM50" s="30"/>
      <c r="BN50" s="30"/>
      <c r="BO50" s="30"/>
      <c r="BP50" s="30"/>
      <c r="BQ50" s="30"/>
      <c r="BR50" s="30"/>
      <c r="BS50" s="31"/>
      <c r="BT50" s="5"/>
      <c r="CC50" s="6"/>
      <c r="CD50" s="29"/>
      <c r="CE50" s="30"/>
      <c r="CF50" s="30"/>
      <c r="CG50" s="30"/>
      <c r="CH50" s="30"/>
      <c r="CI50" s="30"/>
      <c r="CJ50" s="30"/>
      <c r="CK50" s="30"/>
      <c r="CL50" s="30"/>
      <c r="CM50" s="31"/>
      <c r="CN50" s="5"/>
      <c r="CW50" s="6"/>
    </row>
    <row r="51" spans="1:101" s="1" customFormat="1" x14ac:dyDescent="0.25">
      <c r="A51" s="114">
        <v>4703</v>
      </c>
      <c r="B51" s="29"/>
      <c r="C51" s="30"/>
      <c r="D51" s="30"/>
      <c r="E51" s="30"/>
      <c r="F51" s="30"/>
      <c r="G51" s="30"/>
      <c r="H51" s="30"/>
      <c r="I51" s="30"/>
      <c r="J51" s="30"/>
      <c r="K51" s="31"/>
      <c r="L51" s="5"/>
      <c r="U51" s="6"/>
      <c r="V51" s="29"/>
      <c r="W51" s="30"/>
      <c r="X51" s="30"/>
      <c r="Y51" s="30"/>
      <c r="Z51" s="30"/>
      <c r="AA51" s="30"/>
      <c r="AB51" s="30"/>
      <c r="AC51" s="30"/>
      <c r="AD51" s="30"/>
      <c r="AE51" s="31"/>
      <c r="AF51" s="5"/>
      <c r="AO51" s="6"/>
      <c r="AP51" s="29"/>
      <c r="AQ51" s="30"/>
      <c r="AR51" s="30"/>
      <c r="AS51" s="30"/>
      <c r="AT51" s="30"/>
      <c r="AU51" s="30"/>
      <c r="AV51" s="30"/>
      <c r="AW51" s="30"/>
      <c r="AX51" s="30"/>
      <c r="AY51" s="31"/>
      <c r="AZ51" s="5"/>
      <c r="BI51" s="6"/>
      <c r="BJ51" s="29"/>
      <c r="BK51" s="30"/>
      <c r="BL51" s="30"/>
      <c r="BM51" s="30"/>
      <c r="BN51" s="30"/>
      <c r="BO51" s="30"/>
      <c r="BP51" s="30"/>
      <c r="BQ51" s="30"/>
      <c r="BR51" s="30"/>
      <c r="BS51" s="31"/>
      <c r="BT51" s="5"/>
      <c r="CC51" s="6"/>
      <c r="CD51" s="29"/>
      <c r="CE51" s="30"/>
      <c r="CF51" s="30"/>
      <c r="CG51" s="30"/>
      <c r="CH51" s="30"/>
      <c r="CI51" s="30"/>
      <c r="CJ51" s="30"/>
      <c r="CK51" s="30"/>
      <c r="CL51" s="30"/>
      <c r="CM51" s="31"/>
      <c r="CN51" s="5"/>
      <c r="CW51" s="6"/>
    </row>
    <row r="52" spans="1:101" s="1" customFormat="1" x14ac:dyDescent="0.25">
      <c r="A52" s="114">
        <v>4728</v>
      </c>
      <c r="B52" s="29"/>
      <c r="C52" s="30"/>
      <c r="D52" s="30"/>
      <c r="E52" s="30"/>
      <c r="F52" s="30"/>
      <c r="G52" s="30"/>
      <c r="H52" s="30"/>
      <c r="I52" s="30"/>
      <c r="J52" s="30"/>
      <c r="K52" s="31"/>
      <c r="L52" s="5"/>
      <c r="U52" s="6"/>
      <c r="V52" s="29"/>
      <c r="W52" s="30"/>
      <c r="X52" s="30"/>
      <c r="Y52" s="30"/>
      <c r="Z52" s="30"/>
      <c r="AA52" s="30"/>
      <c r="AB52" s="30"/>
      <c r="AC52" s="30"/>
      <c r="AD52" s="30"/>
      <c r="AE52" s="31"/>
      <c r="AF52" s="5"/>
      <c r="AO52" s="6"/>
      <c r="AP52" s="29"/>
      <c r="AQ52" s="30"/>
      <c r="AR52" s="30"/>
      <c r="AS52" s="30"/>
      <c r="AT52" s="30"/>
      <c r="AU52" s="30"/>
      <c r="AV52" s="30"/>
      <c r="AW52" s="30"/>
      <c r="AX52" s="30"/>
      <c r="AY52" s="31"/>
      <c r="AZ52" s="5"/>
      <c r="BI52" s="6"/>
      <c r="BJ52" s="29"/>
      <c r="BK52" s="30"/>
      <c r="BL52" s="30"/>
      <c r="BM52" s="30"/>
      <c r="BN52" s="30"/>
      <c r="BO52" s="30"/>
      <c r="BP52" s="30"/>
      <c r="BQ52" s="30"/>
      <c r="BR52" s="30"/>
      <c r="BS52" s="31"/>
      <c r="BT52" s="5"/>
      <c r="CC52" s="6"/>
      <c r="CD52" s="29"/>
      <c r="CE52" s="30"/>
      <c r="CF52" s="30"/>
      <c r="CG52" s="30"/>
      <c r="CH52" s="30"/>
      <c r="CI52" s="30"/>
      <c r="CJ52" s="30"/>
      <c r="CK52" s="30"/>
      <c r="CL52" s="30"/>
      <c r="CM52" s="31"/>
      <c r="CN52" s="5"/>
      <c r="CW52" s="6"/>
    </row>
    <row r="53" spans="1:101" s="1" customFormat="1" x14ac:dyDescent="0.25">
      <c r="A53" s="114">
        <v>5172</v>
      </c>
      <c r="B53" s="29"/>
      <c r="C53" s="30"/>
      <c r="D53" s="30"/>
      <c r="E53" s="30"/>
      <c r="F53" s="30"/>
      <c r="G53" s="30"/>
      <c r="H53" s="30"/>
      <c r="I53" s="30"/>
      <c r="J53" s="30"/>
      <c r="K53" s="31"/>
      <c r="L53" s="5"/>
      <c r="U53" s="6"/>
      <c r="V53" s="29"/>
      <c r="W53" s="30"/>
      <c r="X53" s="30"/>
      <c r="Y53" s="30"/>
      <c r="Z53" s="30"/>
      <c r="AA53" s="30"/>
      <c r="AB53" s="30"/>
      <c r="AC53" s="30"/>
      <c r="AD53" s="30"/>
      <c r="AE53" s="31"/>
      <c r="AF53" s="5"/>
      <c r="AO53" s="6"/>
      <c r="AP53" s="29"/>
      <c r="AQ53" s="30"/>
      <c r="AR53" s="30"/>
      <c r="AS53" s="30"/>
      <c r="AT53" s="30"/>
      <c r="AU53" s="30"/>
      <c r="AV53" s="30"/>
      <c r="AW53" s="30"/>
      <c r="AX53" s="30"/>
      <c r="AY53" s="31"/>
      <c r="AZ53" s="5"/>
      <c r="BI53" s="6"/>
      <c r="BJ53" s="29"/>
      <c r="BK53" s="30"/>
      <c r="BL53" s="30"/>
      <c r="BM53" s="30"/>
      <c r="BN53" s="30"/>
      <c r="BO53" s="30"/>
      <c r="BP53" s="30"/>
      <c r="BQ53" s="30"/>
      <c r="BR53" s="30"/>
      <c r="BS53" s="31"/>
      <c r="BT53" s="5"/>
      <c r="CC53" s="6"/>
      <c r="CD53" s="29"/>
      <c r="CE53" s="30"/>
      <c r="CF53" s="30"/>
      <c r="CG53" s="30"/>
      <c r="CH53" s="30"/>
      <c r="CI53" s="30"/>
      <c r="CJ53" s="30"/>
      <c r="CK53" s="30"/>
      <c r="CL53" s="30"/>
      <c r="CM53" s="31"/>
      <c r="CN53" s="5"/>
      <c r="CW53" s="6"/>
    </row>
    <row r="54" spans="1:101" s="1" customFormat="1" x14ac:dyDescent="0.25">
      <c r="A54" s="114">
        <v>5232</v>
      </c>
      <c r="B54" s="29"/>
      <c r="C54" s="30"/>
      <c r="D54" s="30"/>
      <c r="E54" s="30"/>
      <c r="F54" s="30"/>
      <c r="G54" s="30"/>
      <c r="H54" s="30"/>
      <c r="I54" s="30"/>
      <c r="J54" s="30"/>
      <c r="K54" s="31"/>
      <c r="L54" s="5"/>
      <c r="U54" s="6"/>
      <c r="V54" s="29"/>
      <c r="W54" s="30"/>
      <c r="X54" s="30"/>
      <c r="Y54" s="30"/>
      <c r="Z54" s="30"/>
      <c r="AA54" s="30"/>
      <c r="AB54" s="30"/>
      <c r="AC54" s="30"/>
      <c r="AD54" s="30"/>
      <c r="AE54" s="31"/>
      <c r="AF54" s="5"/>
      <c r="AO54" s="6"/>
      <c r="AP54" s="29"/>
      <c r="AQ54" s="30"/>
      <c r="AR54" s="30"/>
      <c r="AS54" s="30"/>
      <c r="AT54" s="30"/>
      <c r="AU54" s="30"/>
      <c r="AV54" s="30"/>
      <c r="AW54" s="30"/>
      <c r="AX54" s="30"/>
      <c r="AY54" s="31"/>
      <c r="AZ54" s="5"/>
      <c r="BI54" s="6"/>
      <c r="BJ54" s="29"/>
      <c r="BK54" s="30"/>
      <c r="BL54" s="30"/>
      <c r="BM54" s="30"/>
      <c r="BN54" s="30"/>
      <c r="BO54" s="30"/>
      <c r="BP54" s="30"/>
      <c r="BQ54" s="30"/>
      <c r="BR54" s="30"/>
      <c r="BS54" s="31"/>
      <c r="BT54" s="5"/>
      <c r="CC54" s="6"/>
      <c r="CD54" s="29"/>
      <c r="CE54" s="30"/>
      <c r="CF54" s="30"/>
      <c r="CG54" s="30"/>
      <c r="CH54" s="30"/>
      <c r="CI54" s="30"/>
      <c r="CJ54" s="30"/>
      <c r="CK54" s="30"/>
      <c r="CL54" s="30"/>
      <c r="CM54" s="31"/>
      <c r="CN54" s="5"/>
      <c r="CW54" s="6"/>
    </row>
    <row r="55" spans="1:101" s="1" customFormat="1" x14ac:dyDescent="0.25">
      <c r="A55" s="114">
        <v>5253</v>
      </c>
      <c r="B55" s="29"/>
      <c r="C55" s="30"/>
      <c r="D55" s="30"/>
      <c r="E55" s="30"/>
      <c r="F55" s="30"/>
      <c r="G55" s="30"/>
      <c r="H55" s="30"/>
      <c r="I55" s="30"/>
      <c r="J55" s="30"/>
      <c r="K55" s="31"/>
      <c r="L55" s="5"/>
      <c r="U55" s="6"/>
      <c r="V55" s="29"/>
      <c r="W55" s="30"/>
      <c r="X55" s="30"/>
      <c r="Y55" s="30"/>
      <c r="Z55" s="30"/>
      <c r="AA55" s="30"/>
      <c r="AB55" s="30"/>
      <c r="AC55" s="30"/>
      <c r="AD55" s="30"/>
      <c r="AE55" s="31"/>
      <c r="AF55" s="5"/>
      <c r="AO55" s="6"/>
      <c r="AP55" s="29"/>
      <c r="AQ55" s="30"/>
      <c r="AR55" s="30"/>
      <c r="AS55" s="30"/>
      <c r="AT55" s="30"/>
      <c r="AU55" s="30"/>
      <c r="AV55" s="30"/>
      <c r="AW55" s="30"/>
      <c r="AX55" s="30"/>
      <c r="AY55" s="31"/>
      <c r="AZ55" s="5"/>
      <c r="BI55" s="6"/>
      <c r="BJ55" s="29"/>
      <c r="BK55" s="30"/>
      <c r="BL55" s="30"/>
      <c r="BM55" s="30"/>
      <c r="BN55" s="30"/>
      <c r="BO55" s="30"/>
      <c r="BP55" s="30"/>
      <c r="BQ55" s="30"/>
      <c r="BR55" s="30"/>
      <c r="BS55" s="31"/>
      <c r="BT55" s="5"/>
      <c r="CC55" s="6"/>
      <c r="CD55" s="29"/>
      <c r="CE55" s="30"/>
      <c r="CF55" s="30"/>
      <c r="CG55" s="30"/>
      <c r="CH55" s="30"/>
      <c r="CI55" s="30"/>
      <c r="CJ55" s="30"/>
      <c r="CK55" s="30"/>
      <c r="CL55" s="30"/>
      <c r="CM55" s="31"/>
      <c r="CN55" s="5"/>
      <c r="CW55" s="6"/>
    </row>
    <row r="56" spans="1:101" s="1" customFormat="1" x14ac:dyDescent="0.25">
      <c r="A56" s="114">
        <v>5278</v>
      </c>
      <c r="B56" s="29"/>
      <c r="C56" s="30"/>
      <c r="D56" s="30"/>
      <c r="E56" s="30"/>
      <c r="F56" s="30"/>
      <c r="G56" s="30"/>
      <c r="H56" s="30"/>
      <c r="I56" s="30"/>
      <c r="J56" s="30"/>
      <c r="K56" s="31"/>
      <c r="L56" s="5"/>
      <c r="U56" s="6"/>
      <c r="V56" s="29"/>
      <c r="W56" s="30"/>
      <c r="X56" s="30"/>
      <c r="Y56" s="30"/>
      <c r="Z56" s="30"/>
      <c r="AA56" s="30"/>
      <c r="AB56" s="30"/>
      <c r="AC56" s="30"/>
      <c r="AD56" s="30"/>
      <c r="AE56" s="31"/>
      <c r="AF56" s="5"/>
      <c r="AO56" s="6"/>
      <c r="AP56" s="29"/>
      <c r="AQ56" s="30"/>
      <c r="AR56" s="30"/>
      <c r="AS56" s="30"/>
      <c r="AT56" s="30"/>
      <c r="AU56" s="30"/>
      <c r="AV56" s="30"/>
      <c r="AW56" s="30"/>
      <c r="AX56" s="30"/>
      <c r="AY56" s="31"/>
      <c r="AZ56" s="5"/>
      <c r="BI56" s="6"/>
      <c r="BJ56" s="29"/>
      <c r="BK56" s="30"/>
      <c r="BL56" s="30"/>
      <c r="BM56" s="30"/>
      <c r="BN56" s="30"/>
      <c r="BO56" s="30"/>
      <c r="BP56" s="30"/>
      <c r="BQ56" s="30"/>
      <c r="BR56" s="30"/>
      <c r="BS56" s="31"/>
      <c r="BT56" s="5"/>
      <c r="CC56" s="6"/>
      <c r="CD56" s="29"/>
      <c r="CE56" s="30"/>
      <c r="CF56" s="30"/>
      <c r="CG56" s="30"/>
      <c r="CH56" s="30"/>
      <c r="CI56" s="30"/>
      <c r="CJ56" s="30"/>
      <c r="CK56" s="30"/>
      <c r="CL56" s="30"/>
      <c r="CM56" s="31"/>
      <c r="CN56" s="5"/>
      <c r="CW56" s="6"/>
    </row>
    <row r="57" spans="1:101" s="1" customFormat="1" ht="15.75" thickBot="1" x14ac:dyDescent="0.3">
      <c r="A57" s="114">
        <v>5348</v>
      </c>
      <c r="B57" s="29"/>
      <c r="C57" s="33"/>
      <c r="D57" s="33"/>
      <c r="E57" s="33"/>
      <c r="F57" s="33"/>
      <c r="G57" s="33"/>
      <c r="H57" s="33"/>
      <c r="I57" s="33"/>
      <c r="J57" s="33"/>
      <c r="K57" s="34"/>
      <c r="L57" s="7"/>
      <c r="M57" s="8"/>
      <c r="N57" s="8"/>
      <c r="O57" s="8"/>
      <c r="P57" s="8"/>
      <c r="Q57" s="8"/>
      <c r="R57" s="8"/>
      <c r="S57" s="8"/>
      <c r="T57" s="8"/>
      <c r="U57" s="9"/>
      <c r="V57" s="32"/>
      <c r="W57" s="33"/>
      <c r="X57" s="33"/>
      <c r="Y57" s="33"/>
      <c r="Z57" s="33"/>
      <c r="AA57" s="33"/>
      <c r="AB57" s="33"/>
      <c r="AC57" s="33"/>
      <c r="AD57" s="33"/>
      <c r="AE57" s="34"/>
      <c r="AF57" s="7"/>
      <c r="AG57" s="8"/>
      <c r="AH57" s="8"/>
      <c r="AI57" s="8"/>
      <c r="AJ57" s="8"/>
      <c r="AK57" s="8"/>
      <c r="AL57" s="8"/>
      <c r="AM57" s="8"/>
      <c r="AN57" s="8"/>
      <c r="AO57" s="9"/>
      <c r="AP57" s="32"/>
      <c r="AQ57" s="33"/>
      <c r="AR57" s="33"/>
      <c r="AS57" s="33"/>
      <c r="AT57" s="33"/>
      <c r="AU57" s="33"/>
      <c r="AV57" s="33"/>
      <c r="AW57" s="33"/>
      <c r="AX57" s="33"/>
      <c r="AY57" s="34"/>
      <c r="AZ57" s="7"/>
      <c r="BA57" s="8"/>
      <c r="BB57" s="8"/>
      <c r="BC57" s="8"/>
      <c r="BD57" s="8"/>
      <c r="BE57" s="8"/>
      <c r="BF57" s="8"/>
      <c r="BG57" s="8"/>
      <c r="BH57" s="8"/>
      <c r="BI57" s="9"/>
      <c r="BJ57" s="32"/>
      <c r="BK57" s="33"/>
      <c r="BL57" s="33"/>
      <c r="BM57" s="33"/>
      <c r="BN57" s="33"/>
      <c r="BO57" s="33"/>
      <c r="BP57" s="33"/>
      <c r="BQ57" s="33"/>
      <c r="BR57" s="33"/>
      <c r="BS57" s="34"/>
      <c r="BT57" s="7"/>
      <c r="BU57" s="8"/>
      <c r="BV57" s="8"/>
      <c r="BW57" s="8"/>
      <c r="BX57" s="8"/>
      <c r="BY57" s="8"/>
      <c r="BZ57" s="8"/>
      <c r="CA57" s="8"/>
      <c r="CB57" s="8"/>
      <c r="CC57" s="9"/>
      <c r="CD57" s="32"/>
      <c r="CE57" s="33"/>
      <c r="CF57" s="33"/>
      <c r="CG57" s="33"/>
      <c r="CH57" s="33"/>
      <c r="CI57" s="33"/>
      <c r="CJ57" s="33"/>
      <c r="CK57" s="33"/>
      <c r="CL57" s="33"/>
      <c r="CM57" s="34"/>
      <c r="CN57" s="7"/>
      <c r="CO57" s="8"/>
      <c r="CP57" s="8"/>
      <c r="CQ57" s="8"/>
      <c r="CR57" s="8"/>
      <c r="CS57" s="8"/>
      <c r="CT57" s="8"/>
      <c r="CU57" s="8"/>
      <c r="CV57" s="8"/>
      <c r="CW57" s="9"/>
    </row>
    <row r="58" spans="1:101" x14ac:dyDescent="0.25">
      <c r="A58" s="21"/>
    </row>
    <row r="59" spans="1:101" ht="15" hidden="1" customHeight="1" x14ac:dyDescent="0.25">
      <c r="A59" s="21"/>
    </row>
    <row r="60" spans="1:101" ht="15" hidden="1" customHeight="1" x14ac:dyDescent="0.25">
      <c r="A60" s="21"/>
    </row>
    <row r="61" spans="1:101" ht="15" hidden="1" customHeight="1" x14ac:dyDescent="0.25">
      <c r="A61" s="21"/>
    </row>
    <row r="62" spans="1:101" ht="15" hidden="1" customHeight="1" x14ac:dyDescent="0.25">
      <c r="A62" s="21"/>
    </row>
    <row r="63" spans="1:101" ht="15" hidden="1" customHeight="1" x14ac:dyDescent="0.25">
      <c r="A63" s="21"/>
    </row>
    <row r="64" spans="1:101" ht="15" hidden="1" customHeight="1" x14ac:dyDescent="0.25">
      <c r="A64" s="21"/>
    </row>
    <row r="65" spans="1:1" ht="15" hidden="1" customHeight="1" x14ac:dyDescent="0.25">
      <c r="A65" s="21"/>
    </row>
    <row r="66" spans="1:1" ht="15.75" hidden="1" customHeight="1" thickBot="1" x14ac:dyDescent="0.25">
      <c r="A66" s="21"/>
    </row>
    <row r="67" spans="1:1" ht="15" hidden="1" customHeight="1" x14ac:dyDescent="0.25">
      <c r="A67" s="21"/>
    </row>
    <row r="68" spans="1:1" ht="15" hidden="1" customHeight="1" x14ac:dyDescent="0.25">
      <c r="A68" s="21"/>
    </row>
    <row r="69" spans="1:1" ht="15" hidden="1" customHeight="1" x14ac:dyDescent="0.25">
      <c r="A69" s="21"/>
    </row>
    <row r="70" spans="1:1" ht="15" hidden="1" customHeight="1" x14ac:dyDescent="0.25">
      <c r="A70" s="21"/>
    </row>
    <row r="71" spans="1:1" ht="15" hidden="1" customHeight="1" x14ac:dyDescent="0.25">
      <c r="A71" s="21"/>
    </row>
    <row r="72" spans="1:1" ht="15" hidden="1" customHeight="1" x14ac:dyDescent="0.25">
      <c r="A72" s="21"/>
    </row>
    <row r="73" spans="1:1" ht="15" hidden="1" customHeight="1" x14ac:dyDescent="0.25">
      <c r="A73" s="21"/>
    </row>
    <row r="74" spans="1:1" ht="15" hidden="1" customHeight="1" x14ac:dyDescent="0.25">
      <c r="A74" s="21"/>
    </row>
    <row r="75" spans="1:1" ht="15" hidden="1" customHeight="1" x14ac:dyDescent="0.25">
      <c r="A75" s="21"/>
    </row>
    <row r="76" spans="1:1" ht="15" hidden="1" customHeight="1" x14ac:dyDescent="0.25">
      <c r="A76" s="21"/>
    </row>
    <row r="77" spans="1:1" ht="15" hidden="1" customHeight="1" x14ac:dyDescent="0.25">
      <c r="A77" s="21"/>
    </row>
    <row r="78" spans="1:1" ht="15" hidden="1" customHeight="1" x14ac:dyDescent="0.25">
      <c r="A78" s="21"/>
    </row>
    <row r="79" spans="1:1" ht="15" hidden="1" customHeight="1" x14ac:dyDescent="0.25">
      <c r="A79" s="21"/>
    </row>
    <row r="80" spans="1:1" ht="15" hidden="1" customHeight="1" x14ac:dyDescent="0.25">
      <c r="A80" s="21"/>
    </row>
    <row r="81" spans="1:1" ht="15" hidden="1" customHeight="1" x14ac:dyDescent="0.25">
      <c r="A81" s="21"/>
    </row>
    <row r="82" spans="1:1" ht="15" hidden="1" customHeight="1" x14ac:dyDescent="0.25">
      <c r="A82" s="21"/>
    </row>
    <row r="83" spans="1:1" ht="15" hidden="1" customHeight="1" x14ac:dyDescent="0.25">
      <c r="A83" s="21"/>
    </row>
    <row r="84" spans="1:1" ht="15" hidden="1" customHeight="1" x14ac:dyDescent="0.25">
      <c r="A84" s="21"/>
    </row>
    <row r="85" spans="1:1" ht="15" hidden="1" customHeight="1" x14ac:dyDescent="0.25">
      <c r="A85" s="21"/>
    </row>
    <row r="86" spans="1:1" ht="15" hidden="1" customHeight="1" x14ac:dyDescent="0.25">
      <c r="A86" s="21"/>
    </row>
    <row r="87" spans="1:1" ht="15" hidden="1" customHeight="1" x14ac:dyDescent="0.25">
      <c r="A87" s="21"/>
    </row>
    <row r="88" spans="1:1" ht="15" hidden="1" customHeight="1" x14ac:dyDescent="0.25">
      <c r="A88" s="21"/>
    </row>
    <row r="89" spans="1:1" ht="15" hidden="1" customHeight="1" x14ac:dyDescent="0.25">
      <c r="A89" s="21"/>
    </row>
    <row r="90" spans="1:1" ht="15" hidden="1" customHeight="1" x14ac:dyDescent="0.25">
      <c r="A90" s="21"/>
    </row>
    <row r="91" spans="1:1" ht="15" hidden="1" customHeight="1" x14ac:dyDescent="0.25">
      <c r="A91" s="21"/>
    </row>
    <row r="92" spans="1:1" ht="15" hidden="1" customHeight="1" x14ac:dyDescent="0.25">
      <c r="A92" s="21"/>
    </row>
    <row r="93" spans="1:1" ht="15" hidden="1" customHeight="1" x14ac:dyDescent="0.25">
      <c r="A93" s="21"/>
    </row>
    <row r="94" spans="1:1" ht="15" hidden="1" customHeight="1" x14ac:dyDescent="0.25">
      <c r="A94" s="21"/>
    </row>
    <row r="95" spans="1:1" ht="15" hidden="1" customHeight="1" x14ac:dyDescent="0.25">
      <c r="A95" s="21"/>
    </row>
    <row r="96" spans="1:1" ht="15" hidden="1" customHeight="1" x14ac:dyDescent="0.25">
      <c r="A96" s="21"/>
    </row>
    <row r="97" spans="1:1" ht="15" hidden="1" customHeight="1" x14ac:dyDescent="0.25">
      <c r="A97" s="21"/>
    </row>
    <row r="98" spans="1:1" ht="15" hidden="1" customHeight="1" x14ac:dyDescent="0.25">
      <c r="A98" s="21"/>
    </row>
    <row r="99" spans="1:1" ht="15" hidden="1" customHeight="1" x14ac:dyDescent="0.25">
      <c r="A99" s="21"/>
    </row>
    <row r="100" spans="1:1" ht="15" hidden="1" customHeight="1" x14ac:dyDescent="0.25">
      <c r="A100" s="21"/>
    </row>
    <row r="101" spans="1:1" ht="15" hidden="1" customHeight="1" x14ac:dyDescent="0.25">
      <c r="A101" s="21"/>
    </row>
    <row r="102" spans="1:1" ht="15" hidden="1" customHeight="1" x14ac:dyDescent="0.25">
      <c r="A102" s="21"/>
    </row>
    <row r="103" spans="1:1" ht="15" hidden="1" customHeight="1" x14ac:dyDescent="0.25">
      <c r="A103" s="21"/>
    </row>
    <row r="104" spans="1:1" ht="15" hidden="1" customHeight="1" x14ac:dyDescent="0.25">
      <c r="A104" s="21"/>
    </row>
    <row r="105" spans="1:1" ht="15" hidden="1" customHeight="1" x14ac:dyDescent="0.25">
      <c r="A105" s="21"/>
    </row>
    <row r="106" spans="1:1" ht="15" hidden="1" customHeight="1" x14ac:dyDescent="0.25">
      <c r="A106" s="21"/>
    </row>
    <row r="107" spans="1:1" ht="15" hidden="1" customHeight="1" x14ac:dyDescent="0.25">
      <c r="A107" s="21"/>
    </row>
    <row r="108" spans="1:1" ht="15" hidden="1" customHeight="1" x14ac:dyDescent="0.25">
      <c r="A108" s="21"/>
    </row>
    <row r="109" spans="1:1" ht="15" hidden="1" customHeight="1" x14ac:dyDescent="0.25">
      <c r="A109" s="21"/>
    </row>
    <row r="110" spans="1:1" ht="15" hidden="1" customHeight="1" x14ac:dyDescent="0.25">
      <c r="A110" s="21"/>
    </row>
    <row r="111" spans="1:1" ht="15" hidden="1" customHeight="1" x14ac:dyDescent="0.25">
      <c r="A111" s="21"/>
    </row>
    <row r="112" spans="1:1" ht="15" hidden="1" customHeight="1" x14ac:dyDescent="0.25">
      <c r="A112" s="21"/>
    </row>
    <row r="113" spans="1:1" ht="15" hidden="1" customHeight="1" x14ac:dyDescent="0.25">
      <c r="A113" s="21"/>
    </row>
    <row r="114" spans="1:1" ht="15" hidden="1" customHeight="1" x14ac:dyDescent="0.25">
      <c r="A114" s="21"/>
    </row>
    <row r="115" spans="1:1" ht="15" hidden="1" customHeight="1" x14ac:dyDescent="0.25">
      <c r="A115" s="21"/>
    </row>
    <row r="116" spans="1:1" ht="15" hidden="1" customHeight="1" x14ac:dyDescent="0.25">
      <c r="A116" s="21"/>
    </row>
    <row r="117" spans="1:1" ht="15" hidden="1" customHeight="1" x14ac:dyDescent="0.25">
      <c r="A117" s="21"/>
    </row>
    <row r="118" spans="1:1" ht="15" hidden="1" customHeight="1" x14ac:dyDescent="0.25">
      <c r="A118" s="21"/>
    </row>
    <row r="119" spans="1:1" ht="15" hidden="1" customHeight="1" x14ac:dyDescent="0.25">
      <c r="A119" s="21"/>
    </row>
    <row r="120" spans="1:1" ht="15" hidden="1" customHeight="1" x14ac:dyDescent="0.25">
      <c r="A120" s="21"/>
    </row>
    <row r="121" spans="1:1" ht="15" hidden="1" customHeight="1" x14ac:dyDescent="0.25">
      <c r="A121" s="21"/>
    </row>
    <row r="122" spans="1:1" ht="15" hidden="1" customHeight="1" x14ac:dyDescent="0.25">
      <c r="A122" s="21"/>
    </row>
    <row r="123" spans="1:1" ht="15" hidden="1" customHeight="1" x14ac:dyDescent="0.25">
      <c r="A123" s="21"/>
    </row>
    <row r="124" spans="1:1" ht="15" hidden="1" customHeight="1" x14ac:dyDescent="0.25">
      <c r="A124" s="21"/>
    </row>
    <row r="125" spans="1:1" ht="15" hidden="1" customHeight="1" x14ac:dyDescent="0.25">
      <c r="A125" s="21"/>
    </row>
    <row r="126" spans="1:1" ht="15" hidden="1" customHeight="1" x14ac:dyDescent="0.25">
      <c r="A126" s="21"/>
    </row>
    <row r="127" spans="1:1" ht="15" hidden="1" customHeight="1" x14ac:dyDescent="0.25">
      <c r="A127" s="21"/>
    </row>
    <row r="128" spans="1:1" ht="15" hidden="1" customHeight="1" x14ac:dyDescent="0.25">
      <c r="A128" s="21"/>
    </row>
    <row r="129" spans="1:1" ht="15" hidden="1" customHeight="1" x14ac:dyDescent="0.25">
      <c r="A129" s="21"/>
    </row>
    <row r="130" spans="1:1" ht="15" hidden="1" customHeight="1" x14ac:dyDescent="0.25">
      <c r="A130" s="21"/>
    </row>
    <row r="131" spans="1:1" ht="15" hidden="1" customHeight="1" x14ac:dyDescent="0.25">
      <c r="A131" s="21"/>
    </row>
    <row r="132" spans="1:1" ht="15" hidden="1" customHeight="1" x14ac:dyDescent="0.25">
      <c r="A132" s="21"/>
    </row>
    <row r="133" spans="1:1" ht="15" hidden="1" customHeight="1" x14ac:dyDescent="0.25">
      <c r="A133" s="21"/>
    </row>
    <row r="134" spans="1:1" ht="15" hidden="1" customHeight="1" x14ac:dyDescent="0.25">
      <c r="A134" s="21"/>
    </row>
    <row r="135" spans="1:1" ht="15" hidden="1" customHeight="1" x14ac:dyDescent="0.25">
      <c r="A135" s="21"/>
    </row>
    <row r="136" spans="1:1" ht="15" hidden="1" customHeight="1" x14ac:dyDescent="0.25">
      <c r="A136" s="21"/>
    </row>
    <row r="137" spans="1:1" ht="15" hidden="1" customHeight="1" x14ac:dyDescent="0.25">
      <c r="A137" s="21"/>
    </row>
    <row r="138" spans="1:1" ht="15" hidden="1" customHeight="1" x14ac:dyDescent="0.25">
      <c r="A138" s="21"/>
    </row>
    <row r="139" spans="1:1" ht="15" hidden="1" customHeight="1" x14ac:dyDescent="0.25">
      <c r="A139" s="21"/>
    </row>
    <row r="140" spans="1:1" ht="15" hidden="1" customHeight="1" x14ac:dyDescent="0.25">
      <c r="A140" s="21"/>
    </row>
    <row r="141" spans="1:1" ht="15" hidden="1" customHeight="1" x14ac:dyDescent="0.25">
      <c r="A141" s="21"/>
    </row>
    <row r="142" spans="1:1" ht="15" hidden="1" customHeight="1" x14ac:dyDescent="0.25">
      <c r="A142" s="21"/>
    </row>
    <row r="143" spans="1:1" ht="15" hidden="1" customHeight="1" x14ac:dyDescent="0.25">
      <c r="A143" s="21"/>
    </row>
    <row r="144" spans="1:1" ht="15" hidden="1" customHeight="1" x14ac:dyDescent="0.25">
      <c r="A144" s="21"/>
    </row>
    <row r="145" spans="1:101" ht="15" hidden="1" customHeight="1" x14ac:dyDescent="0.25">
      <c r="A145" s="21"/>
    </row>
    <row r="146" spans="1:101" ht="15" hidden="1" customHeight="1" x14ac:dyDescent="0.25">
      <c r="A146" s="21"/>
    </row>
    <row r="147" spans="1:101" ht="15" hidden="1" customHeight="1" x14ac:dyDescent="0.25">
      <c r="A147" s="21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30"/>
      <c r="AQ147" s="30"/>
      <c r="AR147" s="30"/>
      <c r="AS147" s="30"/>
      <c r="AT147" s="30"/>
      <c r="AU147" s="30"/>
      <c r="AV147" s="30"/>
      <c r="AW147" s="30"/>
      <c r="AX147" s="30"/>
      <c r="AY147" s="30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1"/>
      <c r="CO147" s="1"/>
      <c r="CP147" s="1"/>
      <c r="CQ147" s="1"/>
      <c r="CR147" s="1"/>
      <c r="CS147" s="1"/>
      <c r="CT147" s="1"/>
      <c r="CU147" s="1"/>
      <c r="CV147" s="1"/>
      <c r="CW147" s="1"/>
    </row>
    <row r="148" spans="1:101" ht="15" hidden="1" customHeight="1" x14ac:dyDescent="0.25">
      <c r="A148" s="21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30"/>
      <c r="AQ148" s="30"/>
      <c r="AR148" s="30"/>
      <c r="AS148" s="30"/>
      <c r="AT148" s="30"/>
      <c r="AU148" s="30"/>
      <c r="AV148" s="30"/>
      <c r="AW148" s="30"/>
      <c r="AX148" s="30"/>
      <c r="AY148" s="30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1"/>
      <c r="CO148" s="1"/>
      <c r="CP148" s="1"/>
      <c r="CQ148" s="1"/>
      <c r="CR148" s="1"/>
      <c r="CS148" s="1"/>
      <c r="CT148" s="1"/>
      <c r="CU148" s="1"/>
      <c r="CV148" s="1"/>
      <c r="CW148" s="1"/>
    </row>
    <row r="149" spans="1:101" ht="15" hidden="1" customHeight="1" x14ac:dyDescent="0.25">
      <c r="A149" s="21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1"/>
      <c r="CO149" s="1"/>
      <c r="CP149" s="1"/>
      <c r="CQ149" s="1"/>
      <c r="CR149" s="1"/>
      <c r="CS149" s="1"/>
      <c r="CT149" s="1"/>
      <c r="CU149" s="1"/>
      <c r="CV149" s="1"/>
      <c r="CW149" s="1"/>
    </row>
    <row r="150" spans="1:101" ht="15" hidden="1" customHeight="1" x14ac:dyDescent="0.25"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30"/>
      <c r="AQ150" s="30"/>
      <c r="AR150" s="30"/>
      <c r="AS150" s="30"/>
      <c r="AT150" s="30"/>
      <c r="AU150" s="30"/>
      <c r="AV150" s="30"/>
      <c r="AW150" s="30"/>
      <c r="AX150" s="30"/>
      <c r="AY150" s="30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1"/>
      <c r="CO150" s="1"/>
      <c r="CP150" s="1"/>
      <c r="CQ150" s="1"/>
      <c r="CR150" s="1"/>
      <c r="CS150" s="1"/>
      <c r="CT150" s="1"/>
      <c r="CU150" s="1"/>
      <c r="CV150" s="1"/>
      <c r="CW150" s="1"/>
    </row>
    <row r="151" spans="1:101" ht="15" hidden="1" customHeight="1" x14ac:dyDescent="0.25"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30"/>
      <c r="AQ151" s="30"/>
      <c r="AR151" s="30"/>
      <c r="AS151" s="30"/>
      <c r="AT151" s="30"/>
      <c r="AU151" s="30"/>
      <c r="AV151" s="30"/>
      <c r="AW151" s="30"/>
      <c r="AX151" s="30"/>
      <c r="AY151" s="30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1"/>
      <c r="CO151" s="1"/>
      <c r="CP151" s="1"/>
      <c r="CQ151" s="1"/>
      <c r="CR151" s="1"/>
      <c r="CS151" s="1"/>
      <c r="CT151" s="1"/>
      <c r="CU151" s="1"/>
      <c r="CV151" s="1"/>
      <c r="CW151" s="1"/>
    </row>
    <row r="152" spans="1:101" ht="15" hidden="1" customHeight="1" x14ac:dyDescent="0.25"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30"/>
      <c r="AQ152" s="30"/>
      <c r="AR152" s="30"/>
      <c r="AS152" s="30"/>
      <c r="AT152" s="30"/>
      <c r="AU152" s="30"/>
      <c r="AV152" s="30"/>
      <c r="AW152" s="30"/>
      <c r="AX152" s="30"/>
      <c r="AY152" s="30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1"/>
      <c r="CO152" s="1"/>
      <c r="CP152" s="1"/>
      <c r="CQ152" s="1"/>
      <c r="CR152" s="1"/>
      <c r="CS152" s="1"/>
      <c r="CT152" s="1"/>
      <c r="CU152" s="1"/>
      <c r="CV152" s="1"/>
      <c r="CW152" s="1"/>
    </row>
    <row r="153" spans="1:101" ht="15" hidden="1" customHeight="1" x14ac:dyDescent="0.25"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30"/>
      <c r="AQ153" s="30"/>
      <c r="AR153" s="30"/>
      <c r="AS153" s="30"/>
      <c r="AT153" s="30"/>
      <c r="AU153" s="30"/>
      <c r="AV153" s="30"/>
      <c r="AW153" s="30"/>
      <c r="AX153" s="30"/>
      <c r="AY153" s="30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1"/>
      <c r="CO153" s="1"/>
      <c r="CP153" s="1"/>
      <c r="CQ153" s="1"/>
      <c r="CR153" s="1"/>
      <c r="CS153" s="1"/>
      <c r="CT153" s="1"/>
      <c r="CU153" s="1"/>
      <c r="CV153" s="1"/>
      <c r="CW153" s="1"/>
    </row>
    <row r="154" spans="1:101" ht="15" hidden="1" customHeight="1" x14ac:dyDescent="0.25"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30"/>
      <c r="AQ154" s="30"/>
      <c r="AR154" s="30"/>
      <c r="AS154" s="30"/>
      <c r="AT154" s="30"/>
      <c r="AU154" s="30"/>
      <c r="AV154" s="30"/>
      <c r="AW154" s="30"/>
      <c r="AX154" s="30"/>
      <c r="AY154" s="30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1"/>
      <c r="CO154" s="1"/>
      <c r="CP154" s="1"/>
      <c r="CQ154" s="1"/>
      <c r="CR154" s="1"/>
      <c r="CS154" s="1"/>
      <c r="CT154" s="1"/>
      <c r="CU154" s="1"/>
      <c r="CV154" s="1"/>
      <c r="CW154" s="1"/>
    </row>
    <row r="155" spans="1:101" ht="15" hidden="1" customHeight="1" x14ac:dyDescent="0.25"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30"/>
      <c r="AQ155" s="30"/>
      <c r="AR155" s="30"/>
      <c r="AS155" s="30"/>
      <c r="AT155" s="30"/>
      <c r="AU155" s="30"/>
      <c r="AV155" s="30"/>
      <c r="AW155" s="30"/>
      <c r="AX155" s="30"/>
      <c r="AY155" s="30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1"/>
      <c r="CO155" s="1"/>
      <c r="CP155" s="1"/>
      <c r="CQ155" s="1"/>
      <c r="CR155" s="1"/>
      <c r="CS155" s="1"/>
      <c r="CT155" s="1"/>
      <c r="CU155" s="1"/>
      <c r="CV155" s="1"/>
      <c r="CW155" s="1"/>
    </row>
    <row r="156" spans="1:101" ht="15" hidden="1" customHeight="1" x14ac:dyDescent="0.25"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30"/>
      <c r="AQ156" s="30"/>
      <c r="AR156" s="30"/>
      <c r="AS156" s="30"/>
      <c r="AT156" s="30"/>
      <c r="AU156" s="30"/>
      <c r="AV156" s="30"/>
      <c r="AW156" s="30"/>
      <c r="AX156" s="30"/>
      <c r="AY156" s="30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1"/>
      <c r="CO156" s="1"/>
      <c r="CP156" s="1"/>
      <c r="CQ156" s="1"/>
      <c r="CR156" s="1"/>
      <c r="CS156" s="1"/>
      <c r="CT156" s="1"/>
      <c r="CU156" s="1"/>
      <c r="CV156" s="1"/>
      <c r="CW156" s="1"/>
    </row>
    <row r="157" spans="1:101" ht="15" hidden="1" customHeight="1" x14ac:dyDescent="0.25"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30"/>
      <c r="AQ157" s="30"/>
      <c r="AR157" s="30"/>
      <c r="AS157" s="30"/>
      <c r="AT157" s="30"/>
      <c r="AU157" s="30"/>
      <c r="AV157" s="30"/>
      <c r="AW157" s="30"/>
      <c r="AX157" s="30"/>
      <c r="AY157" s="30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1"/>
      <c r="CO157" s="1"/>
      <c r="CP157" s="1"/>
      <c r="CQ157" s="1"/>
      <c r="CR157" s="1"/>
      <c r="CS157" s="1"/>
      <c r="CT157" s="1"/>
      <c r="CU157" s="1"/>
      <c r="CV157" s="1"/>
      <c r="CW157" s="1"/>
    </row>
    <row r="158" spans="1:101" ht="15" hidden="1" customHeight="1" x14ac:dyDescent="0.25"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30"/>
      <c r="AQ158" s="30"/>
      <c r="AR158" s="30"/>
      <c r="AS158" s="30"/>
      <c r="AT158" s="30"/>
      <c r="AU158" s="30"/>
      <c r="AV158" s="30"/>
      <c r="AW158" s="30"/>
      <c r="AX158" s="30"/>
      <c r="AY158" s="30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1"/>
      <c r="CO158" s="1"/>
      <c r="CP158" s="1"/>
      <c r="CQ158" s="1"/>
      <c r="CR158" s="1"/>
      <c r="CS158" s="1"/>
      <c r="CT158" s="1"/>
      <c r="CU158" s="1"/>
      <c r="CV158" s="1"/>
      <c r="CW158" s="1"/>
    </row>
    <row r="159" spans="1:101" ht="15" hidden="1" customHeight="1" x14ac:dyDescent="0.25"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30"/>
      <c r="AQ159" s="30"/>
      <c r="AR159" s="30"/>
      <c r="AS159" s="30"/>
      <c r="AT159" s="30"/>
      <c r="AU159" s="30"/>
      <c r="AV159" s="30"/>
      <c r="AW159" s="30"/>
      <c r="AX159" s="30"/>
      <c r="AY159" s="30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1"/>
      <c r="CO159" s="1"/>
      <c r="CP159" s="1"/>
      <c r="CQ159" s="1"/>
      <c r="CR159" s="1"/>
      <c r="CS159" s="1"/>
      <c r="CT159" s="1"/>
      <c r="CU159" s="1"/>
      <c r="CV159" s="1"/>
      <c r="CW159" s="1"/>
    </row>
    <row r="160" spans="1:101" ht="15" hidden="1" customHeight="1" x14ac:dyDescent="0.25"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30"/>
      <c r="AQ160" s="30"/>
      <c r="AR160" s="30"/>
      <c r="AS160" s="30"/>
      <c r="AT160" s="30"/>
      <c r="AU160" s="30"/>
      <c r="AV160" s="30"/>
      <c r="AW160" s="30"/>
      <c r="AX160" s="30"/>
      <c r="AY160" s="30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1"/>
      <c r="CO160" s="1"/>
      <c r="CP160" s="1"/>
      <c r="CQ160" s="1"/>
      <c r="CR160" s="1"/>
      <c r="CS160" s="1"/>
      <c r="CT160" s="1"/>
      <c r="CU160" s="1"/>
      <c r="CV160" s="1"/>
      <c r="CW160" s="1"/>
    </row>
    <row r="161" spans="2:101" ht="15" hidden="1" customHeight="1" x14ac:dyDescent="0.25"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30"/>
      <c r="AQ161" s="30"/>
      <c r="AR161" s="30"/>
      <c r="AS161" s="30"/>
      <c r="AT161" s="30"/>
      <c r="AU161" s="30"/>
      <c r="AV161" s="30"/>
      <c r="AW161" s="30"/>
      <c r="AX161" s="30"/>
      <c r="AY161" s="30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30"/>
      <c r="BK161" s="30"/>
      <c r="BL161" s="30"/>
      <c r="BM161" s="30"/>
      <c r="BN161" s="30"/>
      <c r="BO161" s="30"/>
      <c r="BP161" s="30"/>
      <c r="BQ161" s="30"/>
      <c r="BR161" s="30"/>
      <c r="BS161" s="30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1"/>
      <c r="CO161" s="1"/>
      <c r="CP161" s="1"/>
      <c r="CQ161" s="1"/>
      <c r="CR161" s="1"/>
      <c r="CS161" s="1"/>
      <c r="CT161" s="1"/>
      <c r="CU161" s="1"/>
      <c r="CV161" s="1"/>
      <c r="CW161" s="1"/>
    </row>
    <row r="162" spans="2:101" ht="15" hidden="1" customHeight="1" x14ac:dyDescent="0.25"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30"/>
      <c r="AQ162" s="30"/>
      <c r="AR162" s="30"/>
      <c r="AS162" s="30"/>
      <c r="AT162" s="30"/>
      <c r="AU162" s="30"/>
      <c r="AV162" s="30"/>
      <c r="AW162" s="30"/>
      <c r="AX162" s="30"/>
      <c r="AY162" s="30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30"/>
      <c r="BK162" s="30"/>
      <c r="BL162" s="30"/>
      <c r="BM162" s="30"/>
      <c r="BN162" s="30"/>
      <c r="BO162" s="30"/>
      <c r="BP162" s="30"/>
      <c r="BQ162" s="30"/>
      <c r="BR162" s="30"/>
      <c r="BS162" s="30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1"/>
      <c r="CO162" s="1"/>
      <c r="CP162" s="1"/>
      <c r="CQ162" s="1"/>
      <c r="CR162" s="1"/>
      <c r="CS162" s="1"/>
      <c r="CT162" s="1"/>
      <c r="CU162" s="1"/>
      <c r="CV162" s="1"/>
      <c r="CW162" s="1"/>
    </row>
    <row r="163" spans="2:101" ht="15" hidden="1" customHeight="1" x14ac:dyDescent="0.25"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30"/>
      <c r="AQ163" s="30"/>
      <c r="AR163" s="30"/>
      <c r="AS163" s="30"/>
      <c r="AT163" s="30"/>
      <c r="AU163" s="30"/>
      <c r="AV163" s="30"/>
      <c r="AW163" s="30"/>
      <c r="AX163" s="30"/>
      <c r="AY163" s="30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30"/>
      <c r="BK163" s="30"/>
      <c r="BL163" s="30"/>
      <c r="BM163" s="30"/>
      <c r="BN163" s="30"/>
      <c r="BO163" s="30"/>
      <c r="BP163" s="30"/>
      <c r="BQ163" s="30"/>
      <c r="BR163" s="30"/>
      <c r="BS163" s="30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30"/>
      <c r="CE163" s="30"/>
      <c r="CF163" s="30"/>
      <c r="CG163" s="30"/>
      <c r="CH163" s="30"/>
      <c r="CI163" s="30"/>
      <c r="CJ163" s="30"/>
      <c r="CK163" s="30"/>
      <c r="CL163" s="30"/>
      <c r="CM163" s="30"/>
      <c r="CN163" s="1"/>
      <c r="CO163" s="1"/>
      <c r="CP163" s="1"/>
      <c r="CQ163" s="1"/>
      <c r="CR163" s="1"/>
      <c r="CS163" s="1"/>
      <c r="CT163" s="1"/>
      <c r="CU163" s="1"/>
      <c r="CV163" s="1"/>
      <c r="CW163" s="1"/>
    </row>
    <row r="164" spans="2:101" ht="15" hidden="1" customHeight="1" x14ac:dyDescent="0.25"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30"/>
      <c r="AQ164" s="30"/>
      <c r="AR164" s="30"/>
      <c r="AS164" s="30"/>
      <c r="AT164" s="30"/>
      <c r="AU164" s="30"/>
      <c r="AV164" s="30"/>
      <c r="AW164" s="30"/>
      <c r="AX164" s="30"/>
      <c r="AY164" s="30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30"/>
      <c r="BK164" s="30"/>
      <c r="BL164" s="30"/>
      <c r="BM164" s="30"/>
      <c r="BN164" s="30"/>
      <c r="BO164" s="30"/>
      <c r="BP164" s="30"/>
      <c r="BQ164" s="30"/>
      <c r="BR164" s="30"/>
      <c r="BS164" s="30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1"/>
      <c r="CO164" s="1"/>
      <c r="CP164" s="1"/>
      <c r="CQ164" s="1"/>
      <c r="CR164" s="1"/>
      <c r="CS164" s="1"/>
      <c r="CT164" s="1"/>
      <c r="CU164" s="1"/>
      <c r="CV164" s="1"/>
      <c r="CW164" s="1"/>
    </row>
    <row r="165" spans="2:101" ht="15" hidden="1" customHeight="1" x14ac:dyDescent="0.25"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30"/>
      <c r="AQ165" s="30"/>
      <c r="AR165" s="30"/>
      <c r="AS165" s="30"/>
      <c r="AT165" s="30"/>
      <c r="AU165" s="30"/>
      <c r="AV165" s="30"/>
      <c r="AW165" s="30"/>
      <c r="AX165" s="30"/>
      <c r="AY165" s="30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30"/>
      <c r="BK165" s="30"/>
      <c r="BL165" s="30"/>
      <c r="BM165" s="30"/>
      <c r="BN165" s="30"/>
      <c r="BO165" s="30"/>
      <c r="BP165" s="30"/>
      <c r="BQ165" s="30"/>
      <c r="BR165" s="30"/>
      <c r="BS165" s="30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30"/>
      <c r="CE165" s="30"/>
      <c r="CF165" s="30"/>
      <c r="CG165" s="30"/>
      <c r="CH165" s="30"/>
      <c r="CI165" s="30"/>
      <c r="CJ165" s="30"/>
      <c r="CK165" s="30"/>
      <c r="CL165" s="30"/>
      <c r="CM165" s="30"/>
      <c r="CN165" s="1"/>
      <c r="CO165" s="1"/>
      <c r="CP165" s="1"/>
      <c r="CQ165" s="1"/>
      <c r="CR165" s="1"/>
      <c r="CS165" s="1"/>
      <c r="CT165" s="1"/>
      <c r="CU165" s="1"/>
      <c r="CV165" s="1"/>
      <c r="CW165" s="1"/>
    </row>
    <row r="166" spans="2:101" ht="15" hidden="1" customHeight="1" x14ac:dyDescent="0.25"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30"/>
      <c r="AQ166" s="30"/>
      <c r="AR166" s="30"/>
      <c r="AS166" s="30"/>
      <c r="AT166" s="30"/>
      <c r="AU166" s="30"/>
      <c r="AV166" s="30"/>
      <c r="AW166" s="30"/>
      <c r="AX166" s="30"/>
      <c r="AY166" s="30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1"/>
      <c r="CO166" s="1"/>
      <c r="CP166" s="1"/>
      <c r="CQ166" s="1"/>
      <c r="CR166" s="1"/>
      <c r="CS166" s="1"/>
      <c r="CT166" s="1"/>
      <c r="CU166" s="1"/>
      <c r="CV166" s="1"/>
      <c r="CW166" s="1"/>
    </row>
    <row r="167" spans="2:101" ht="15" hidden="1" customHeight="1" x14ac:dyDescent="0.25"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30"/>
      <c r="AQ167" s="30"/>
      <c r="AR167" s="30"/>
      <c r="AS167" s="30"/>
      <c r="AT167" s="30"/>
      <c r="AU167" s="30"/>
      <c r="AV167" s="30"/>
      <c r="AW167" s="30"/>
      <c r="AX167" s="30"/>
      <c r="AY167" s="30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1"/>
      <c r="CO167" s="1"/>
      <c r="CP167" s="1"/>
      <c r="CQ167" s="1"/>
      <c r="CR167" s="1"/>
      <c r="CS167" s="1"/>
      <c r="CT167" s="1"/>
      <c r="CU167" s="1"/>
      <c r="CV167" s="1"/>
      <c r="CW167" s="1"/>
    </row>
    <row r="168" spans="2:101" ht="15" hidden="1" customHeight="1" x14ac:dyDescent="0.25"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30"/>
      <c r="AQ168" s="30"/>
      <c r="AR168" s="30"/>
      <c r="AS168" s="30"/>
      <c r="AT168" s="30"/>
      <c r="AU168" s="30"/>
      <c r="AV168" s="30"/>
      <c r="AW168" s="30"/>
      <c r="AX168" s="30"/>
      <c r="AY168" s="30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1"/>
      <c r="CO168" s="1"/>
      <c r="CP168" s="1"/>
      <c r="CQ168" s="1"/>
      <c r="CR168" s="1"/>
      <c r="CS168" s="1"/>
      <c r="CT168" s="1"/>
      <c r="CU168" s="1"/>
      <c r="CV168" s="1"/>
      <c r="CW168" s="1"/>
    </row>
    <row r="169" spans="2:101" ht="15" hidden="1" customHeight="1" x14ac:dyDescent="0.25"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30"/>
      <c r="AQ169" s="30"/>
      <c r="AR169" s="30"/>
      <c r="AS169" s="30"/>
      <c r="AT169" s="30"/>
      <c r="AU169" s="30"/>
      <c r="AV169" s="30"/>
      <c r="AW169" s="30"/>
      <c r="AX169" s="30"/>
      <c r="AY169" s="30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1"/>
      <c r="CO169" s="1"/>
      <c r="CP169" s="1"/>
      <c r="CQ169" s="1"/>
      <c r="CR169" s="1"/>
      <c r="CS169" s="1"/>
      <c r="CT169" s="1"/>
      <c r="CU169" s="1"/>
      <c r="CV169" s="1"/>
      <c r="CW169" s="1"/>
    </row>
    <row r="170" spans="2:101" ht="15" hidden="1" customHeight="1" x14ac:dyDescent="0.25"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30"/>
      <c r="AQ170" s="30"/>
      <c r="AR170" s="30"/>
      <c r="AS170" s="30"/>
      <c r="AT170" s="30"/>
      <c r="AU170" s="30"/>
      <c r="AV170" s="30"/>
      <c r="AW170" s="30"/>
      <c r="AX170" s="30"/>
      <c r="AY170" s="30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1"/>
      <c r="CO170" s="1"/>
      <c r="CP170" s="1"/>
      <c r="CQ170" s="1"/>
      <c r="CR170" s="1"/>
      <c r="CS170" s="1"/>
      <c r="CT170" s="1"/>
      <c r="CU170" s="1"/>
      <c r="CV170" s="1"/>
      <c r="CW170" s="1"/>
    </row>
    <row r="171" spans="2:101" ht="15" hidden="1" customHeight="1" x14ac:dyDescent="0.25"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30"/>
      <c r="AQ171" s="30"/>
      <c r="AR171" s="30"/>
      <c r="AS171" s="30"/>
      <c r="AT171" s="30"/>
      <c r="AU171" s="30"/>
      <c r="AV171" s="30"/>
      <c r="AW171" s="30"/>
      <c r="AX171" s="30"/>
      <c r="AY171" s="30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1"/>
      <c r="CO171" s="1"/>
      <c r="CP171" s="1"/>
      <c r="CQ171" s="1"/>
      <c r="CR171" s="1"/>
      <c r="CS171" s="1"/>
      <c r="CT171" s="1"/>
      <c r="CU171" s="1"/>
      <c r="CV171" s="1"/>
      <c r="CW171" s="1"/>
    </row>
    <row r="172" spans="2:101" ht="15" hidden="1" customHeight="1" x14ac:dyDescent="0.25"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30"/>
      <c r="AQ172" s="30"/>
      <c r="AR172" s="30"/>
      <c r="AS172" s="30"/>
      <c r="AT172" s="30"/>
      <c r="AU172" s="30"/>
      <c r="AV172" s="30"/>
      <c r="AW172" s="30"/>
      <c r="AX172" s="30"/>
      <c r="AY172" s="30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1"/>
      <c r="CO172" s="1"/>
      <c r="CP172" s="1"/>
      <c r="CQ172" s="1"/>
      <c r="CR172" s="1"/>
      <c r="CS172" s="1"/>
      <c r="CT172" s="1"/>
      <c r="CU172" s="1"/>
      <c r="CV172" s="1"/>
      <c r="CW172" s="1"/>
    </row>
    <row r="173" spans="2:101" ht="15" hidden="1" customHeight="1" x14ac:dyDescent="0.25"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30"/>
      <c r="AQ173" s="30"/>
      <c r="AR173" s="30"/>
      <c r="AS173" s="30"/>
      <c r="AT173" s="30"/>
      <c r="AU173" s="30"/>
      <c r="AV173" s="30"/>
      <c r="AW173" s="30"/>
      <c r="AX173" s="30"/>
      <c r="AY173" s="30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1"/>
      <c r="CO173" s="1"/>
      <c r="CP173" s="1"/>
      <c r="CQ173" s="1"/>
      <c r="CR173" s="1"/>
      <c r="CS173" s="1"/>
      <c r="CT173" s="1"/>
      <c r="CU173" s="1"/>
      <c r="CV173" s="1"/>
      <c r="CW173" s="1"/>
    </row>
    <row r="174" spans="2:101" ht="15" hidden="1" customHeight="1" x14ac:dyDescent="0.25"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30"/>
      <c r="AQ174" s="30"/>
      <c r="AR174" s="30"/>
      <c r="AS174" s="30"/>
      <c r="AT174" s="30"/>
      <c r="AU174" s="30"/>
      <c r="AV174" s="30"/>
      <c r="AW174" s="30"/>
      <c r="AX174" s="30"/>
      <c r="AY174" s="30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1"/>
      <c r="CO174" s="1"/>
      <c r="CP174" s="1"/>
      <c r="CQ174" s="1"/>
      <c r="CR174" s="1"/>
      <c r="CS174" s="1"/>
      <c r="CT174" s="1"/>
      <c r="CU174" s="1"/>
      <c r="CV174" s="1"/>
      <c r="CW174" s="1"/>
    </row>
    <row r="175" spans="2:101" ht="15" hidden="1" customHeight="1" x14ac:dyDescent="0.25"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30"/>
      <c r="AQ175" s="30"/>
      <c r="AR175" s="30"/>
      <c r="AS175" s="30"/>
      <c r="AT175" s="30"/>
      <c r="AU175" s="30"/>
      <c r="AV175" s="30"/>
      <c r="AW175" s="30"/>
      <c r="AX175" s="30"/>
      <c r="AY175" s="30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1"/>
      <c r="CO175" s="1"/>
      <c r="CP175" s="1"/>
      <c r="CQ175" s="1"/>
      <c r="CR175" s="1"/>
      <c r="CS175" s="1"/>
      <c r="CT175" s="1"/>
      <c r="CU175" s="1"/>
      <c r="CV175" s="1"/>
      <c r="CW175" s="1"/>
    </row>
    <row r="176" spans="2:101" ht="15" hidden="1" customHeight="1" x14ac:dyDescent="0.25"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30"/>
      <c r="AQ176" s="30"/>
      <c r="AR176" s="30"/>
      <c r="AS176" s="30"/>
      <c r="AT176" s="30"/>
      <c r="AU176" s="30"/>
      <c r="AV176" s="30"/>
      <c r="AW176" s="30"/>
      <c r="AX176" s="30"/>
      <c r="AY176" s="30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1"/>
      <c r="CO176" s="1"/>
      <c r="CP176" s="1"/>
      <c r="CQ176" s="1"/>
      <c r="CR176" s="1"/>
      <c r="CS176" s="1"/>
      <c r="CT176" s="1"/>
      <c r="CU176" s="1"/>
      <c r="CV176" s="1"/>
      <c r="CW176" s="1"/>
    </row>
    <row r="177" spans="2:101" ht="15" hidden="1" customHeight="1" x14ac:dyDescent="0.25"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1"/>
      <c r="CO177" s="1"/>
      <c r="CP177" s="1"/>
      <c r="CQ177" s="1"/>
      <c r="CR177" s="1"/>
      <c r="CS177" s="1"/>
      <c r="CT177" s="1"/>
      <c r="CU177" s="1"/>
      <c r="CV177" s="1"/>
      <c r="CW177" s="1"/>
    </row>
    <row r="178" spans="2:101" ht="15" hidden="1" customHeight="1" x14ac:dyDescent="0.25"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30"/>
      <c r="AQ178" s="30"/>
      <c r="AR178" s="30"/>
      <c r="AS178" s="30"/>
      <c r="AT178" s="30"/>
      <c r="AU178" s="30"/>
      <c r="AV178" s="30"/>
      <c r="AW178" s="30"/>
      <c r="AX178" s="30"/>
      <c r="AY178" s="30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1"/>
      <c r="CO178" s="1"/>
      <c r="CP178" s="1"/>
      <c r="CQ178" s="1"/>
      <c r="CR178" s="1"/>
      <c r="CS178" s="1"/>
      <c r="CT178" s="1"/>
      <c r="CU178" s="1"/>
      <c r="CV178" s="1"/>
      <c r="CW178" s="1"/>
    </row>
    <row r="179" spans="2:101" ht="15" hidden="1" customHeight="1" x14ac:dyDescent="0.25"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30"/>
      <c r="AQ179" s="30"/>
      <c r="AR179" s="30"/>
      <c r="AS179" s="30"/>
      <c r="AT179" s="30"/>
      <c r="AU179" s="30"/>
      <c r="AV179" s="30"/>
      <c r="AW179" s="30"/>
      <c r="AX179" s="30"/>
      <c r="AY179" s="30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1"/>
      <c r="CO179" s="1"/>
      <c r="CP179" s="1"/>
      <c r="CQ179" s="1"/>
      <c r="CR179" s="1"/>
      <c r="CS179" s="1"/>
      <c r="CT179" s="1"/>
      <c r="CU179" s="1"/>
      <c r="CV179" s="1"/>
      <c r="CW179" s="1"/>
    </row>
    <row r="180" spans="2:101" ht="15" hidden="1" customHeight="1" x14ac:dyDescent="0.25"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30"/>
      <c r="AQ180" s="30"/>
      <c r="AR180" s="30"/>
      <c r="AS180" s="30"/>
      <c r="AT180" s="30"/>
      <c r="AU180" s="30"/>
      <c r="AV180" s="30"/>
      <c r="AW180" s="30"/>
      <c r="AX180" s="30"/>
      <c r="AY180" s="30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30"/>
      <c r="BK180" s="30"/>
      <c r="BL180" s="30"/>
      <c r="BM180" s="30"/>
      <c r="BN180" s="30"/>
      <c r="BO180" s="30"/>
      <c r="BP180" s="30"/>
      <c r="BQ180" s="30"/>
      <c r="BR180" s="30"/>
      <c r="BS180" s="30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1"/>
      <c r="CO180" s="1"/>
      <c r="CP180" s="1"/>
      <c r="CQ180" s="1"/>
      <c r="CR180" s="1"/>
      <c r="CS180" s="1"/>
      <c r="CT180" s="1"/>
      <c r="CU180" s="1"/>
      <c r="CV180" s="1"/>
      <c r="CW180" s="1"/>
    </row>
    <row r="181" spans="2:101" ht="15" hidden="1" customHeight="1" x14ac:dyDescent="0.25"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30"/>
      <c r="AQ181" s="30"/>
      <c r="AR181" s="30"/>
      <c r="AS181" s="30"/>
      <c r="AT181" s="30"/>
      <c r="AU181" s="30"/>
      <c r="AV181" s="30"/>
      <c r="AW181" s="30"/>
      <c r="AX181" s="30"/>
      <c r="AY181" s="30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30"/>
      <c r="BK181" s="30"/>
      <c r="BL181" s="30"/>
      <c r="BM181" s="30"/>
      <c r="BN181" s="30"/>
      <c r="BO181" s="30"/>
      <c r="BP181" s="30"/>
      <c r="BQ181" s="30"/>
      <c r="BR181" s="30"/>
      <c r="BS181" s="30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1"/>
      <c r="CO181" s="1"/>
      <c r="CP181" s="1"/>
      <c r="CQ181" s="1"/>
      <c r="CR181" s="1"/>
      <c r="CS181" s="1"/>
      <c r="CT181" s="1"/>
      <c r="CU181" s="1"/>
      <c r="CV181" s="1"/>
      <c r="CW181" s="1"/>
    </row>
    <row r="182" spans="2:101" ht="15" hidden="1" customHeight="1" x14ac:dyDescent="0.25"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30"/>
      <c r="AQ182" s="30"/>
      <c r="AR182" s="30"/>
      <c r="AS182" s="30"/>
      <c r="AT182" s="30"/>
      <c r="AU182" s="30"/>
      <c r="AV182" s="30"/>
      <c r="AW182" s="30"/>
      <c r="AX182" s="30"/>
      <c r="AY182" s="30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1"/>
      <c r="CO182" s="1"/>
      <c r="CP182" s="1"/>
      <c r="CQ182" s="1"/>
      <c r="CR182" s="1"/>
      <c r="CS182" s="1"/>
      <c r="CT182" s="1"/>
      <c r="CU182" s="1"/>
      <c r="CV182" s="1"/>
      <c r="CW182" s="1"/>
    </row>
    <row r="183" spans="2:101" ht="15" hidden="1" customHeight="1" x14ac:dyDescent="0.25"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30"/>
      <c r="AQ183" s="30"/>
      <c r="AR183" s="30"/>
      <c r="AS183" s="30"/>
      <c r="AT183" s="30"/>
      <c r="AU183" s="30"/>
      <c r="AV183" s="30"/>
      <c r="AW183" s="30"/>
      <c r="AX183" s="30"/>
      <c r="AY183" s="30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1"/>
      <c r="CO183" s="1"/>
      <c r="CP183" s="1"/>
      <c r="CQ183" s="1"/>
      <c r="CR183" s="1"/>
      <c r="CS183" s="1"/>
      <c r="CT183" s="1"/>
      <c r="CU183" s="1"/>
      <c r="CV183" s="1"/>
      <c r="CW183" s="1"/>
    </row>
    <row r="184" spans="2:101" ht="15" hidden="1" customHeight="1" x14ac:dyDescent="0.25"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30"/>
      <c r="AQ184" s="30"/>
      <c r="AR184" s="30"/>
      <c r="AS184" s="30"/>
      <c r="AT184" s="30"/>
      <c r="AU184" s="30"/>
      <c r="AV184" s="30"/>
      <c r="AW184" s="30"/>
      <c r="AX184" s="30"/>
      <c r="AY184" s="30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1"/>
      <c r="CO184" s="1"/>
      <c r="CP184" s="1"/>
      <c r="CQ184" s="1"/>
      <c r="CR184" s="1"/>
      <c r="CS184" s="1"/>
      <c r="CT184" s="1"/>
      <c r="CU184" s="1"/>
      <c r="CV184" s="1"/>
      <c r="CW184" s="1"/>
    </row>
    <row r="185" spans="2:101" ht="15" hidden="1" customHeight="1" x14ac:dyDescent="0.25"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30"/>
      <c r="AQ185" s="30"/>
      <c r="AR185" s="30"/>
      <c r="AS185" s="30"/>
      <c r="AT185" s="30"/>
      <c r="AU185" s="30"/>
      <c r="AV185" s="30"/>
      <c r="AW185" s="30"/>
      <c r="AX185" s="30"/>
      <c r="AY185" s="30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30"/>
      <c r="BK185" s="30"/>
      <c r="BL185" s="30"/>
      <c r="BM185" s="30"/>
      <c r="BN185" s="30"/>
      <c r="BO185" s="30"/>
      <c r="BP185" s="30"/>
      <c r="BQ185" s="30"/>
      <c r="BR185" s="30"/>
      <c r="BS185" s="30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1"/>
      <c r="CO185" s="1"/>
      <c r="CP185" s="1"/>
      <c r="CQ185" s="1"/>
      <c r="CR185" s="1"/>
      <c r="CS185" s="1"/>
      <c r="CT185" s="1"/>
      <c r="CU185" s="1"/>
      <c r="CV185" s="1"/>
      <c r="CW185" s="1"/>
    </row>
    <row r="186" spans="2:101" ht="15" hidden="1" customHeight="1" x14ac:dyDescent="0.25"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30"/>
      <c r="AQ186" s="30"/>
      <c r="AR186" s="30"/>
      <c r="AS186" s="30"/>
      <c r="AT186" s="30"/>
      <c r="AU186" s="30"/>
      <c r="AV186" s="30"/>
      <c r="AW186" s="30"/>
      <c r="AX186" s="30"/>
      <c r="AY186" s="30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30"/>
      <c r="BK186" s="30"/>
      <c r="BL186" s="30"/>
      <c r="BM186" s="30"/>
      <c r="BN186" s="30"/>
      <c r="BO186" s="30"/>
      <c r="BP186" s="30"/>
      <c r="BQ186" s="30"/>
      <c r="BR186" s="30"/>
      <c r="BS186" s="30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1"/>
      <c r="CO186" s="1"/>
      <c r="CP186" s="1"/>
      <c r="CQ186" s="1"/>
      <c r="CR186" s="1"/>
      <c r="CS186" s="1"/>
      <c r="CT186" s="1"/>
      <c r="CU186" s="1"/>
      <c r="CV186" s="1"/>
      <c r="CW186" s="1"/>
    </row>
    <row r="187" spans="2:101" ht="15" hidden="1" customHeight="1" x14ac:dyDescent="0.25"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30"/>
      <c r="AQ187" s="30"/>
      <c r="AR187" s="30"/>
      <c r="AS187" s="30"/>
      <c r="AT187" s="30"/>
      <c r="AU187" s="30"/>
      <c r="AV187" s="30"/>
      <c r="AW187" s="30"/>
      <c r="AX187" s="30"/>
      <c r="AY187" s="30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1"/>
      <c r="CO187" s="1"/>
      <c r="CP187" s="1"/>
      <c r="CQ187" s="1"/>
      <c r="CR187" s="1"/>
      <c r="CS187" s="1"/>
      <c r="CT187" s="1"/>
      <c r="CU187" s="1"/>
      <c r="CV187" s="1"/>
      <c r="CW187" s="1"/>
    </row>
    <row r="188" spans="2:101" ht="15" hidden="1" customHeight="1" x14ac:dyDescent="0.25"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30"/>
      <c r="AQ188" s="30"/>
      <c r="AR188" s="30"/>
      <c r="AS188" s="30"/>
      <c r="AT188" s="30"/>
      <c r="AU188" s="30"/>
      <c r="AV188" s="30"/>
      <c r="AW188" s="30"/>
      <c r="AX188" s="30"/>
      <c r="AY188" s="30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1"/>
      <c r="CO188" s="1"/>
      <c r="CP188" s="1"/>
      <c r="CQ188" s="1"/>
      <c r="CR188" s="1"/>
      <c r="CS188" s="1"/>
      <c r="CT188" s="1"/>
      <c r="CU188" s="1"/>
      <c r="CV188" s="1"/>
      <c r="CW188" s="1"/>
    </row>
    <row r="189" spans="2:101" ht="15" hidden="1" customHeight="1" x14ac:dyDescent="0.25"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30"/>
      <c r="AQ189" s="30"/>
      <c r="AR189" s="30"/>
      <c r="AS189" s="30"/>
      <c r="AT189" s="30"/>
      <c r="AU189" s="30"/>
      <c r="AV189" s="30"/>
      <c r="AW189" s="30"/>
      <c r="AX189" s="30"/>
      <c r="AY189" s="30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1"/>
      <c r="CO189" s="1"/>
      <c r="CP189" s="1"/>
      <c r="CQ189" s="1"/>
      <c r="CR189" s="1"/>
      <c r="CS189" s="1"/>
      <c r="CT189" s="1"/>
      <c r="CU189" s="1"/>
      <c r="CV189" s="1"/>
      <c r="CW189" s="1"/>
    </row>
    <row r="190" spans="2:101" ht="15" hidden="1" customHeight="1" x14ac:dyDescent="0.25"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30"/>
      <c r="AQ190" s="30"/>
      <c r="AR190" s="30"/>
      <c r="AS190" s="30"/>
      <c r="AT190" s="30"/>
      <c r="AU190" s="30"/>
      <c r="AV190" s="30"/>
      <c r="AW190" s="30"/>
      <c r="AX190" s="30"/>
      <c r="AY190" s="30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1"/>
      <c r="CO190" s="1"/>
      <c r="CP190" s="1"/>
      <c r="CQ190" s="1"/>
      <c r="CR190" s="1"/>
      <c r="CS190" s="1"/>
      <c r="CT190" s="1"/>
      <c r="CU190" s="1"/>
      <c r="CV190" s="1"/>
      <c r="CW190" s="1"/>
    </row>
    <row r="191" spans="2:101" ht="15" hidden="1" customHeight="1" x14ac:dyDescent="0.25"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30"/>
      <c r="AQ191" s="30"/>
      <c r="AR191" s="30"/>
      <c r="AS191" s="30"/>
      <c r="AT191" s="30"/>
      <c r="AU191" s="30"/>
      <c r="AV191" s="30"/>
      <c r="AW191" s="30"/>
      <c r="AX191" s="30"/>
      <c r="AY191" s="30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1"/>
      <c r="CO191" s="1"/>
      <c r="CP191" s="1"/>
      <c r="CQ191" s="1"/>
      <c r="CR191" s="1"/>
      <c r="CS191" s="1"/>
      <c r="CT191" s="1"/>
      <c r="CU191" s="1"/>
      <c r="CV191" s="1"/>
      <c r="CW191" s="1"/>
    </row>
    <row r="192" spans="2:101" ht="15" hidden="1" customHeight="1" x14ac:dyDescent="0.25"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30"/>
      <c r="AQ192" s="30"/>
      <c r="AR192" s="30"/>
      <c r="AS192" s="30"/>
      <c r="AT192" s="30"/>
      <c r="AU192" s="30"/>
      <c r="AV192" s="30"/>
      <c r="AW192" s="30"/>
      <c r="AX192" s="30"/>
      <c r="AY192" s="30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30"/>
      <c r="BK192" s="30"/>
      <c r="BL192" s="30"/>
      <c r="BM192" s="30"/>
      <c r="BN192" s="30"/>
      <c r="BO192" s="30"/>
      <c r="BP192" s="30"/>
      <c r="BQ192" s="30"/>
      <c r="BR192" s="30"/>
      <c r="BS192" s="30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1"/>
      <c r="CO192" s="1"/>
      <c r="CP192" s="1"/>
      <c r="CQ192" s="1"/>
      <c r="CR192" s="1"/>
      <c r="CS192" s="1"/>
      <c r="CT192" s="1"/>
      <c r="CU192" s="1"/>
      <c r="CV192" s="1"/>
      <c r="CW192" s="1"/>
    </row>
    <row r="193" spans="2:101" ht="15" hidden="1" customHeight="1" x14ac:dyDescent="0.25"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30"/>
      <c r="AQ193" s="30"/>
      <c r="AR193" s="30"/>
      <c r="AS193" s="30"/>
      <c r="AT193" s="30"/>
      <c r="AU193" s="30"/>
      <c r="AV193" s="30"/>
      <c r="AW193" s="30"/>
      <c r="AX193" s="30"/>
      <c r="AY193" s="30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30"/>
      <c r="BK193" s="30"/>
      <c r="BL193" s="30"/>
      <c r="BM193" s="30"/>
      <c r="BN193" s="30"/>
      <c r="BO193" s="30"/>
      <c r="BP193" s="30"/>
      <c r="BQ193" s="30"/>
      <c r="BR193" s="30"/>
      <c r="BS193" s="30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1"/>
      <c r="CO193" s="1"/>
      <c r="CP193" s="1"/>
      <c r="CQ193" s="1"/>
      <c r="CR193" s="1"/>
      <c r="CS193" s="1"/>
      <c r="CT193" s="1"/>
      <c r="CU193" s="1"/>
      <c r="CV193" s="1"/>
      <c r="CW193" s="1"/>
    </row>
    <row r="194" spans="2:101" ht="15" hidden="1" customHeight="1" x14ac:dyDescent="0.25"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30"/>
      <c r="AQ194" s="30"/>
      <c r="AR194" s="30"/>
      <c r="AS194" s="30"/>
      <c r="AT194" s="30"/>
      <c r="AU194" s="30"/>
      <c r="AV194" s="30"/>
      <c r="AW194" s="30"/>
      <c r="AX194" s="30"/>
      <c r="AY194" s="30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30"/>
      <c r="BK194" s="30"/>
      <c r="BL194" s="30"/>
      <c r="BM194" s="30"/>
      <c r="BN194" s="30"/>
      <c r="BO194" s="30"/>
      <c r="BP194" s="30"/>
      <c r="BQ194" s="30"/>
      <c r="BR194" s="30"/>
      <c r="BS194" s="30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1"/>
      <c r="CO194" s="1"/>
      <c r="CP194" s="1"/>
      <c r="CQ194" s="1"/>
      <c r="CR194" s="1"/>
      <c r="CS194" s="1"/>
      <c r="CT194" s="1"/>
      <c r="CU194" s="1"/>
      <c r="CV194" s="1"/>
      <c r="CW194" s="1"/>
    </row>
    <row r="195" spans="2:101" ht="15" hidden="1" customHeight="1" x14ac:dyDescent="0.25"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30"/>
      <c r="AQ195" s="30"/>
      <c r="AR195" s="30"/>
      <c r="AS195" s="30"/>
      <c r="AT195" s="30"/>
      <c r="AU195" s="30"/>
      <c r="AV195" s="30"/>
      <c r="AW195" s="30"/>
      <c r="AX195" s="30"/>
      <c r="AY195" s="30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30"/>
      <c r="BK195" s="30"/>
      <c r="BL195" s="30"/>
      <c r="BM195" s="30"/>
      <c r="BN195" s="30"/>
      <c r="BO195" s="30"/>
      <c r="BP195" s="30"/>
      <c r="BQ195" s="30"/>
      <c r="BR195" s="30"/>
      <c r="BS195" s="30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1"/>
      <c r="CO195" s="1"/>
      <c r="CP195" s="1"/>
      <c r="CQ195" s="1"/>
      <c r="CR195" s="1"/>
      <c r="CS195" s="1"/>
      <c r="CT195" s="1"/>
      <c r="CU195" s="1"/>
      <c r="CV195" s="1"/>
      <c r="CW195" s="1"/>
    </row>
    <row r="196" spans="2:101" ht="15" hidden="1" customHeight="1" x14ac:dyDescent="0.25"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30"/>
      <c r="AQ196" s="30"/>
      <c r="AR196" s="30"/>
      <c r="AS196" s="30"/>
      <c r="AT196" s="30"/>
      <c r="AU196" s="30"/>
      <c r="AV196" s="30"/>
      <c r="AW196" s="30"/>
      <c r="AX196" s="30"/>
      <c r="AY196" s="30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1"/>
      <c r="CO196" s="1"/>
      <c r="CP196" s="1"/>
      <c r="CQ196" s="1"/>
      <c r="CR196" s="1"/>
      <c r="CS196" s="1"/>
      <c r="CT196" s="1"/>
      <c r="CU196" s="1"/>
      <c r="CV196" s="1"/>
      <c r="CW196" s="1"/>
    </row>
    <row r="197" spans="2:101" ht="15" hidden="1" customHeight="1" x14ac:dyDescent="0.25"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30"/>
      <c r="AQ197" s="30"/>
      <c r="AR197" s="30"/>
      <c r="AS197" s="30"/>
      <c r="AT197" s="30"/>
      <c r="AU197" s="30"/>
      <c r="AV197" s="30"/>
      <c r="AW197" s="30"/>
      <c r="AX197" s="30"/>
      <c r="AY197" s="30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1"/>
      <c r="CO197" s="1"/>
      <c r="CP197" s="1"/>
      <c r="CQ197" s="1"/>
      <c r="CR197" s="1"/>
      <c r="CS197" s="1"/>
      <c r="CT197" s="1"/>
      <c r="CU197" s="1"/>
      <c r="CV197" s="1"/>
      <c r="CW197" s="1"/>
    </row>
    <row r="198" spans="2:101" ht="15" hidden="1" customHeight="1" x14ac:dyDescent="0.25"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30"/>
      <c r="AQ198" s="30"/>
      <c r="AR198" s="30"/>
      <c r="AS198" s="30"/>
      <c r="AT198" s="30"/>
      <c r="AU198" s="30"/>
      <c r="AV198" s="30"/>
      <c r="AW198" s="30"/>
      <c r="AX198" s="30"/>
      <c r="AY198" s="30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1"/>
      <c r="CO198" s="1"/>
      <c r="CP198" s="1"/>
      <c r="CQ198" s="1"/>
      <c r="CR198" s="1"/>
      <c r="CS198" s="1"/>
      <c r="CT198" s="1"/>
      <c r="CU198" s="1"/>
      <c r="CV198" s="1"/>
      <c r="CW198" s="1"/>
    </row>
    <row r="199" spans="2:101" ht="15" hidden="1" customHeight="1" x14ac:dyDescent="0.25"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30"/>
      <c r="AQ199" s="30"/>
      <c r="AR199" s="30"/>
      <c r="AS199" s="30"/>
      <c r="AT199" s="30"/>
      <c r="AU199" s="30"/>
      <c r="AV199" s="30"/>
      <c r="AW199" s="30"/>
      <c r="AX199" s="30"/>
      <c r="AY199" s="30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1"/>
      <c r="CO199" s="1"/>
      <c r="CP199" s="1"/>
      <c r="CQ199" s="1"/>
      <c r="CR199" s="1"/>
      <c r="CS199" s="1"/>
      <c r="CT199" s="1"/>
      <c r="CU199" s="1"/>
      <c r="CV199" s="1"/>
      <c r="CW199" s="1"/>
    </row>
    <row r="200" spans="2:101" ht="15" hidden="1" customHeight="1" x14ac:dyDescent="0.25"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30"/>
      <c r="AQ200" s="30"/>
      <c r="AR200" s="30"/>
      <c r="AS200" s="30"/>
      <c r="AT200" s="30"/>
      <c r="AU200" s="30"/>
      <c r="AV200" s="30"/>
      <c r="AW200" s="30"/>
      <c r="AX200" s="30"/>
      <c r="AY200" s="30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1"/>
      <c r="CO200" s="1"/>
      <c r="CP200" s="1"/>
      <c r="CQ200" s="1"/>
      <c r="CR200" s="1"/>
      <c r="CS200" s="1"/>
      <c r="CT200" s="1"/>
      <c r="CU200" s="1"/>
      <c r="CV200" s="1"/>
      <c r="CW200" s="1"/>
    </row>
    <row r="201" spans="2:101" ht="15" hidden="1" customHeight="1" x14ac:dyDescent="0.25"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30"/>
      <c r="AQ201" s="30"/>
      <c r="AR201" s="30"/>
      <c r="AS201" s="30"/>
      <c r="AT201" s="30"/>
      <c r="AU201" s="30"/>
      <c r="AV201" s="30"/>
      <c r="AW201" s="30"/>
      <c r="AX201" s="30"/>
      <c r="AY201" s="30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1"/>
      <c r="CO201" s="1"/>
      <c r="CP201" s="1"/>
      <c r="CQ201" s="1"/>
      <c r="CR201" s="1"/>
      <c r="CS201" s="1"/>
      <c r="CT201" s="1"/>
      <c r="CU201" s="1"/>
      <c r="CV201" s="1"/>
      <c r="CW201" s="1"/>
    </row>
    <row r="202" spans="2:101" ht="15" hidden="1" customHeight="1" x14ac:dyDescent="0.25"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30"/>
      <c r="AQ202" s="30"/>
      <c r="AR202" s="30"/>
      <c r="AS202" s="30"/>
      <c r="AT202" s="30"/>
      <c r="AU202" s="30"/>
      <c r="AV202" s="30"/>
      <c r="AW202" s="30"/>
      <c r="AX202" s="30"/>
      <c r="AY202" s="30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1"/>
      <c r="CO202" s="1"/>
      <c r="CP202" s="1"/>
      <c r="CQ202" s="1"/>
      <c r="CR202" s="1"/>
      <c r="CS202" s="1"/>
      <c r="CT202" s="1"/>
      <c r="CU202" s="1"/>
      <c r="CV202" s="1"/>
      <c r="CW202" s="1"/>
    </row>
    <row r="203" spans="2:101" ht="15" hidden="1" customHeight="1" x14ac:dyDescent="0.25"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30"/>
      <c r="AQ203" s="30"/>
      <c r="AR203" s="30"/>
      <c r="AS203" s="30"/>
      <c r="AT203" s="30"/>
      <c r="AU203" s="30"/>
      <c r="AV203" s="30"/>
      <c r="AW203" s="30"/>
      <c r="AX203" s="30"/>
      <c r="AY203" s="30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1"/>
      <c r="CO203" s="1"/>
      <c r="CP203" s="1"/>
      <c r="CQ203" s="1"/>
      <c r="CR203" s="1"/>
      <c r="CS203" s="1"/>
      <c r="CT203" s="1"/>
      <c r="CU203" s="1"/>
      <c r="CV203" s="1"/>
      <c r="CW203" s="1"/>
    </row>
    <row r="204" spans="2:101" ht="15" hidden="1" customHeight="1" x14ac:dyDescent="0.25"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30"/>
      <c r="AQ204" s="30"/>
      <c r="AR204" s="30"/>
      <c r="AS204" s="30"/>
      <c r="AT204" s="30"/>
      <c r="AU204" s="30"/>
      <c r="AV204" s="30"/>
      <c r="AW204" s="30"/>
      <c r="AX204" s="30"/>
      <c r="AY204" s="30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1"/>
      <c r="CO204" s="1"/>
      <c r="CP204" s="1"/>
      <c r="CQ204" s="1"/>
      <c r="CR204" s="1"/>
      <c r="CS204" s="1"/>
      <c r="CT204" s="1"/>
      <c r="CU204" s="1"/>
      <c r="CV204" s="1"/>
      <c r="CW204" s="1"/>
    </row>
    <row r="205" spans="2:101" ht="15" hidden="1" customHeight="1" x14ac:dyDescent="0.25"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30"/>
      <c r="AQ205" s="30"/>
      <c r="AR205" s="30"/>
      <c r="AS205" s="30"/>
      <c r="AT205" s="30"/>
      <c r="AU205" s="30"/>
      <c r="AV205" s="30"/>
      <c r="AW205" s="30"/>
      <c r="AX205" s="30"/>
      <c r="AY205" s="30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1"/>
      <c r="CO205" s="1"/>
      <c r="CP205" s="1"/>
      <c r="CQ205" s="1"/>
      <c r="CR205" s="1"/>
      <c r="CS205" s="1"/>
      <c r="CT205" s="1"/>
      <c r="CU205" s="1"/>
      <c r="CV205" s="1"/>
      <c r="CW205" s="1"/>
    </row>
    <row r="206" spans="2:101" ht="15" hidden="1" customHeight="1" x14ac:dyDescent="0.25"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30"/>
      <c r="AQ206" s="30"/>
      <c r="AR206" s="30"/>
      <c r="AS206" s="30"/>
      <c r="AT206" s="30"/>
      <c r="AU206" s="30"/>
      <c r="AV206" s="30"/>
      <c r="AW206" s="30"/>
      <c r="AX206" s="30"/>
      <c r="AY206" s="30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1"/>
      <c r="CO206" s="1"/>
      <c r="CP206" s="1"/>
      <c r="CQ206" s="1"/>
      <c r="CR206" s="1"/>
      <c r="CS206" s="1"/>
      <c r="CT206" s="1"/>
      <c r="CU206" s="1"/>
      <c r="CV206" s="1"/>
      <c r="CW206" s="1"/>
    </row>
    <row r="207" spans="2:101" ht="15" hidden="1" customHeight="1" x14ac:dyDescent="0.25"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30"/>
      <c r="BK207" s="30"/>
      <c r="BL207" s="30"/>
      <c r="BM207" s="30"/>
      <c r="BN207" s="30"/>
      <c r="BO207" s="30"/>
      <c r="BP207" s="30"/>
      <c r="BQ207" s="30"/>
      <c r="BR207" s="30"/>
      <c r="BS207" s="30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1"/>
      <c r="CO207" s="1"/>
      <c r="CP207" s="1"/>
      <c r="CQ207" s="1"/>
      <c r="CR207" s="1"/>
      <c r="CS207" s="1"/>
      <c r="CT207" s="1"/>
      <c r="CU207" s="1"/>
      <c r="CV207" s="1"/>
      <c r="CW207" s="1"/>
    </row>
    <row r="208" spans="2:101" ht="15" hidden="1" customHeight="1" x14ac:dyDescent="0.25"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30"/>
      <c r="BK208" s="30"/>
      <c r="BL208" s="30"/>
      <c r="BM208" s="30"/>
      <c r="BN208" s="30"/>
      <c r="BO208" s="30"/>
      <c r="BP208" s="30"/>
      <c r="BQ208" s="30"/>
      <c r="BR208" s="30"/>
      <c r="BS208" s="30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1"/>
      <c r="CO208" s="1"/>
      <c r="CP208" s="1"/>
      <c r="CQ208" s="1"/>
      <c r="CR208" s="1"/>
      <c r="CS208" s="1"/>
      <c r="CT208" s="1"/>
      <c r="CU208" s="1"/>
      <c r="CV208" s="1"/>
      <c r="CW208" s="1"/>
    </row>
    <row r="209" spans="2:101" ht="15" hidden="1" customHeight="1" x14ac:dyDescent="0.25"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30"/>
      <c r="BK209" s="30"/>
      <c r="BL209" s="30"/>
      <c r="BM209" s="30"/>
      <c r="BN209" s="30"/>
      <c r="BO209" s="30"/>
      <c r="BP209" s="30"/>
      <c r="BQ209" s="30"/>
      <c r="BR209" s="30"/>
      <c r="BS209" s="30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1"/>
      <c r="CO209" s="1"/>
      <c r="CP209" s="1"/>
      <c r="CQ209" s="1"/>
      <c r="CR209" s="1"/>
      <c r="CS209" s="1"/>
      <c r="CT209" s="1"/>
      <c r="CU209" s="1"/>
      <c r="CV209" s="1"/>
      <c r="CW209" s="1"/>
    </row>
    <row r="210" spans="2:101" ht="15" hidden="1" customHeight="1" x14ac:dyDescent="0.25"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1"/>
      <c r="CO210" s="1"/>
      <c r="CP210" s="1"/>
      <c r="CQ210" s="1"/>
      <c r="CR210" s="1"/>
      <c r="CS210" s="1"/>
      <c r="CT210" s="1"/>
      <c r="CU210" s="1"/>
      <c r="CV210" s="1"/>
      <c r="CW210" s="1"/>
    </row>
    <row r="211" spans="2:101" ht="15" hidden="1" customHeight="1" x14ac:dyDescent="0.25"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1"/>
      <c r="CO211" s="1"/>
      <c r="CP211" s="1"/>
      <c r="CQ211" s="1"/>
      <c r="CR211" s="1"/>
      <c r="CS211" s="1"/>
      <c r="CT211" s="1"/>
      <c r="CU211" s="1"/>
      <c r="CV211" s="1"/>
      <c r="CW211" s="1"/>
    </row>
    <row r="212" spans="2:101" ht="15" hidden="1" customHeight="1" x14ac:dyDescent="0.25"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1"/>
      <c r="CO212" s="1"/>
      <c r="CP212" s="1"/>
      <c r="CQ212" s="1"/>
      <c r="CR212" s="1"/>
      <c r="CS212" s="1"/>
      <c r="CT212" s="1"/>
      <c r="CU212" s="1"/>
      <c r="CV212" s="1"/>
      <c r="CW212" s="1"/>
    </row>
    <row r="213" spans="2:101" ht="15" hidden="1" customHeight="1" x14ac:dyDescent="0.25"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1"/>
      <c r="CO213" s="1"/>
      <c r="CP213" s="1"/>
      <c r="CQ213" s="1"/>
      <c r="CR213" s="1"/>
      <c r="CS213" s="1"/>
      <c r="CT213" s="1"/>
      <c r="CU213" s="1"/>
      <c r="CV213" s="1"/>
      <c r="CW213" s="1"/>
    </row>
    <row r="214" spans="2:101" ht="15" hidden="1" customHeight="1" x14ac:dyDescent="0.25"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1"/>
      <c r="CO214" s="1"/>
      <c r="CP214" s="1"/>
      <c r="CQ214" s="1"/>
      <c r="CR214" s="1"/>
      <c r="CS214" s="1"/>
      <c r="CT214" s="1"/>
      <c r="CU214" s="1"/>
      <c r="CV214" s="1"/>
      <c r="CW214" s="1"/>
    </row>
    <row r="215" spans="2:101" ht="15" hidden="1" customHeight="1" x14ac:dyDescent="0.25"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1"/>
      <c r="CO215" s="1"/>
      <c r="CP215" s="1"/>
      <c r="CQ215" s="1"/>
      <c r="CR215" s="1"/>
      <c r="CS215" s="1"/>
      <c r="CT215" s="1"/>
      <c r="CU215" s="1"/>
      <c r="CV215" s="1"/>
      <c r="CW215" s="1"/>
    </row>
    <row r="216" spans="2:101" ht="15" hidden="1" customHeight="1" x14ac:dyDescent="0.25"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1"/>
      <c r="CO216" s="1"/>
      <c r="CP216" s="1"/>
      <c r="CQ216" s="1"/>
      <c r="CR216" s="1"/>
      <c r="CS216" s="1"/>
      <c r="CT216" s="1"/>
      <c r="CU216" s="1"/>
      <c r="CV216" s="1"/>
      <c r="CW216" s="1"/>
    </row>
    <row r="217" spans="2:101" ht="15" hidden="1" customHeight="1" x14ac:dyDescent="0.25"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1"/>
      <c r="CO217" s="1"/>
      <c r="CP217" s="1"/>
      <c r="CQ217" s="1"/>
      <c r="CR217" s="1"/>
      <c r="CS217" s="1"/>
      <c r="CT217" s="1"/>
      <c r="CU217" s="1"/>
      <c r="CV217" s="1"/>
      <c r="CW217" s="1"/>
    </row>
    <row r="218" spans="2:101" ht="15" hidden="1" customHeight="1" x14ac:dyDescent="0.25"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1"/>
      <c r="CO218" s="1"/>
      <c r="CP218" s="1"/>
      <c r="CQ218" s="1"/>
      <c r="CR218" s="1"/>
      <c r="CS218" s="1"/>
      <c r="CT218" s="1"/>
      <c r="CU218" s="1"/>
      <c r="CV218" s="1"/>
      <c r="CW218" s="1"/>
    </row>
    <row r="219" spans="2:101" ht="15" hidden="1" customHeight="1" x14ac:dyDescent="0.25"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1"/>
      <c r="CO219" s="1"/>
      <c r="CP219" s="1"/>
      <c r="CQ219" s="1"/>
      <c r="CR219" s="1"/>
      <c r="CS219" s="1"/>
      <c r="CT219" s="1"/>
      <c r="CU219" s="1"/>
      <c r="CV219" s="1"/>
      <c r="CW219" s="1"/>
    </row>
    <row r="220" spans="2:101" ht="15" hidden="1" customHeight="1" x14ac:dyDescent="0.25"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30"/>
      <c r="AQ220" s="30"/>
      <c r="AR220" s="30"/>
      <c r="AS220" s="30"/>
      <c r="AT220" s="30"/>
      <c r="AU220" s="30"/>
      <c r="AV220" s="30"/>
      <c r="AW220" s="30"/>
      <c r="AX220" s="30"/>
      <c r="AY220" s="30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1"/>
      <c r="CO220" s="1"/>
      <c r="CP220" s="1"/>
      <c r="CQ220" s="1"/>
      <c r="CR220" s="1"/>
      <c r="CS220" s="1"/>
      <c r="CT220" s="1"/>
      <c r="CU220" s="1"/>
      <c r="CV220" s="1"/>
      <c r="CW220" s="1"/>
    </row>
    <row r="221" spans="2:101" ht="15" hidden="1" customHeight="1" x14ac:dyDescent="0.25"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30"/>
      <c r="AQ221" s="30"/>
      <c r="AR221" s="30"/>
      <c r="AS221" s="30"/>
      <c r="AT221" s="30"/>
      <c r="AU221" s="30"/>
      <c r="AV221" s="30"/>
      <c r="AW221" s="30"/>
      <c r="AX221" s="30"/>
      <c r="AY221" s="30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1"/>
      <c r="CO221" s="1"/>
      <c r="CP221" s="1"/>
      <c r="CQ221" s="1"/>
      <c r="CR221" s="1"/>
      <c r="CS221" s="1"/>
      <c r="CT221" s="1"/>
      <c r="CU221" s="1"/>
      <c r="CV221" s="1"/>
      <c r="CW221" s="1"/>
    </row>
    <row r="222" spans="2:101" ht="15" hidden="1" customHeight="1" x14ac:dyDescent="0.25"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30"/>
      <c r="AQ222" s="30"/>
      <c r="AR222" s="30"/>
      <c r="AS222" s="30"/>
      <c r="AT222" s="30"/>
      <c r="AU222" s="30"/>
      <c r="AV222" s="30"/>
      <c r="AW222" s="30"/>
      <c r="AX222" s="30"/>
      <c r="AY222" s="30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1"/>
      <c r="CO222" s="1"/>
      <c r="CP222" s="1"/>
      <c r="CQ222" s="1"/>
      <c r="CR222" s="1"/>
      <c r="CS222" s="1"/>
      <c r="CT222" s="1"/>
      <c r="CU222" s="1"/>
      <c r="CV222" s="1"/>
      <c r="CW222" s="1"/>
    </row>
    <row r="223" spans="2:101" ht="15" hidden="1" customHeight="1" x14ac:dyDescent="0.25"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30"/>
      <c r="AQ223" s="30"/>
      <c r="AR223" s="30"/>
      <c r="AS223" s="30"/>
      <c r="AT223" s="30"/>
      <c r="AU223" s="30"/>
      <c r="AV223" s="30"/>
      <c r="AW223" s="30"/>
      <c r="AX223" s="30"/>
      <c r="AY223" s="30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30"/>
      <c r="BK223" s="30"/>
      <c r="BL223" s="30"/>
      <c r="BM223" s="30"/>
      <c r="BN223" s="30"/>
      <c r="BO223" s="30"/>
      <c r="BP223" s="30"/>
      <c r="BQ223" s="30"/>
      <c r="BR223" s="30"/>
      <c r="BS223" s="30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1"/>
      <c r="CO223" s="1"/>
      <c r="CP223" s="1"/>
      <c r="CQ223" s="1"/>
      <c r="CR223" s="1"/>
      <c r="CS223" s="1"/>
      <c r="CT223" s="1"/>
      <c r="CU223" s="1"/>
      <c r="CV223" s="1"/>
      <c r="CW223" s="1"/>
    </row>
    <row r="224" spans="2:101" ht="15" hidden="1" customHeight="1" x14ac:dyDescent="0.25"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30"/>
      <c r="AQ224" s="30"/>
      <c r="AR224" s="30"/>
      <c r="AS224" s="30"/>
      <c r="AT224" s="30"/>
      <c r="AU224" s="30"/>
      <c r="AV224" s="30"/>
      <c r="AW224" s="30"/>
      <c r="AX224" s="30"/>
      <c r="AY224" s="30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30"/>
      <c r="BK224" s="30"/>
      <c r="BL224" s="30"/>
      <c r="BM224" s="30"/>
      <c r="BN224" s="30"/>
      <c r="BO224" s="30"/>
      <c r="BP224" s="30"/>
      <c r="BQ224" s="30"/>
      <c r="BR224" s="30"/>
      <c r="BS224" s="30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1"/>
      <c r="CO224" s="1"/>
      <c r="CP224" s="1"/>
      <c r="CQ224" s="1"/>
      <c r="CR224" s="1"/>
      <c r="CS224" s="1"/>
      <c r="CT224" s="1"/>
      <c r="CU224" s="1"/>
      <c r="CV224" s="1"/>
      <c r="CW224" s="1"/>
    </row>
    <row r="225" spans="2:101" ht="15" hidden="1" customHeight="1" x14ac:dyDescent="0.25"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30"/>
      <c r="AQ225" s="30"/>
      <c r="AR225" s="30"/>
      <c r="AS225" s="30"/>
      <c r="AT225" s="30"/>
      <c r="AU225" s="30"/>
      <c r="AV225" s="30"/>
      <c r="AW225" s="30"/>
      <c r="AX225" s="30"/>
      <c r="AY225" s="30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30"/>
      <c r="BK225" s="30"/>
      <c r="BL225" s="30"/>
      <c r="BM225" s="30"/>
      <c r="BN225" s="30"/>
      <c r="BO225" s="30"/>
      <c r="BP225" s="30"/>
      <c r="BQ225" s="30"/>
      <c r="BR225" s="30"/>
      <c r="BS225" s="30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1"/>
      <c r="CO225" s="1"/>
      <c r="CP225" s="1"/>
      <c r="CQ225" s="1"/>
      <c r="CR225" s="1"/>
      <c r="CS225" s="1"/>
      <c r="CT225" s="1"/>
      <c r="CU225" s="1"/>
      <c r="CV225" s="1"/>
      <c r="CW225" s="1"/>
    </row>
    <row r="226" spans="2:101" ht="15" hidden="1" customHeight="1" x14ac:dyDescent="0.25"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30"/>
      <c r="AQ226" s="30"/>
      <c r="AR226" s="30"/>
      <c r="AS226" s="30"/>
      <c r="AT226" s="30"/>
      <c r="AU226" s="30"/>
      <c r="AV226" s="30"/>
      <c r="AW226" s="30"/>
      <c r="AX226" s="30"/>
      <c r="AY226" s="30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1"/>
      <c r="CO226" s="1"/>
      <c r="CP226" s="1"/>
      <c r="CQ226" s="1"/>
      <c r="CR226" s="1"/>
      <c r="CS226" s="1"/>
      <c r="CT226" s="1"/>
      <c r="CU226" s="1"/>
      <c r="CV226" s="1"/>
      <c r="CW226" s="1"/>
    </row>
    <row r="227" spans="2:101" ht="15" hidden="1" customHeight="1" x14ac:dyDescent="0.25"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30"/>
      <c r="AQ227" s="30"/>
      <c r="AR227" s="30"/>
      <c r="AS227" s="30"/>
      <c r="AT227" s="30"/>
      <c r="AU227" s="30"/>
      <c r="AV227" s="30"/>
      <c r="AW227" s="30"/>
      <c r="AX227" s="30"/>
      <c r="AY227" s="30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30"/>
      <c r="BK227" s="30"/>
      <c r="BL227" s="30"/>
      <c r="BM227" s="30"/>
      <c r="BN227" s="30"/>
      <c r="BO227" s="30"/>
      <c r="BP227" s="30"/>
      <c r="BQ227" s="30"/>
      <c r="BR227" s="30"/>
      <c r="BS227" s="30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1"/>
      <c r="CO227" s="1"/>
      <c r="CP227" s="1"/>
      <c r="CQ227" s="1"/>
      <c r="CR227" s="1"/>
      <c r="CS227" s="1"/>
      <c r="CT227" s="1"/>
      <c r="CU227" s="1"/>
      <c r="CV227" s="1"/>
      <c r="CW227" s="1"/>
    </row>
    <row r="228" spans="2:101" ht="15" hidden="1" customHeight="1" x14ac:dyDescent="0.25"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30"/>
      <c r="AQ228" s="30"/>
      <c r="AR228" s="30"/>
      <c r="AS228" s="30"/>
      <c r="AT228" s="30"/>
      <c r="AU228" s="30"/>
      <c r="AV228" s="30"/>
      <c r="AW228" s="30"/>
      <c r="AX228" s="30"/>
      <c r="AY228" s="30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30"/>
      <c r="BK228" s="30"/>
      <c r="BL228" s="30"/>
      <c r="BM228" s="30"/>
      <c r="BN228" s="30"/>
      <c r="BO228" s="30"/>
      <c r="BP228" s="30"/>
      <c r="BQ228" s="30"/>
      <c r="BR228" s="30"/>
      <c r="BS228" s="30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1"/>
      <c r="CO228" s="1"/>
      <c r="CP228" s="1"/>
      <c r="CQ228" s="1"/>
      <c r="CR228" s="1"/>
      <c r="CS228" s="1"/>
      <c r="CT228" s="1"/>
      <c r="CU228" s="1"/>
      <c r="CV228" s="1"/>
      <c r="CW228" s="1"/>
    </row>
    <row r="229" spans="2:101" ht="15" hidden="1" customHeight="1" x14ac:dyDescent="0.25"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30"/>
      <c r="AQ229" s="30"/>
      <c r="AR229" s="30"/>
      <c r="AS229" s="30"/>
      <c r="AT229" s="30"/>
      <c r="AU229" s="30"/>
      <c r="AV229" s="30"/>
      <c r="AW229" s="30"/>
      <c r="AX229" s="30"/>
      <c r="AY229" s="30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30"/>
      <c r="BK229" s="30"/>
      <c r="BL229" s="30"/>
      <c r="BM229" s="30"/>
      <c r="BN229" s="30"/>
      <c r="BO229" s="30"/>
      <c r="BP229" s="30"/>
      <c r="BQ229" s="30"/>
      <c r="BR229" s="30"/>
      <c r="BS229" s="30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1"/>
      <c r="CO229" s="1"/>
      <c r="CP229" s="1"/>
      <c r="CQ229" s="1"/>
      <c r="CR229" s="1"/>
      <c r="CS229" s="1"/>
      <c r="CT229" s="1"/>
      <c r="CU229" s="1"/>
      <c r="CV229" s="1"/>
      <c r="CW229" s="1"/>
    </row>
    <row r="230" spans="2:101" ht="15" hidden="1" customHeight="1" x14ac:dyDescent="0.25"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30"/>
      <c r="AQ230" s="30"/>
      <c r="AR230" s="30"/>
      <c r="AS230" s="30"/>
      <c r="AT230" s="30"/>
      <c r="AU230" s="30"/>
      <c r="AV230" s="30"/>
      <c r="AW230" s="30"/>
      <c r="AX230" s="30"/>
      <c r="AY230" s="30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30"/>
      <c r="BK230" s="30"/>
      <c r="BL230" s="30"/>
      <c r="BM230" s="30"/>
      <c r="BN230" s="30"/>
      <c r="BO230" s="30"/>
      <c r="BP230" s="30"/>
      <c r="BQ230" s="30"/>
      <c r="BR230" s="30"/>
      <c r="BS230" s="30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1"/>
      <c r="CO230" s="1"/>
      <c r="CP230" s="1"/>
      <c r="CQ230" s="1"/>
      <c r="CR230" s="1"/>
      <c r="CS230" s="1"/>
      <c r="CT230" s="1"/>
      <c r="CU230" s="1"/>
      <c r="CV230" s="1"/>
      <c r="CW230" s="1"/>
    </row>
    <row r="231" spans="2:101" ht="15" hidden="1" customHeight="1" x14ac:dyDescent="0.25"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30"/>
      <c r="AQ231" s="30"/>
      <c r="AR231" s="30"/>
      <c r="AS231" s="30"/>
      <c r="AT231" s="30"/>
      <c r="AU231" s="30"/>
      <c r="AV231" s="30"/>
      <c r="AW231" s="30"/>
      <c r="AX231" s="30"/>
      <c r="AY231" s="30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30"/>
      <c r="BK231" s="30"/>
      <c r="BL231" s="30"/>
      <c r="BM231" s="30"/>
      <c r="BN231" s="30"/>
      <c r="BO231" s="30"/>
      <c r="BP231" s="30"/>
      <c r="BQ231" s="30"/>
      <c r="BR231" s="30"/>
      <c r="BS231" s="30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1"/>
      <c r="CO231" s="1"/>
      <c r="CP231" s="1"/>
      <c r="CQ231" s="1"/>
      <c r="CR231" s="1"/>
      <c r="CS231" s="1"/>
      <c r="CT231" s="1"/>
      <c r="CU231" s="1"/>
      <c r="CV231" s="1"/>
      <c r="CW231" s="1"/>
    </row>
    <row r="232" spans="2:101" ht="15" hidden="1" customHeight="1" x14ac:dyDescent="0.25"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30"/>
      <c r="BK232" s="30"/>
      <c r="BL232" s="30"/>
      <c r="BM232" s="30"/>
      <c r="BN232" s="30"/>
      <c r="BO232" s="30"/>
      <c r="BP232" s="30"/>
      <c r="BQ232" s="30"/>
      <c r="BR232" s="30"/>
      <c r="BS232" s="30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1"/>
      <c r="CO232" s="1"/>
      <c r="CP232" s="1"/>
      <c r="CQ232" s="1"/>
      <c r="CR232" s="1"/>
      <c r="CS232" s="1"/>
      <c r="CT232" s="1"/>
      <c r="CU232" s="1"/>
      <c r="CV232" s="1"/>
      <c r="CW232" s="1"/>
    </row>
    <row r="233" spans="2:101" ht="15" hidden="1" customHeight="1" x14ac:dyDescent="0.25"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30"/>
      <c r="BK233" s="30"/>
      <c r="BL233" s="30"/>
      <c r="BM233" s="30"/>
      <c r="BN233" s="30"/>
      <c r="BO233" s="30"/>
      <c r="BP233" s="30"/>
      <c r="BQ233" s="30"/>
      <c r="BR233" s="30"/>
      <c r="BS233" s="30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1"/>
      <c r="CO233" s="1"/>
      <c r="CP233" s="1"/>
      <c r="CQ233" s="1"/>
      <c r="CR233" s="1"/>
      <c r="CS233" s="1"/>
      <c r="CT233" s="1"/>
      <c r="CU233" s="1"/>
      <c r="CV233" s="1"/>
      <c r="CW233" s="1"/>
    </row>
    <row r="234" spans="2:101" ht="15" hidden="1" customHeight="1" x14ac:dyDescent="0.25"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30"/>
      <c r="BK234" s="30"/>
      <c r="BL234" s="30"/>
      <c r="BM234" s="30"/>
      <c r="BN234" s="30"/>
      <c r="BO234" s="30"/>
      <c r="BP234" s="30"/>
      <c r="BQ234" s="30"/>
      <c r="BR234" s="30"/>
      <c r="BS234" s="30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1"/>
      <c r="CO234" s="1"/>
      <c r="CP234" s="1"/>
      <c r="CQ234" s="1"/>
      <c r="CR234" s="1"/>
      <c r="CS234" s="1"/>
      <c r="CT234" s="1"/>
      <c r="CU234" s="1"/>
      <c r="CV234" s="1"/>
      <c r="CW234" s="1"/>
    </row>
    <row r="235" spans="2:101" ht="15" hidden="1" customHeight="1" x14ac:dyDescent="0.25"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30"/>
      <c r="AQ235" s="30"/>
      <c r="AR235" s="30"/>
      <c r="AS235" s="30"/>
      <c r="AT235" s="30"/>
      <c r="AU235" s="30"/>
      <c r="AV235" s="30"/>
      <c r="AW235" s="30"/>
      <c r="AX235" s="30"/>
      <c r="AY235" s="30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30"/>
      <c r="BK235" s="30"/>
      <c r="BL235" s="30"/>
      <c r="BM235" s="30"/>
      <c r="BN235" s="30"/>
      <c r="BO235" s="30"/>
      <c r="BP235" s="30"/>
      <c r="BQ235" s="30"/>
      <c r="BR235" s="30"/>
      <c r="BS235" s="30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1"/>
      <c r="CO235" s="1"/>
      <c r="CP235" s="1"/>
      <c r="CQ235" s="1"/>
      <c r="CR235" s="1"/>
      <c r="CS235" s="1"/>
      <c r="CT235" s="1"/>
      <c r="CU235" s="1"/>
      <c r="CV235" s="1"/>
      <c r="CW235" s="1"/>
    </row>
    <row r="236" spans="2:101" ht="15" hidden="1" customHeight="1" x14ac:dyDescent="0.25"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30"/>
      <c r="AQ236" s="30"/>
      <c r="AR236" s="30"/>
      <c r="AS236" s="30"/>
      <c r="AT236" s="30"/>
      <c r="AU236" s="30"/>
      <c r="AV236" s="30"/>
      <c r="AW236" s="30"/>
      <c r="AX236" s="30"/>
      <c r="AY236" s="30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30"/>
      <c r="BK236" s="30"/>
      <c r="BL236" s="30"/>
      <c r="BM236" s="30"/>
      <c r="BN236" s="30"/>
      <c r="BO236" s="30"/>
      <c r="BP236" s="30"/>
      <c r="BQ236" s="30"/>
      <c r="BR236" s="30"/>
      <c r="BS236" s="30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1"/>
      <c r="CO236" s="1"/>
      <c r="CP236" s="1"/>
      <c r="CQ236" s="1"/>
      <c r="CR236" s="1"/>
      <c r="CS236" s="1"/>
      <c r="CT236" s="1"/>
      <c r="CU236" s="1"/>
      <c r="CV236" s="1"/>
      <c r="CW236" s="1"/>
    </row>
    <row r="237" spans="2:101" ht="15" hidden="1" customHeight="1" x14ac:dyDescent="0.25"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30"/>
      <c r="AQ237" s="30"/>
      <c r="AR237" s="30"/>
      <c r="AS237" s="30"/>
      <c r="AT237" s="30"/>
      <c r="AU237" s="30"/>
      <c r="AV237" s="30"/>
      <c r="AW237" s="30"/>
      <c r="AX237" s="30"/>
      <c r="AY237" s="30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30"/>
      <c r="BK237" s="30"/>
      <c r="BL237" s="30"/>
      <c r="BM237" s="30"/>
      <c r="BN237" s="30"/>
      <c r="BO237" s="30"/>
      <c r="BP237" s="30"/>
      <c r="BQ237" s="30"/>
      <c r="BR237" s="30"/>
      <c r="BS237" s="30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1"/>
      <c r="CO237" s="1"/>
      <c r="CP237" s="1"/>
      <c r="CQ237" s="1"/>
      <c r="CR237" s="1"/>
      <c r="CS237" s="1"/>
      <c r="CT237" s="1"/>
      <c r="CU237" s="1"/>
      <c r="CV237" s="1"/>
      <c r="CW237" s="1"/>
    </row>
    <row r="238" spans="2:101" ht="15" hidden="1" customHeight="1" x14ac:dyDescent="0.25"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30"/>
      <c r="AQ238" s="30"/>
      <c r="AR238" s="30"/>
      <c r="AS238" s="30"/>
      <c r="AT238" s="30"/>
      <c r="AU238" s="30"/>
      <c r="AV238" s="30"/>
      <c r="AW238" s="30"/>
      <c r="AX238" s="30"/>
      <c r="AY238" s="30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30"/>
      <c r="BK238" s="30"/>
      <c r="BL238" s="30"/>
      <c r="BM238" s="30"/>
      <c r="BN238" s="30"/>
      <c r="BO238" s="30"/>
      <c r="BP238" s="30"/>
      <c r="BQ238" s="30"/>
      <c r="BR238" s="30"/>
      <c r="BS238" s="30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1"/>
      <c r="CO238" s="1"/>
      <c r="CP238" s="1"/>
      <c r="CQ238" s="1"/>
      <c r="CR238" s="1"/>
      <c r="CS238" s="1"/>
      <c r="CT238" s="1"/>
      <c r="CU238" s="1"/>
      <c r="CV238" s="1"/>
      <c r="CW238" s="1"/>
    </row>
    <row r="239" spans="2:101" ht="15" hidden="1" customHeight="1" x14ac:dyDescent="0.25"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30"/>
      <c r="AQ239" s="30"/>
      <c r="AR239" s="30"/>
      <c r="AS239" s="30"/>
      <c r="AT239" s="30"/>
      <c r="AU239" s="30"/>
      <c r="AV239" s="30"/>
      <c r="AW239" s="30"/>
      <c r="AX239" s="30"/>
      <c r="AY239" s="30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30"/>
      <c r="BK239" s="30"/>
      <c r="BL239" s="30"/>
      <c r="BM239" s="30"/>
      <c r="BN239" s="30"/>
      <c r="BO239" s="30"/>
      <c r="BP239" s="30"/>
      <c r="BQ239" s="30"/>
      <c r="BR239" s="30"/>
      <c r="BS239" s="30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1"/>
      <c r="CO239" s="1"/>
      <c r="CP239" s="1"/>
      <c r="CQ239" s="1"/>
      <c r="CR239" s="1"/>
      <c r="CS239" s="1"/>
      <c r="CT239" s="1"/>
      <c r="CU239" s="1"/>
      <c r="CV239" s="1"/>
      <c r="CW239" s="1"/>
    </row>
    <row r="240" spans="2:101" ht="15" hidden="1" customHeight="1" x14ac:dyDescent="0.25"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30"/>
      <c r="AQ240" s="30"/>
      <c r="AR240" s="30"/>
      <c r="AS240" s="30"/>
      <c r="AT240" s="30"/>
      <c r="AU240" s="30"/>
      <c r="AV240" s="30"/>
      <c r="AW240" s="30"/>
      <c r="AX240" s="30"/>
      <c r="AY240" s="30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30"/>
      <c r="BK240" s="30"/>
      <c r="BL240" s="30"/>
      <c r="BM240" s="30"/>
      <c r="BN240" s="30"/>
      <c r="BO240" s="30"/>
      <c r="BP240" s="30"/>
      <c r="BQ240" s="30"/>
      <c r="BR240" s="30"/>
      <c r="BS240" s="30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1"/>
      <c r="CO240" s="1"/>
      <c r="CP240" s="1"/>
      <c r="CQ240" s="1"/>
      <c r="CR240" s="1"/>
      <c r="CS240" s="1"/>
      <c r="CT240" s="1"/>
      <c r="CU240" s="1"/>
      <c r="CV240" s="1"/>
      <c r="CW240" s="1"/>
    </row>
    <row r="241" spans="2:101" ht="15" hidden="1" customHeight="1" x14ac:dyDescent="0.25"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30"/>
      <c r="AQ241" s="30"/>
      <c r="AR241" s="30"/>
      <c r="AS241" s="30"/>
      <c r="AT241" s="30"/>
      <c r="AU241" s="30"/>
      <c r="AV241" s="30"/>
      <c r="AW241" s="30"/>
      <c r="AX241" s="30"/>
      <c r="AY241" s="30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30"/>
      <c r="BK241" s="30"/>
      <c r="BL241" s="30"/>
      <c r="BM241" s="30"/>
      <c r="BN241" s="30"/>
      <c r="BO241" s="30"/>
      <c r="BP241" s="30"/>
      <c r="BQ241" s="30"/>
      <c r="BR241" s="30"/>
      <c r="BS241" s="30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1"/>
      <c r="CO241" s="1"/>
      <c r="CP241" s="1"/>
      <c r="CQ241" s="1"/>
      <c r="CR241" s="1"/>
      <c r="CS241" s="1"/>
      <c r="CT241" s="1"/>
      <c r="CU241" s="1"/>
      <c r="CV241" s="1"/>
      <c r="CW241" s="1"/>
    </row>
    <row r="242" spans="2:101" ht="15" hidden="1" customHeight="1" x14ac:dyDescent="0.25"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30"/>
      <c r="AQ242" s="30"/>
      <c r="AR242" s="30"/>
      <c r="AS242" s="30"/>
      <c r="AT242" s="30"/>
      <c r="AU242" s="30"/>
      <c r="AV242" s="30"/>
      <c r="AW242" s="30"/>
      <c r="AX242" s="30"/>
      <c r="AY242" s="30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30"/>
      <c r="BK242" s="30"/>
      <c r="BL242" s="30"/>
      <c r="BM242" s="30"/>
      <c r="BN242" s="30"/>
      <c r="BO242" s="30"/>
      <c r="BP242" s="30"/>
      <c r="BQ242" s="30"/>
      <c r="BR242" s="30"/>
      <c r="BS242" s="30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1"/>
      <c r="CO242" s="1"/>
      <c r="CP242" s="1"/>
      <c r="CQ242" s="1"/>
      <c r="CR242" s="1"/>
      <c r="CS242" s="1"/>
      <c r="CT242" s="1"/>
      <c r="CU242" s="1"/>
      <c r="CV242" s="1"/>
      <c r="CW242" s="1"/>
    </row>
    <row r="243" spans="2:101" ht="15" hidden="1" customHeight="1" x14ac:dyDescent="0.25"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30"/>
      <c r="AQ243" s="30"/>
      <c r="AR243" s="30"/>
      <c r="AS243" s="30"/>
      <c r="AT243" s="30"/>
      <c r="AU243" s="30"/>
      <c r="AV243" s="30"/>
      <c r="AW243" s="30"/>
      <c r="AX243" s="30"/>
      <c r="AY243" s="30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30"/>
      <c r="BK243" s="30"/>
      <c r="BL243" s="30"/>
      <c r="BM243" s="30"/>
      <c r="BN243" s="30"/>
      <c r="BO243" s="30"/>
      <c r="BP243" s="30"/>
      <c r="BQ243" s="30"/>
      <c r="BR243" s="30"/>
      <c r="BS243" s="30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1"/>
      <c r="CO243" s="1"/>
      <c r="CP243" s="1"/>
      <c r="CQ243" s="1"/>
      <c r="CR243" s="1"/>
      <c r="CS243" s="1"/>
      <c r="CT243" s="1"/>
      <c r="CU243" s="1"/>
      <c r="CV243" s="1"/>
      <c r="CW243" s="1"/>
    </row>
    <row r="244" spans="2:101" ht="15" hidden="1" customHeight="1" x14ac:dyDescent="0.25"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30"/>
      <c r="AQ244" s="30"/>
      <c r="AR244" s="30"/>
      <c r="AS244" s="30"/>
      <c r="AT244" s="30"/>
      <c r="AU244" s="30"/>
      <c r="AV244" s="30"/>
      <c r="AW244" s="30"/>
      <c r="AX244" s="30"/>
      <c r="AY244" s="30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30"/>
      <c r="BK244" s="30"/>
      <c r="BL244" s="30"/>
      <c r="BM244" s="30"/>
      <c r="BN244" s="30"/>
      <c r="BO244" s="30"/>
      <c r="BP244" s="30"/>
      <c r="BQ244" s="30"/>
      <c r="BR244" s="30"/>
      <c r="BS244" s="30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1"/>
      <c r="CO244" s="1"/>
      <c r="CP244" s="1"/>
      <c r="CQ244" s="1"/>
      <c r="CR244" s="1"/>
      <c r="CS244" s="1"/>
      <c r="CT244" s="1"/>
      <c r="CU244" s="1"/>
      <c r="CV244" s="1"/>
      <c r="CW244" s="1"/>
    </row>
    <row r="245" spans="2:101" ht="15" hidden="1" customHeight="1" x14ac:dyDescent="0.25"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30"/>
      <c r="AQ245" s="30"/>
      <c r="AR245" s="30"/>
      <c r="AS245" s="30"/>
      <c r="AT245" s="30"/>
      <c r="AU245" s="30"/>
      <c r="AV245" s="30"/>
      <c r="AW245" s="30"/>
      <c r="AX245" s="30"/>
      <c r="AY245" s="30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30"/>
      <c r="BK245" s="30"/>
      <c r="BL245" s="30"/>
      <c r="BM245" s="30"/>
      <c r="BN245" s="30"/>
      <c r="BO245" s="30"/>
      <c r="BP245" s="30"/>
      <c r="BQ245" s="30"/>
      <c r="BR245" s="30"/>
      <c r="BS245" s="30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1"/>
      <c r="CO245" s="1"/>
      <c r="CP245" s="1"/>
      <c r="CQ245" s="1"/>
      <c r="CR245" s="1"/>
      <c r="CS245" s="1"/>
      <c r="CT245" s="1"/>
      <c r="CU245" s="1"/>
      <c r="CV245" s="1"/>
      <c r="CW245" s="1"/>
    </row>
    <row r="246" spans="2:101" ht="15" hidden="1" customHeight="1" x14ac:dyDescent="0.25"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30"/>
      <c r="AQ246" s="30"/>
      <c r="AR246" s="30"/>
      <c r="AS246" s="30"/>
      <c r="AT246" s="30"/>
      <c r="AU246" s="30"/>
      <c r="AV246" s="30"/>
      <c r="AW246" s="30"/>
      <c r="AX246" s="30"/>
      <c r="AY246" s="30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30"/>
      <c r="BK246" s="30"/>
      <c r="BL246" s="30"/>
      <c r="BM246" s="30"/>
      <c r="BN246" s="30"/>
      <c r="BO246" s="30"/>
      <c r="BP246" s="30"/>
      <c r="BQ246" s="30"/>
      <c r="BR246" s="30"/>
      <c r="BS246" s="30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1"/>
      <c r="CO246" s="1"/>
      <c r="CP246" s="1"/>
      <c r="CQ246" s="1"/>
      <c r="CR246" s="1"/>
      <c r="CS246" s="1"/>
      <c r="CT246" s="1"/>
      <c r="CU246" s="1"/>
      <c r="CV246" s="1"/>
      <c r="CW246" s="1"/>
    </row>
    <row r="247" spans="2:101" ht="15" hidden="1" customHeight="1" x14ac:dyDescent="0.25"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30"/>
      <c r="AQ247" s="30"/>
      <c r="AR247" s="30"/>
      <c r="AS247" s="30"/>
      <c r="AT247" s="30"/>
      <c r="AU247" s="30"/>
      <c r="AV247" s="30"/>
      <c r="AW247" s="30"/>
      <c r="AX247" s="30"/>
      <c r="AY247" s="30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30"/>
      <c r="BK247" s="30"/>
      <c r="BL247" s="30"/>
      <c r="BM247" s="30"/>
      <c r="BN247" s="30"/>
      <c r="BO247" s="30"/>
      <c r="BP247" s="30"/>
      <c r="BQ247" s="30"/>
      <c r="BR247" s="30"/>
      <c r="BS247" s="30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1"/>
      <c r="CO247" s="1"/>
      <c r="CP247" s="1"/>
      <c r="CQ247" s="1"/>
      <c r="CR247" s="1"/>
      <c r="CS247" s="1"/>
      <c r="CT247" s="1"/>
      <c r="CU247" s="1"/>
      <c r="CV247" s="1"/>
      <c r="CW247" s="1"/>
    </row>
    <row r="248" spans="2:101" ht="15" hidden="1" customHeight="1" x14ac:dyDescent="0.25"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30"/>
      <c r="AQ248" s="30"/>
      <c r="AR248" s="30"/>
      <c r="AS248" s="30"/>
      <c r="AT248" s="30"/>
      <c r="AU248" s="30"/>
      <c r="AV248" s="30"/>
      <c r="AW248" s="30"/>
      <c r="AX248" s="30"/>
      <c r="AY248" s="30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30"/>
      <c r="BK248" s="30"/>
      <c r="BL248" s="30"/>
      <c r="BM248" s="30"/>
      <c r="BN248" s="30"/>
      <c r="BO248" s="30"/>
      <c r="BP248" s="30"/>
      <c r="BQ248" s="30"/>
      <c r="BR248" s="30"/>
      <c r="BS248" s="30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1"/>
      <c r="CO248" s="1"/>
      <c r="CP248" s="1"/>
      <c r="CQ248" s="1"/>
      <c r="CR248" s="1"/>
      <c r="CS248" s="1"/>
      <c r="CT248" s="1"/>
      <c r="CU248" s="1"/>
      <c r="CV248" s="1"/>
      <c r="CW248" s="1"/>
    </row>
    <row r="249" spans="2:101" ht="15" hidden="1" customHeight="1" x14ac:dyDescent="0.25"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30"/>
      <c r="AQ249" s="30"/>
      <c r="AR249" s="30"/>
      <c r="AS249" s="30"/>
      <c r="AT249" s="30"/>
      <c r="AU249" s="30"/>
      <c r="AV249" s="30"/>
      <c r="AW249" s="30"/>
      <c r="AX249" s="30"/>
      <c r="AY249" s="30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30"/>
      <c r="BK249" s="30"/>
      <c r="BL249" s="30"/>
      <c r="BM249" s="30"/>
      <c r="BN249" s="30"/>
      <c r="BO249" s="30"/>
      <c r="BP249" s="30"/>
      <c r="BQ249" s="30"/>
      <c r="BR249" s="30"/>
      <c r="BS249" s="30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1"/>
      <c r="CO249" s="1"/>
      <c r="CP249" s="1"/>
      <c r="CQ249" s="1"/>
      <c r="CR249" s="1"/>
      <c r="CS249" s="1"/>
      <c r="CT249" s="1"/>
      <c r="CU249" s="1"/>
      <c r="CV249" s="1"/>
      <c r="CW249" s="1"/>
    </row>
    <row r="250" spans="2:101" ht="15" hidden="1" customHeight="1" x14ac:dyDescent="0.25"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30"/>
      <c r="AQ250" s="30"/>
      <c r="AR250" s="30"/>
      <c r="AS250" s="30"/>
      <c r="AT250" s="30"/>
      <c r="AU250" s="30"/>
      <c r="AV250" s="30"/>
      <c r="AW250" s="30"/>
      <c r="AX250" s="30"/>
      <c r="AY250" s="30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30"/>
      <c r="BK250" s="30"/>
      <c r="BL250" s="30"/>
      <c r="BM250" s="30"/>
      <c r="BN250" s="30"/>
      <c r="BO250" s="30"/>
      <c r="BP250" s="30"/>
      <c r="BQ250" s="30"/>
      <c r="BR250" s="30"/>
      <c r="BS250" s="30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1"/>
      <c r="CO250" s="1"/>
      <c r="CP250" s="1"/>
      <c r="CQ250" s="1"/>
      <c r="CR250" s="1"/>
      <c r="CS250" s="1"/>
      <c r="CT250" s="1"/>
      <c r="CU250" s="1"/>
      <c r="CV250" s="1"/>
      <c r="CW250" s="1"/>
    </row>
    <row r="251" spans="2:101" ht="15" hidden="1" customHeight="1" x14ac:dyDescent="0.25"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30"/>
      <c r="AQ251" s="30"/>
      <c r="AR251" s="30"/>
      <c r="AS251" s="30"/>
      <c r="AT251" s="30"/>
      <c r="AU251" s="30"/>
      <c r="AV251" s="30"/>
      <c r="AW251" s="30"/>
      <c r="AX251" s="30"/>
      <c r="AY251" s="30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30"/>
      <c r="BK251" s="30"/>
      <c r="BL251" s="30"/>
      <c r="BM251" s="30"/>
      <c r="BN251" s="30"/>
      <c r="BO251" s="30"/>
      <c r="BP251" s="30"/>
      <c r="BQ251" s="30"/>
      <c r="BR251" s="30"/>
      <c r="BS251" s="30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1"/>
      <c r="CO251" s="1"/>
      <c r="CP251" s="1"/>
      <c r="CQ251" s="1"/>
      <c r="CR251" s="1"/>
      <c r="CS251" s="1"/>
      <c r="CT251" s="1"/>
      <c r="CU251" s="1"/>
      <c r="CV251" s="1"/>
      <c r="CW251" s="1"/>
    </row>
    <row r="252" spans="2:101" ht="15" hidden="1" customHeight="1" x14ac:dyDescent="0.25"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30"/>
      <c r="AQ252" s="30"/>
      <c r="AR252" s="30"/>
      <c r="AS252" s="30"/>
      <c r="AT252" s="30"/>
      <c r="AU252" s="30"/>
      <c r="AV252" s="30"/>
      <c r="AW252" s="30"/>
      <c r="AX252" s="30"/>
      <c r="AY252" s="30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30"/>
      <c r="BK252" s="30"/>
      <c r="BL252" s="30"/>
      <c r="BM252" s="30"/>
      <c r="BN252" s="30"/>
      <c r="BO252" s="30"/>
      <c r="BP252" s="30"/>
      <c r="BQ252" s="30"/>
      <c r="BR252" s="30"/>
      <c r="BS252" s="30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1"/>
      <c r="CO252" s="1"/>
      <c r="CP252" s="1"/>
      <c r="CQ252" s="1"/>
      <c r="CR252" s="1"/>
      <c r="CS252" s="1"/>
      <c r="CT252" s="1"/>
      <c r="CU252" s="1"/>
      <c r="CV252" s="1"/>
      <c r="CW252" s="1"/>
    </row>
    <row r="253" spans="2:101" ht="15" hidden="1" customHeight="1" x14ac:dyDescent="0.25"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30"/>
      <c r="AQ253" s="30"/>
      <c r="AR253" s="30"/>
      <c r="AS253" s="30"/>
      <c r="AT253" s="30"/>
      <c r="AU253" s="30"/>
      <c r="AV253" s="30"/>
      <c r="AW253" s="30"/>
      <c r="AX253" s="30"/>
      <c r="AY253" s="30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30"/>
      <c r="BK253" s="30"/>
      <c r="BL253" s="30"/>
      <c r="BM253" s="30"/>
      <c r="BN253" s="30"/>
      <c r="BO253" s="30"/>
      <c r="BP253" s="30"/>
      <c r="BQ253" s="30"/>
      <c r="BR253" s="30"/>
      <c r="BS253" s="30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1"/>
      <c r="CO253" s="1"/>
      <c r="CP253" s="1"/>
      <c r="CQ253" s="1"/>
      <c r="CR253" s="1"/>
      <c r="CS253" s="1"/>
      <c r="CT253" s="1"/>
      <c r="CU253" s="1"/>
      <c r="CV253" s="1"/>
      <c r="CW253" s="1"/>
    </row>
    <row r="254" spans="2:101" ht="15" hidden="1" customHeight="1" x14ac:dyDescent="0.25"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30"/>
      <c r="AQ254" s="30"/>
      <c r="AR254" s="30"/>
      <c r="AS254" s="30"/>
      <c r="AT254" s="30"/>
      <c r="AU254" s="30"/>
      <c r="AV254" s="30"/>
      <c r="AW254" s="30"/>
      <c r="AX254" s="30"/>
      <c r="AY254" s="30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30"/>
      <c r="BK254" s="30"/>
      <c r="BL254" s="30"/>
      <c r="BM254" s="30"/>
      <c r="BN254" s="30"/>
      <c r="BO254" s="30"/>
      <c r="BP254" s="30"/>
      <c r="BQ254" s="30"/>
      <c r="BR254" s="30"/>
      <c r="BS254" s="30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1"/>
      <c r="CO254" s="1"/>
      <c r="CP254" s="1"/>
      <c r="CQ254" s="1"/>
      <c r="CR254" s="1"/>
      <c r="CS254" s="1"/>
      <c r="CT254" s="1"/>
      <c r="CU254" s="1"/>
      <c r="CV254" s="1"/>
      <c r="CW254" s="1"/>
    </row>
    <row r="255" spans="2:101" ht="15" hidden="1" customHeight="1" x14ac:dyDescent="0.25"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30"/>
      <c r="AQ255" s="30"/>
      <c r="AR255" s="30"/>
      <c r="AS255" s="30"/>
      <c r="AT255" s="30"/>
      <c r="AU255" s="30"/>
      <c r="AV255" s="30"/>
      <c r="AW255" s="30"/>
      <c r="AX255" s="30"/>
      <c r="AY255" s="30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30"/>
      <c r="BK255" s="30"/>
      <c r="BL255" s="30"/>
      <c r="BM255" s="30"/>
      <c r="BN255" s="30"/>
      <c r="BO255" s="30"/>
      <c r="BP255" s="30"/>
      <c r="BQ255" s="30"/>
      <c r="BR255" s="30"/>
      <c r="BS255" s="30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1"/>
      <c r="CO255" s="1"/>
      <c r="CP255" s="1"/>
      <c r="CQ255" s="1"/>
      <c r="CR255" s="1"/>
      <c r="CS255" s="1"/>
      <c r="CT255" s="1"/>
      <c r="CU255" s="1"/>
      <c r="CV255" s="1"/>
      <c r="CW255" s="1"/>
    </row>
    <row r="256" spans="2:101" ht="15" hidden="1" customHeight="1" x14ac:dyDescent="0.25"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30"/>
      <c r="AQ256" s="30"/>
      <c r="AR256" s="30"/>
      <c r="AS256" s="30"/>
      <c r="AT256" s="30"/>
      <c r="AU256" s="30"/>
      <c r="AV256" s="30"/>
      <c r="AW256" s="30"/>
      <c r="AX256" s="30"/>
      <c r="AY256" s="30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30"/>
      <c r="BK256" s="30"/>
      <c r="BL256" s="30"/>
      <c r="BM256" s="30"/>
      <c r="BN256" s="30"/>
      <c r="BO256" s="30"/>
      <c r="BP256" s="30"/>
      <c r="BQ256" s="30"/>
      <c r="BR256" s="30"/>
      <c r="BS256" s="30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1"/>
      <c r="CO256" s="1"/>
      <c r="CP256" s="1"/>
      <c r="CQ256" s="1"/>
      <c r="CR256" s="1"/>
      <c r="CS256" s="1"/>
      <c r="CT256" s="1"/>
      <c r="CU256" s="1"/>
      <c r="CV256" s="1"/>
      <c r="CW256" s="1"/>
    </row>
    <row r="257" spans="2:101" ht="15" hidden="1" customHeight="1" x14ac:dyDescent="0.25"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30"/>
      <c r="AQ257" s="30"/>
      <c r="AR257" s="30"/>
      <c r="AS257" s="30"/>
      <c r="AT257" s="30"/>
      <c r="AU257" s="30"/>
      <c r="AV257" s="30"/>
      <c r="AW257" s="30"/>
      <c r="AX257" s="30"/>
      <c r="AY257" s="30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30"/>
      <c r="BK257" s="30"/>
      <c r="BL257" s="30"/>
      <c r="BM257" s="30"/>
      <c r="BN257" s="30"/>
      <c r="BO257" s="30"/>
      <c r="BP257" s="30"/>
      <c r="BQ257" s="30"/>
      <c r="BR257" s="30"/>
      <c r="BS257" s="30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1"/>
      <c r="CO257" s="1"/>
      <c r="CP257" s="1"/>
      <c r="CQ257" s="1"/>
      <c r="CR257" s="1"/>
      <c r="CS257" s="1"/>
      <c r="CT257" s="1"/>
      <c r="CU257" s="1"/>
      <c r="CV257" s="1"/>
      <c r="CW257" s="1"/>
    </row>
    <row r="258" spans="2:101" ht="15" hidden="1" customHeight="1" x14ac:dyDescent="0.25"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30"/>
      <c r="AQ258" s="30"/>
      <c r="AR258" s="30"/>
      <c r="AS258" s="30"/>
      <c r="AT258" s="30"/>
      <c r="AU258" s="30"/>
      <c r="AV258" s="30"/>
      <c r="AW258" s="30"/>
      <c r="AX258" s="30"/>
      <c r="AY258" s="30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30"/>
      <c r="BK258" s="30"/>
      <c r="BL258" s="30"/>
      <c r="BM258" s="30"/>
      <c r="BN258" s="30"/>
      <c r="BO258" s="30"/>
      <c r="BP258" s="30"/>
      <c r="BQ258" s="30"/>
      <c r="BR258" s="30"/>
      <c r="BS258" s="30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1"/>
      <c r="CO258" s="1"/>
      <c r="CP258" s="1"/>
      <c r="CQ258" s="1"/>
      <c r="CR258" s="1"/>
      <c r="CS258" s="1"/>
      <c r="CT258" s="1"/>
      <c r="CU258" s="1"/>
      <c r="CV258" s="1"/>
      <c r="CW258" s="1"/>
    </row>
    <row r="259" spans="2:101" ht="15" hidden="1" customHeight="1" x14ac:dyDescent="0.25"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30"/>
      <c r="AQ259" s="30"/>
      <c r="AR259" s="30"/>
      <c r="AS259" s="30"/>
      <c r="AT259" s="30"/>
      <c r="AU259" s="30"/>
      <c r="AV259" s="30"/>
      <c r="AW259" s="30"/>
      <c r="AX259" s="30"/>
      <c r="AY259" s="30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30"/>
      <c r="BK259" s="30"/>
      <c r="BL259" s="30"/>
      <c r="BM259" s="30"/>
      <c r="BN259" s="30"/>
      <c r="BO259" s="30"/>
      <c r="BP259" s="30"/>
      <c r="BQ259" s="30"/>
      <c r="BR259" s="30"/>
      <c r="BS259" s="30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1"/>
      <c r="CO259" s="1"/>
      <c r="CP259" s="1"/>
      <c r="CQ259" s="1"/>
      <c r="CR259" s="1"/>
      <c r="CS259" s="1"/>
      <c r="CT259" s="1"/>
      <c r="CU259" s="1"/>
      <c r="CV259" s="1"/>
      <c r="CW259" s="1"/>
    </row>
    <row r="260" spans="2:101" ht="15" hidden="1" customHeight="1" x14ac:dyDescent="0.25"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30"/>
      <c r="AQ260" s="30"/>
      <c r="AR260" s="30"/>
      <c r="AS260" s="30"/>
      <c r="AT260" s="30"/>
      <c r="AU260" s="30"/>
      <c r="AV260" s="30"/>
      <c r="AW260" s="30"/>
      <c r="AX260" s="30"/>
      <c r="AY260" s="30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30"/>
      <c r="BK260" s="30"/>
      <c r="BL260" s="30"/>
      <c r="BM260" s="30"/>
      <c r="BN260" s="30"/>
      <c r="BO260" s="30"/>
      <c r="BP260" s="30"/>
      <c r="BQ260" s="30"/>
      <c r="BR260" s="30"/>
      <c r="BS260" s="30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1"/>
      <c r="CO260" s="1"/>
      <c r="CP260" s="1"/>
      <c r="CQ260" s="1"/>
      <c r="CR260" s="1"/>
      <c r="CS260" s="1"/>
      <c r="CT260" s="1"/>
      <c r="CU260" s="1"/>
      <c r="CV260" s="1"/>
      <c r="CW260" s="1"/>
    </row>
    <row r="261" spans="2:101" ht="15" hidden="1" customHeight="1" x14ac:dyDescent="0.25"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30"/>
      <c r="AQ261" s="30"/>
      <c r="AR261" s="30"/>
      <c r="AS261" s="30"/>
      <c r="AT261" s="30"/>
      <c r="AU261" s="30"/>
      <c r="AV261" s="30"/>
      <c r="AW261" s="30"/>
      <c r="AX261" s="30"/>
      <c r="AY261" s="30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30"/>
      <c r="BK261" s="30"/>
      <c r="BL261" s="30"/>
      <c r="BM261" s="30"/>
      <c r="BN261" s="30"/>
      <c r="BO261" s="30"/>
      <c r="BP261" s="30"/>
      <c r="BQ261" s="30"/>
      <c r="BR261" s="30"/>
      <c r="BS261" s="30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1"/>
      <c r="CO261" s="1"/>
      <c r="CP261" s="1"/>
      <c r="CQ261" s="1"/>
      <c r="CR261" s="1"/>
      <c r="CS261" s="1"/>
      <c r="CT261" s="1"/>
      <c r="CU261" s="1"/>
      <c r="CV261" s="1"/>
      <c r="CW261" s="1"/>
    </row>
    <row r="262" spans="2:101" ht="15" hidden="1" customHeight="1" x14ac:dyDescent="0.25"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30"/>
      <c r="AQ262" s="30"/>
      <c r="AR262" s="30"/>
      <c r="AS262" s="30"/>
      <c r="AT262" s="30"/>
      <c r="AU262" s="30"/>
      <c r="AV262" s="30"/>
      <c r="AW262" s="30"/>
      <c r="AX262" s="30"/>
      <c r="AY262" s="30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30"/>
      <c r="BK262" s="30"/>
      <c r="BL262" s="30"/>
      <c r="BM262" s="30"/>
      <c r="BN262" s="30"/>
      <c r="BO262" s="30"/>
      <c r="BP262" s="30"/>
      <c r="BQ262" s="30"/>
      <c r="BR262" s="30"/>
      <c r="BS262" s="30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1"/>
      <c r="CO262" s="1"/>
      <c r="CP262" s="1"/>
      <c r="CQ262" s="1"/>
      <c r="CR262" s="1"/>
      <c r="CS262" s="1"/>
      <c r="CT262" s="1"/>
      <c r="CU262" s="1"/>
      <c r="CV262" s="1"/>
      <c r="CW262" s="1"/>
    </row>
    <row r="263" spans="2:101" ht="15" hidden="1" customHeight="1" x14ac:dyDescent="0.25"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30"/>
      <c r="AQ263" s="30"/>
      <c r="AR263" s="30"/>
      <c r="AS263" s="30"/>
      <c r="AT263" s="30"/>
      <c r="AU263" s="30"/>
      <c r="AV263" s="30"/>
      <c r="AW263" s="30"/>
      <c r="AX263" s="30"/>
      <c r="AY263" s="30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30"/>
      <c r="BK263" s="30"/>
      <c r="BL263" s="30"/>
      <c r="BM263" s="30"/>
      <c r="BN263" s="30"/>
      <c r="BO263" s="30"/>
      <c r="BP263" s="30"/>
      <c r="BQ263" s="30"/>
      <c r="BR263" s="30"/>
      <c r="BS263" s="30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1"/>
      <c r="CO263" s="1"/>
      <c r="CP263" s="1"/>
      <c r="CQ263" s="1"/>
      <c r="CR263" s="1"/>
      <c r="CS263" s="1"/>
      <c r="CT263" s="1"/>
      <c r="CU263" s="1"/>
      <c r="CV263" s="1"/>
      <c r="CW263" s="1"/>
    </row>
    <row r="264" spans="2:101" ht="15" hidden="1" customHeight="1" x14ac:dyDescent="0.25"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30"/>
      <c r="AQ264" s="30"/>
      <c r="AR264" s="30"/>
      <c r="AS264" s="30"/>
      <c r="AT264" s="30"/>
      <c r="AU264" s="30"/>
      <c r="AV264" s="30"/>
      <c r="AW264" s="30"/>
      <c r="AX264" s="30"/>
      <c r="AY264" s="30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30"/>
      <c r="BK264" s="30"/>
      <c r="BL264" s="30"/>
      <c r="BM264" s="30"/>
      <c r="BN264" s="30"/>
      <c r="BO264" s="30"/>
      <c r="BP264" s="30"/>
      <c r="BQ264" s="30"/>
      <c r="BR264" s="30"/>
      <c r="BS264" s="30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1"/>
      <c r="CO264" s="1"/>
      <c r="CP264" s="1"/>
      <c r="CQ264" s="1"/>
      <c r="CR264" s="1"/>
      <c r="CS264" s="1"/>
      <c r="CT264" s="1"/>
      <c r="CU264" s="1"/>
      <c r="CV264" s="1"/>
      <c r="CW264" s="1"/>
    </row>
    <row r="265" spans="2:101" ht="15" hidden="1" customHeight="1" x14ac:dyDescent="0.25"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30"/>
      <c r="AQ265" s="30"/>
      <c r="AR265" s="30"/>
      <c r="AS265" s="30"/>
      <c r="AT265" s="30"/>
      <c r="AU265" s="30"/>
      <c r="AV265" s="30"/>
      <c r="AW265" s="30"/>
      <c r="AX265" s="30"/>
      <c r="AY265" s="30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30"/>
      <c r="BK265" s="30"/>
      <c r="BL265" s="30"/>
      <c r="BM265" s="30"/>
      <c r="BN265" s="30"/>
      <c r="BO265" s="30"/>
      <c r="BP265" s="30"/>
      <c r="BQ265" s="30"/>
      <c r="BR265" s="30"/>
      <c r="BS265" s="30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1"/>
      <c r="CO265" s="1"/>
      <c r="CP265" s="1"/>
      <c r="CQ265" s="1"/>
      <c r="CR265" s="1"/>
      <c r="CS265" s="1"/>
      <c r="CT265" s="1"/>
      <c r="CU265" s="1"/>
      <c r="CV265" s="1"/>
      <c r="CW265" s="1"/>
    </row>
    <row r="266" spans="2:101" ht="15" hidden="1" customHeight="1" x14ac:dyDescent="0.25"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30"/>
      <c r="AQ266" s="30"/>
      <c r="AR266" s="30"/>
      <c r="AS266" s="30"/>
      <c r="AT266" s="30"/>
      <c r="AU266" s="30"/>
      <c r="AV266" s="30"/>
      <c r="AW266" s="30"/>
      <c r="AX266" s="30"/>
      <c r="AY266" s="30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30"/>
      <c r="BK266" s="30"/>
      <c r="BL266" s="30"/>
      <c r="BM266" s="30"/>
      <c r="BN266" s="30"/>
      <c r="BO266" s="30"/>
      <c r="BP266" s="30"/>
      <c r="BQ266" s="30"/>
      <c r="BR266" s="30"/>
      <c r="BS266" s="30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1"/>
      <c r="CO266" s="1"/>
      <c r="CP266" s="1"/>
      <c r="CQ266" s="1"/>
      <c r="CR266" s="1"/>
      <c r="CS266" s="1"/>
      <c r="CT266" s="1"/>
      <c r="CU266" s="1"/>
      <c r="CV266" s="1"/>
      <c r="CW266" s="1"/>
    </row>
    <row r="267" spans="2:101" ht="15" hidden="1" customHeight="1" x14ac:dyDescent="0.25"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30"/>
      <c r="AQ267" s="30"/>
      <c r="AR267" s="30"/>
      <c r="AS267" s="30"/>
      <c r="AT267" s="30"/>
      <c r="AU267" s="30"/>
      <c r="AV267" s="30"/>
      <c r="AW267" s="30"/>
      <c r="AX267" s="30"/>
      <c r="AY267" s="30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30"/>
      <c r="BK267" s="30"/>
      <c r="BL267" s="30"/>
      <c r="BM267" s="30"/>
      <c r="BN267" s="30"/>
      <c r="BO267" s="30"/>
      <c r="BP267" s="30"/>
      <c r="BQ267" s="30"/>
      <c r="BR267" s="30"/>
      <c r="BS267" s="30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1"/>
      <c r="CO267" s="1"/>
      <c r="CP267" s="1"/>
      <c r="CQ267" s="1"/>
      <c r="CR267" s="1"/>
      <c r="CS267" s="1"/>
      <c r="CT267" s="1"/>
      <c r="CU267" s="1"/>
      <c r="CV267" s="1"/>
      <c r="CW267" s="1"/>
    </row>
    <row r="268" spans="2:101" ht="15" hidden="1" customHeight="1" x14ac:dyDescent="0.25"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30"/>
      <c r="AQ268" s="30"/>
      <c r="AR268" s="30"/>
      <c r="AS268" s="30"/>
      <c r="AT268" s="30"/>
      <c r="AU268" s="30"/>
      <c r="AV268" s="30"/>
      <c r="AW268" s="30"/>
      <c r="AX268" s="30"/>
      <c r="AY268" s="30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30"/>
      <c r="BK268" s="30"/>
      <c r="BL268" s="30"/>
      <c r="BM268" s="30"/>
      <c r="BN268" s="30"/>
      <c r="BO268" s="30"/>
      <c r="BP268" s="30"/>
      <c r="BQ268" s="30"/>
      <c r="BR268" s="30"/>
      <c r="BS268" s="30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1"/>
      <c r="CO268" s="1"/>
      <c r="CP268" s="1"/>
      <c r="CQ268" s="1"/>
      <c r="CR268" s="1"/>
      <c r="CS268" s="1"/>
      <c r="CT268" s="1"/>
      <c r="CU268" s="1"/>
      <c r="CV268" s="1"/>
      <c r="CW268" s="1"/>
    </row>
    <row r="269" spans="2:101" ht="15" hidden="1" customHeight="1" x14ac:dyDescent="0.25"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30"/>
      <c r="AQ269" s="30"/>
      <c r="AR269" s="30"/>
      <c r="AS269" s="30"/>
      <c r="AT269" s="30"/>
      <c r="AU269" s="30"/>
      <c r="AV269" s="30"/>
      <c r="AW269" s="30"/>
      <c r="AX269" s="30"/>
      <c r="AY269" s="30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30"/>
      <c r="BK269" s="30"/>
      <c r="BL269" s="30"/>
      <c r="BM269" s="30"/>
      <c r="BN269" s="30"/>
      <c r="BO269" s="30"/>
      <c r="BP269" s="30"/>
      <c r="BQ269" s="30"/>
      <c r="BR269" s="30"/>
      <c r="BS269" s="30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1"/>
      <c r="CO269" s="1"/>
      <c r="CP269" s="1"/>
      <c r="CQ269" s="1"/>
      <c r="CR269" s="1"/>
      <c r="CS269" s="1"/>
      <c r="CT269" s="1"/>
      <c r="CU269" s="1"/>
      <c r="CV269" s="1"/>
      <c r="CW269" s="1"/>
    </row>
    <row r="270" spans="2:101" ht="15" hidden="1" customHeight="1" x14ac:dyDescent="0.25"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30"/>
      <c r="AQ270" s="30"/>
      <c r="AR270" s="30"/>
      <c r="AS270" s="30"/>
      <c r="AT270" s="30"/>
      <c r="AU270" s="30"/>
      <c r="AV270" s="30"/>
      <c r="AW270" s="30"/>
      <c r="AX270" s="30"/>
      <c r="AY270" s="30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30"/>
      <c r="BK270" s="30"/>
      <c r="BL270" s="30"/>
      <c r="BM270" s="30"/>
      <c r="BN270" s="30"/>
      <c r="BO270" s="30"/>
      <c r="BP270" s="30"/>
      <c r="BQ270" s="30"/>
      <c r="BR270" s="30"/>
      <c r="BS270" s="30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1"/>
      <c r="CO270" s="1"/>
      <c r="CP270" s="1"/>
      <c r="CQ270" s="1"/>
      <c r="CR270" s="1"/>
      <c r="CS270" s="1"/>
      <c r="CT270" s="1"/>
      <c r="CU270" s="1"/>
      <c r="CV270" s="1"/>
      <c r="CW270" s="1"/>
    </row>
    <row r="271" spans="2:101" ht="15" hidden="1" customHeight="1" x14ac:dyDescent="0.25"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30"/>
      <c r="AQ271" s="30"/>
      <c r="AR271" s="30"/>
      <c r="AS271" s="30"/>
      <c r="AT271" s="30"/>
      <c r="AU271" s="30"/>
      <c r="AV271" s="30"/>
      <c r="AW271" s="30"/>
      <c r="AX271" s="30"/>
      <c r="AY271" s="30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30"/>
      <c r="BK271" s="30"/>
      <c r="BL271" s="30"/>
      <c r="BM271" s="30"/>
      <c r="BN271" s="30"/>
      <c r="BO271" s="30"/>
      <c r="BP271" s="30"/>
      <c r="BQ271" s="30"/>
      <c r="BR271" s="30"/>
      <c r="BS271" s="30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1"/>
      <c r="CO271" s="1"/>
      <c r="CP271" s="1"/>
      <c r="CQ271" s="1"/>
      <c r="CR271" s="1"/>
      <c r="CS271" s="1"/>
      <c r="CT271" s="1"/>
      <c r="CU271" s="1"/>
      <c r="CV271" s="1"/>
      <c r="CW271" s="1"/>
    </row>
    <row r="272" spans="2:101" ht="15" hidden="1" customHeight="1" x14ac:dyDescent="0.25"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30"/>
      <c r="AQ272" s="30"/>
      <c r="AR272" s="30"/>
      <c r="AS272" s="30"/>
      <c r="AT272" s="30"/>
      <c r="AU272" s="30"/>
      <c r="AV272" s="30"/>
      <c r="AW272" s="30"/>
      <c r="AX272" s="30"/>
      <c r="AY272" s="30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30"/>
      <c r="BK272" s="30"/>
      <c r="BL272" s="30"/>
      <c r="BM272" s="30"/>
      <c r="BN272" s="30"/>
      <c r="BO272" s="30"/>
      <c r="BP272" s="30"/>
      <c r="BQ272" s="30"/>
      <c r="BR272" s="30"/>
      <c r="BS272" s="30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1"/>
      <c r="CO272" s="1"/>
      <c r="CP272" s="1"/>
      <c r="CQ272" s="1"/>
      <c r="CR272" s="1"/>
      <c r="CS272" s="1"/>
      <c r="CT272" s="1"/>
      <c r="CU272" s="1"/>
      <c r="CV272" s="1"/>
      <c r="CW272" s="1"/>
    </row>
    <row r="273" spans="2:101" ht="15" hidden="1" customHeight="1" x14ac:dyDescent="0.25"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30"/>
      <c r="AQ273" s="30"/>
      <c r="AR273" s="30"/>
      <c r="AS273" s="30"/>
      <c r="AT273" s="30"/>
      <c r="AU273" s="30"/>
      <c r="AV273" s="30"/>
      <c r="AW273" s="30"/>
      <c r="AX273" s="30"/>
      <c r="AY273" s="30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30"/>
      <c r="BK273" s="30"/>
      <c r="BL273" s="30"/>
      <c r="BM273" s="30"/>
      <c r="BN273" s="30"/>
      <c r="BO273" s="30"/>
      <c r="BP273" s="30"/>
      <c r="BQ273" s="30"/>
      <c r="BR273" s="30"/>
      <c r="BS273" s="30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1"/>
      <c r="CO273" s="1"/>
      <c r="CP273" s="1"/>
      <c r="CQ273" s="1"/>
      <c r="CR273" s="1"/>
      <c r="CS273" s="1"/>
      <c r="CT273" s="1"/>
      <c r="CU273" s="1"/>
      <c r="CV273" s="1"/>
      <c r="CW273" s="1"/>
    </row>
    <row r="274" spans="2:101" ht="15" hidden="1" customHeight="1" x14ac:dyDescent="0.25"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30"/>
      <c r="AQ274" s="30"/>
      <c r="AR274" s="30"/>
      <c r="AS274" s="30"/>
      <c r="AT274" s="30"/>
      <c r="AU274" s="30"/>
      <c r="AV274" s="30"/>
      <c r="AW274" s="30"/>
      <c r="AX274" s="30"/>
      <c r="AY274" s="30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30"/>
      <c r="BK274" s="30"/>
      <c r="BL274" s="30"/>
      <c r="BM274" s="30"/>
      <c r="BN274" s="30"/>
      <c r="BO274" s="30"/>
      <c r="BP274" s="30"/>
      <c r="BQ274" s="30"/>
      <c r="BR274" s="30"/>
      <c r="BS274" s="30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1"/>
      <c r="CO274" s="1"/>
      <c r="CP274" s="1"/>
      <c r="CQ274" s="1"/>
      <c r="CR274" s="1"/>
      <c r="CS274" s="1"/>
      <c r="CT274" s="1"/>
      <c r="CU274" s="1"/>
      <c r="CV274" s="1"/>
      <c r="CW274" s="1"/>
    </row>
    <row r="275" spans="2:101" ht="15" hidden="1" customHeight="1" x14ac:dyDescent="0.25"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30"/>
      <c r="AQ275" s="30"/>
      <c r="AR275" s="30"/>
      <c r="AS275" s="30"/>
      <c r="AT275" s="30"/>
      <c r="AU275" s="30"/>
      <c r="AV275" s="30"/>
      <c r="AW275" s="30"/>
      <c r="AX275" s="30"/>
      <c r="AY275" s="30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30"/>
      <c r="BK275" s="30"/>
      <c r="BL275" s="30"/>
      <c r="BM275" s="30"/>
      <c r="BN275" s="30"/>
      <c r="BO275" s="30"/>
      <c r="BP275" s="30"/>
      <c r="BQ275" s="30"/>
      <c r="BR275" s="30"/>
      <c r="BS275" s="30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1"/>
      <c r="CO275" s="1"/>
      <c r="CP275" s="1"/>
      <c r="CQ275" s="1"/>
      <c r="CR275" s="1"/>
      <c r="CS275" s="1"/>
      <c r="CT275" s="1"/>
      <c r="CU275" s="1"/>
      <c r="CV275" s="1"/>
      <c r="CW275" s="1"/>
    </row>
    <row r="276" spans="2:101" ht="15" hidden="1" customHeight="1" x14ac:dyDescent="0.25"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30"/>
      <c r="AQ276" s="30"/>
      <c r="AR276" s="30"/>
      <c r="AS276" s="30"/>
      <c r="AT276" s="30"/>
      <c r="AU276" s="30"/>
      <c r="AV276" s="30"/>
      <c r="AW276" s="30"/>
      <c r="AX276" s="30"/>
      <c r="AY276" s="30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30"/>
      <c r="BK276" s="30"/>
      <c r="BL276" s="30"/>
      <c r="BM276" s="30"/>
      <c r="BN276" s="30"/>
      <c r="BO276" s="30"/>
      <c r="BP276" s="30"/>
      <c r="BQ276" s="30"/>
      <c r="BR276" s="30"/>
      <c r="BS276" s="30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1"/>
      <c r="CO276" s="1"/>
      <c r="CP276" s="1"/>
      <c r="CQ276" s="1"/>
      <c r="CR276" s="1"/>
      <c r="CS276" s="1"/>
      <c r="CT276" s="1"/>
      <c r="CU276" s="1"/>
      <c r="CV276" s="1"/>
      <c r="CW276" s="1"/>
    </row>
    <row r="277" spans="2:101" ht="15" hidden="1" customHeight="1" x14ac:dyDescent="0.25"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30"/>
      <c r="AQ277" s="30"/>
      <c r="AR277" s="30"/>
      <c r="AS277" s="30"/>
      <c r="AT277" s="30"/>
      <c r="AU277" s="30"/>
      <c r="AV277" s="30"/>
      <c r="AW277" s="30"/>
      <c r="AX277" s="30"/>
      <c r="AY277" s="30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30"/>
      <c r="BK277" s="30"/>
      <c r="BL277" s="30"/>
      <c r="BM277" s="30"/>
      <c r="BN277" s="30"/>
      <c r="BO277" s="30"/>
      <c r="BP277" s="30"/>
      <c r="BQ277" s="30"/>
      <c r="BR277" s="30"/>
      <c r="BS277" s="30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1"/>
      <c r="CO277" s="1"/>
      <c r="CP277" s="1"/>
      <c r="CQ277" s="1"/>
      <c r="CR277" s="1"/>
      <c r="CS277" s="1"/>
      <c r="CT277" s="1"/>
      <c r="CU277" s="1"/>
      <c r="CV277" s="1"/>
      <c r="CW277" s="1"/>
    </row>
    <row r="278" spans="2:101" ht="15" hidden="1" customHeight="1" x14ac:dyDescent="0.25"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1"/>
      <c r="CO278" s="1"/>
      <c r="CP278" s="1"/>
      <c r="CQ278" s="1"/>
      <c r="CR278" s="1"/>
      <c r="CS278" s="1"/>
      <c r="CT278" s="1"/>
      <c r="CU278" s="1"/>
      <c r="CV278" s="1"/>
      <c r="CW278" s="1"/>
    </row>
    <row r="279" spans="2:101" ht="15" hidden="1" customHeight="1" x14ac:dyDescent="0.25"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30"/>
      <c r="AQ279" s="30"/>
      <c r="AR279" s="30"/>
      <c r="AS279" s="30"/>
      <c r="AT279" s="30"/>
      <c r="AU279" s="30"/>
      <c r="AV279" s="30"/>
      <c r="AW279" s="30"/>
      <c r="AX279" s="30"/>
      <c r="AY279" s="30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1"/>
      <c r="CO279" s="1"/>
      <c r="CP279" s="1"/>
      <c r="CQ279" s="1"/>
      <c r="CR279" s="1"/>
      <c r="CS279" s="1"/>
      <c r="CT279" s="1"/>
      <c r="CU279" s="1"/>
      <c r="CV279" s="1"/>
      <c r="CW279" s="1"/>
    </row>
    <row r="280" spans="2:101" ht="15" hidden="1" customHeight="1" x14ac:dyDescent="0.25"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30"/>
      <c r="AQ280" s="30"/>
      <c r="AR280" s="30"/>
      <c r="AS280" s="30"/>
      <c r="AT280" s="30"/>
      <c r="AU280" s="30"/>
      <c r="AV280" s="30"/>
      <c r="AW280" s="30"/>
      <c r="AX280" s="30"/>
      <c r="AY280" s="30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1"/>
      <c r="CO280" s="1"/>
      <c r="CP280" s="1"/>
      <c r="CQ280" s="1"/>
      <c r="CR280" s="1"/>
      <c r="CS280" s="1"/>
      <c r="CT280" s="1"/>
      <c r="CU280" s="1"/>
      <c r="CV280" s="1"/>
      <c r="CW280" s="1"/>
    </row>
    <row r="281" spans="2:101" ht="15" hidden="1" customHeight="1" x14ac:dyDescent="0.25"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30"/>
      <c r="AQ281" s="30"/>
      <c r="AR281" s="30"/>
      <c r="AS281" s="30"/>
      <c r="AT281" s="30"/>
      <c r="AU281" s="30"/>
      <c r="AV281" s="30"/>
      <c r="AW281" s="30"/>
      <c r="AX281" s="30"/>
      <c r="AY281" s="30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1"/>
      <c r="CO281" s="1"/>
      <c r="CP281" s="1"/>
      <c r="CQ281" s="1"/>
      <c r="CR281" s="1"/>
      <c r="CS281" s="1"/>
      <c r="CT281" s="1"/>
      <c r="CU281" s="1"/>
      <c r="CV281" s="1"/>
      <c r="CW281" s="1"/>
    </row>
    <row r="282" spans="2:101" ht="15" hidden="1" customHeight="1" x14ac:dyDescent="0.25"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30"/>
      <c r="AQ282" s="30"/>
      <c r="AR282" s="30"/>
      <c r="AS282" s="30"/>
      <c r="AT282" s="30"/>
      <c r="AU282" s="30"/>
      <c r="AV282" s="30"/>
      <c r="AW282" s="30"/>
      <c r="AX282" s="30"/>
      <c r="AY282" s="30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1"/>
      <c r="CO282" s="1"/>
      <c r="CP282" s="1"/>
      <c r="CQ282" s="1"/>
      <c r="CR282" s="1"/>
      <c r="CS282" s="1"/>
      <c r="CT282" s="1"/>
      <c r="CU282" s="1"/>
      <c r="CV282" s="1"/>
      <c r="CW282" s="1"/>
    </row>
    <row r="283" spans="2:101" ht="15" hidden="1" customHeight="1" x14ac:dyDescent="0.25"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30"/>
      <c r="AQ283" s="30"/>
      <c r="AR283" s="30"/>
      <c r="AS283" s="30"/>
      <c r="AT283" s="30"/>
      <c r="AU283" s="30"/>
      <c r="AV283" s="30"/>
      <c r="AW283" s="30"/>
      <c r="AX283" s="30"/>
      <c r="AY283" s="30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1"/>
      <c r="CO283" s="1"/>
      <c r="CP283" s="1"/>
      <c r="CQ283" s="1"/>
      <c r="CR283" s="1"/>
      <c r="CS283" s="1"/>
      <c r="CT283" s="1"/>
      <c r="CU283" s="1"/>
      <c r="CV283" s="1"/>
      <c r="CW283" s="1"/>
    </row>
    <row r="284" spans="2:101" ht="15" hidden="1" customHeight="1" x14ac:dyDescent="0.25"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1"/>
      <c r="CO284" s="1"/>
      <c r="CP284" s="1"/>
      <c r="CQ284" s="1"/>
      <c r="CR284" s="1"/>
      <c r="CS284" s="1"/>
      <c r="CT284" s="1"/>
      <c r="CU284" s="1"/>
      <c r="CV284" s="1"/>
      <c r="CW284" s="1"/>
    </row>
    <row r="285" spans="2:101" ht="15" hidden="1" customHeight="1" x14ac:dyDescent="0.25"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30"/>
      <c r="AQ285" s="30"/>
      <c r="AR285" s="30"/>
      <c r="AS285" s="30"/>
      <c r="AT285" s="30"/>
      <c r="AU285" s="30"/>
      <c r="AV285" s="30"/>
      <c r="AW285" s="30"/>
      <c r="AX285" s="30"/>
      <c r="AY285" s="30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1"/>
      <c r="CO285" s="1"/>
      <c r="CP285" s="1"/>
      <c r="CQ285" s="1"/>
      <c r="CR285" s="1"/>
      <c r="CS285" s="1"/>
      <c r="CT285" s="1"/>
      <c r="CU285" s="1"/>
      <c r="CV285" s="1"/>
      <c r="CW285" s="1"/>
    </row>
    <row r="286" spans="2:101" ht="15" hidden="1" customHeight="1" x14ac:dyDescent="0.25"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30"/>
      <c r="AQ286" s="30"/>
      <c r="AR286" s="30"/>
      <c r="AS286" s="30"/>
      <c r="AT286" s="30"/>
      <c r="AU286" s="30"/>
      <c r="AV286" s="30"/>
      <c r="AW286" s="30"/>
      <c r="AX286" s="30"/>
      <c r="AY286" s="30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30"/>
      <c r="BK286" s="30"/>
      <c r="BL286" s="30"/>
      <c r="BM286" s="30"/>
      <c r="BN286" s="30"/>
      <c r="BO286" s="30"/>
      <c r="BP286" s="30"/>
      <c r="BQ286" s="30"/>
      <c r="BR286" s="30"/>
      <c r="BS286" s="30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1"/>
      <c r="CO286" s="1"/>
      <c r="CP286" s="1"/>
      <c r="CQ286" s="1"/>
      <c r="CR286" s="1"/>
      <c r="CS286" s="1"/>
      <c r="CT286" s="1"/>
      <c r="CU286" s="1"/>
      <c r="CV286" s="1"/>
      <c r="CW286" s="1"/>
    </row>
    <row r="287" spans="2:101" ht="15" hidden="1" customHeight="1" x14ac:dyDescent="0.25"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30"/>
      <c r="AQ287" s="30"/>
      <c r="AR287" s="30"/>
      <c r="AS287" s="30"/>
      <c r="AT287" s="30"/>
      <c r="AU287" s="30"/>
      <c r="AV287" s="30"/>
      <c r="AW287" s="30"/>
      <c r="AX287" s="30"/>
      <c r="AY287" s="30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30"/>
      <c r="BK287" s="30"/>
      <c r="BL287" s="30"/>
      <c r="BM287" s="30"/>
      <c r="BN287" s="30"/>
      <c r="BO287" s="30"/>
      <c r="BP287" s="30"/>
      <c r="BQ287" s="30"/>
      <c r="BR287" s="30"/>
      <c r="BS287" s="30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1"/>
      <c r="CO287" s="1"/>
      <c r="CP287" s="1"/>
      <c r="CQ287" s="1"/>
      <c r="CR287" s="1"/>
      <c r="CS287" s="1"/>
      <c r="CT287" s="1"/>
      <c r="CU287" s="1"/>
      <c r="CV287" s="1"/>
      <c r="CW287" s="1"/>
    </row>
    <row r="288" spans="2:101" ht="15" hidden="1" customHeight="1" x14ac:dyDescent="0.25"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30"/>
      <c r="AQ288" s="30"/>
      <c r="AR288" s="30"/>
      <c r="AS288" s="30"/>
      <c r="AT288" s="30"/>
      <c r="AU288" s="30"/>
      <c r="AV288" s="30"/>
      <c r="AW288" s="30"/>
      <c r="AX288" s="30"/>
      <c r="AY288" s="30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30"/>
      <c r="BK288" s="30"/>
      <c r="BL288" s="30"/>
      <c r="BM288" s="30"/>
      <c r="BN288" s="30"/>
      <c r="BO288" s="30"/>
      <c r="BP288" s="30"/>
      <c r="BQ288" s="30"/>
      <c r="BR288" s="30"/>
      <c r="BS288" s="30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1"/>
      <c r="CO288" s="1"/>
      <c r="CP288" s="1"/>
      <c r="CQ288" s="1"/>
      <c r="CR288" s="1"/>
      <c r="CS288" s="1"/>
      <c r="CT288" s="1"/>
      <c r="CU288" s="1"/>
      <c r="CV288" s="1"/>
      <c r="CW288" s="1"/>
    </row>
    <row r="289" spans="2:101" ht="15" hidden="1" customHeight="1" x14ac:dyDescent="0.25"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30"/>
      <c r="AQ289" s="30"/>
      <c r="AR289" s="30"/>
      <c r="AS289" s="30"/>
      <c r="AT289" s="30"/>
      <c r="AU289" s="30"/>
      <c r="AV289" s="30"/>
      <c r="AW289" s="30"/>
      <c r="AX289" s="30"/>
      <c r="AY289" s="30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30"/>
      <c r="BK289" s="30"/>
      <c r="BL289" s="30"/>
      <c r="BM289" s="30"/>
      <c r="BN289" s="30"/>
      <c r="BO289" s="30"/>
      <c r="BP289" s="30"/>
      <c r="BQ289" s="30"/>
      <c r="BR289" s="30"/>
      <c r="BS289" s="30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1"/>
      <c r="CO289" s="1"/>
      <c r="CP289" s="1"/>
      <c r="CQ289" s="1"/>
      <c r="CR289" s="1"/>
      <c r="CS289" s="1"/>
      <c r="CT289" s="1"/>
      <c r="CU289" s="1"/>
      <c r="CV289" s="1"/>
      <c r="CW289" s="1"/>
    </row>
    <row r="290" spans="2:101" ht="15" hidden="1" customHeight="1" x14ac:dyDescent="0.25"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30"/>
      <c r="AQ290" s="30"/>
      <c r="AR290" s="30"/>
      <c r="AS290" s="30"/>
      <c r="AT290" s="30"/>
      <c r="AU290" s="30"/>
      <c r="AV290" s="30"/>
      <c r="AW290" s="30"/>
      <c r="AX290" s="30"/>
      <c r="AY290" s="30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30"/>
      <c r="BK290" s="30"/>
      <c r="BL290" s="30"/>
      <c r="BM290" s="30"/>
      <c r="BN290" s="30"/>
      <c r="BO290" s="30"/>
      <c r="BP290" s="30"/>
      <c r="BQ290" s="30"/>
      <c r="BR290" s="30"/>
      <c r="BS290" s="30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1"/>
      <c r="CO290" s="1"/>
      <c r="CP290" s="1"/>
      <c r="CQ290" s="1"/>
      <c r="CR290" s="1"/>
      <c r="CS290" s="1"/>
      <c r="CT290" s="1"/>
      <c r="CU290" s="1"/>
      <c r="CV290" s="1"/>
      <c r="CW290" s="1"/>
    </row>
    <row r="291" spans="2:101" ht="15" hidden="1" customHeight="1" x14ac:dyDescent="0.25"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30"/>
      <c r="AQ291" s="30"/>
      <c r="AR291" s="30"/>
      <c r="AS291" s="30"/>
      <c r="AT291" s="30"/>
      <c r="AU291" s="30"/>
      <c r="AV291" s="30"/>
      <c r="AW291" s="30"/>
      <c r="AX291" s="30"/>
      <c r="AY291" s="30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1"/>
      <c r="CO291" s="1"/>
      <c r="CP291" s="1"/>
      <c r="CQ291" s="1"/>
      <c r="CR291" s="1"/>
      <c r="CS291" s="1"/>
      <c r="CT291" s="1"/>
      <c r="CU291" s="1"/>
      <c r="CV291" s="1"/>
      <c r="CW291" s="1"/>
    </row>
    <row r="292" spans="2:101" ht="15" hidden="1" customHeight="1" x14ac:dyDescent="0.25"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1"/>
      <c r="CO292" s="1"/>
      <c r="CP292" s="1"/>
      <c r="CQ292" s="1"/>
      <c r="CR292" s="1"/>
      <c r="CS292" s="1"/>
      <c r="CT292" s="1"/>
      <c r="CU292" s="1"/>
      <c r="CV292" s="1"/>
      <c r="CW292" s="1"/>
    </row>
    <row r="293" spans="2:101" ht="15" hidden="1" customHeight="1" x14ac:dyDescent="0.25"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1"/>
      <c r="CO293" s="1"/>
      <c r="CP293" s="1"/>
      <c r="CQ293" s="1"/>
      <c r="CR293" s="1"/>
      <c r="CS293" s="1"/>
      <c r="CT293" s="1"/>
      <c r="CU293" s="1"/>
      <c r="CV293" s="1"/>
      <c r="CW293" s="1"/>
    </row>
    <row r="294" spans="2:101" ht="15" hidden="1" customHeight="1" x14ac:dyDescent="0.25"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1"/>
      <c r="CO294" s="1"/>
      <c r="CP294" s="1"/>
      <c r="CQ294" s="1"/>
      <c r="CR294" s="1"/>
      <c r="CS294" s="1"/>
      <c r="CT294" s="1"/>
      <c r="CU294" s="1"/>
      <c r="CV294" s="1"/>
      <c r="CW294" s="1"/>
    </row>
    <row r="295" spans="2:101" ht="15" hidden="1" customHeight="1" x14ac:dyDescent="0.25"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1"/>
      <c r="CO295" s="1"/>
      <c r="CP295" s="1"/>
      <c r="CQ295" s="1"/>
      <c r="CR295" s="1"/>
      <c r="CS295" s="1"/>
      <c r="CT295" s="1"/>
      <c r="CU295" s="1"/>
      <c r="CV295" s="1"/>
      <c r="CW295" s="1"/>
    </row>
    <row r="296" spans="2:101" ht="15" hidden="1" customHeight="1" x14ac:dyDescent="0.25"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1"/>
      <c r="CO296" s="1"/>
      <c r="CP296" s="1"/>
      <c r="CQ296" s="1"/>
      <c r="CR296" s="1"/>
      <c r="CS296" s="1"/>
      <c r="CT296" s="1"/>
      <c r="CU296" s="1"/>
      <c r="CV296" s="1"/>
      <c r="CW296" s="1"/>
    </row>
    <row r="297" spans="2:101" ht="15" hidden="1" customHeight="1" x14ac:dyDescent="0.25"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1"/>
      <c r="CO297" s="1"/>
      <c r="CP297" s="1"/>
      <c r="CQ297" s="1"/>
      <c r="CR297" s="1"/>
      <c r="CS297" s="1"/>
      <c r="CT297" s="1"/>
      <c r="CU297" s="1"/>
      <c r="CV297" s="1"/>
      <c r="CW297" s="1"/>
    </row>
    <row r="298" spans="2:101" ht="15" hidden="1" customHeight="1" x14ac:dyDescent="0.25"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1"/>
      <c r="CO298" s="1"/>
      <c r="CP298" s="1"/>
      <c r="CQ298" s="1"/>
      <c r="CR298" s="1"/>
      <c r="CS298" s="1"/>
      <c r="CT298" s="1"/>
      <c r="CU298" s="1"/>
      <c r="CV298" s="1"/>
      <c r="CW298" s="1"/>
    </row>
    <row r="299" spans="2:101" ht="15" hidden="1" customHeight="1" x14ac:dyDescent="0.25"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1"/>
      <c r="CO299" s="1"/>
      <c r="CP299" s="1"/>
      <c r="CQ299" s="1"/>
      <c r="CR299" s="1"/>
      <c r="CS299" s="1"/>
      <c r="CT299" s="1"/>
      <c r="CU299" s="1"/>
      <c r="CV299" s="1"/>
      <c r="CW299" s="1"/>
    </row>
    <row r="300" spans="2:101" ht="15" hidden="1" customHeight="1" x14ac:dyDescent="0.25"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30"/>
      <c r="AQ300" s="30"/>
      <c r="AR300" s="30"/>
      <c r="AS300" s="30"/>
      <c r="AT300" s="30"/>
      <c r="AU300" s="30"/>
      <c r="AV300" s="30"/>
      <c r="AW300" s="30"/>
      <c r="AX300" s="30"/>
      <c r="AY300" s="30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30"/>
      <c r="BK300" s="30"/>
      <c r="BL300" s="30"/>
      <c r="BM300" s="30"/>
      <c r="BN300" s="30"/>
      <c r="BO300" s="30"/>
      <c r="BP300" s="30"/>
      <c r="BQ300" s="30"/>
      <c r="BR300" s="30"/>
      <c r="BS300" s="30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1"/>
      <c r="CO300" s="1"/>
      <c r="CP300" s="1"/>
      <c r="CQ300" s="1"/>
      <c r="CR300" s="1"/>
      <c r="CS300" s="1"/>
      <c r="CT300" s="1"/>
      <c r="CU300" s="1"/>
      <c r="CV300" s="1"/>
      <c r="CW300" s="1"/>
    </row>
    <row r="301" spans="2:101" ht="15" hidden="1" customHeight="1" x14ac:dyDescent="0.25"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30"/>
      <c r="AQ301" s="30"/>
      <c r="AR301" s="30"/>
      <c r="AS301" s="30"/>
      <c r="AT301" s="30"/>
      <c r="AU301" s="30"/>
      <c r="AV301" s="30"/>
      <c r="AW301" s="30"/>
      <c r="AX301" s="30"/>
      <c r="AY301" s="30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30"/>
      <c r="BK301" s="30"/>
      <c r="BL301" s="30"/>
      <c r="BM301" s="30"/>
      <c r="BN301" s="30"/>
      <c r="BO301" s="30"/>
      <c r="BP301" s="30"/>
      <c r="BQ301" s="30"/>
      <c r="BR301" s="30"/>
      <c r="BS301" s="30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1"/>
      <c r="CO301" s="1"/>
      <c r="CP301" s="1"/>
      <c r="CQ301" s="1"/>
      <c r="CR301" s="1"/>
      <c r="CS301" s="1"/>
      <c r="CT301" s="1"/>
      <c r="CU301" s="1"/>
      <c r="CV301" s="1"/>
      <c r="CW301" s="1"/>
    </row>
    <row r="302" spans="2:101" ht="15" hidden="1" customHeight="1" x14ac:dyDescent="0.25"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30"/>
      <c r="AQ302" s="30"/>
      <c r="AR302" s="30"/>
      <c r="AS302" s="30"/>
      <c r="AT302" s="30"/>
      <c r="AU302" s="30"/>
      <c r="AV302" s="30"/>
      <c r="AW302" s="30"/>
      <c r="AX302" s="30"/>
      <c r="AY302" s="30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1"/>
      <c r="CO302" s="1"/>
      <c r="CP302" s="1"/>
      <c r="CQ302" s="1"/>
      <c r="CR302" s="1"/>
      <c r="CS302" s="1"/>
      <c r="CT302" s="1"/>
      <c r="CU302" s="1"/>
      <c r="CV302" s="1"/>
      <c r="CW302" s="1"/>
    </row>
    <row r="303" spans="2:101" ht="15" hidden="1" customHeight="1" x14ac:dyDescent="0.25"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30"/>
      <c r="AQ303" s="30"/>
      <c r="AR303" s="30"/>
      <c r="AS303" s="30"/>
      <c r="AT303" s="30"/>
      <c r="AU303" s="30"/>
      <c r="AV303" s="30"/>
      <c r="AW303" s="30"/>
      <c r="AX303" s="30"/>
      <c r="AY303" s="30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1"/>
      <c r="CO303" s="1"/>
      <c r="CP303" s="1"/>
      <c r="CQ303" s="1"/>
      <c r="CR303" s="1"/>
      <c r="CS303" s="1"/>
      <c r="CT303" s="1"/>
      <c r="CU303" s="1"/>
      <c r="CV303" s="1"/>
      <c r="CW303" s="1"/>
    </row>
    <row r="304" spans="2:101" ht="15" hidden="1" customHeight="1" x14ac:dyDescent="0.25"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1"/>
      <c r="CO304" s="1"/>
      <c r="CP304" s="1"/>
      <c r="CQ304" s="1"/>
      <c r="CR304" s="1"/>
      <c r="CS304" s="1"/>
      <c r="CT304" s="1"/>
      <c r="CU304" s="1"/>
      <c r="CV304" s="1"/>
      <c r="CW304" s="1"/>
    </row>
    <row r="305" spans="2:101" ht="15" hidden="1" customHeight="1" x14ac:dyDescent="0.25"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1"/>
      <c r="CO305" s="1"/>
      <c r="CP305" s="1"/>
      <c r="CQ305" s="1"/>
      <c r="CR305" s="1"/>
      <c r="CS305" s="1"/>
      <c r="CT305" s="1"/>
      <c r="CU305" s="1"/>
      <c r="CV305" s="1"/>
      <c r="CW305" s="1"/>
    </row>
    <row r="306" spans="2:101" ht="15" hidden="1" customHeight="1" x14ac:dyDescent="0.25"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30"/>
      <c r="AQ306" s="30"/>
      <c r="AR306" s="30"/>
      <c r="AS306" s="30"/>
      <c r="AT306" s="30"/>
      <c r="AU306" s="30"/>
      <c r="AV306" s="30"/>
      <c r="AW306" s="30"/>
      <c r="AX306" s="30"/>
      <c r="AY306" s="30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1"/>
      <c r="CO306" s="1"/>
      <c r="CP306" s="1"/>
      <c r="CQ306" s="1"/>
      <c r="CR306" s="1"/>
      <c r="CS306" s="1"/>
      <c r="CT306" s="1"/>
      <c r="CU306" s="1"/>
      <c r="CV306" s="1"/>
      <c r="CW306" s="1"/>
    </row>
    <row r="307" spans="2:101" ht="15" hidden="1" customHeight="1" x14ac:dyDescent="0.25"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30"/>
      <c r="AQ307" s="30"/>
      <c r="AR307" s="30"/>
      <c r="AS307" s="30"/>
      <c r="AT307" s="30"/>
      <c r="AU307" s="30"/>
      <c r="AV307" s="30"/>
      <c r="AW307" s="30"/>
      <c r="AX307" s="30"/>
      <c r="AY307" s="30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1"/>
      <c r="CO307" s="1"/>
      <c r="CP307" s="1"/>
      <c r="CQ307" s="1"/>
      <c r="CR307" s="1"/>
      <c r="CS307" s="1"/>
      <c r="CT307" s="1"/>
      <c r="CU307" s="1"/>
      <c r="CV307" s="1"/>
      <c r="CW307" s="1"/>
    </row>
    <row r="308" spans="2:101" ht="15" hidden="1" customHeight="1" x14ac:dyDescent="0.25"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30"/>
      <c r="AQ308" s="30"/>
      <c r="AR308" s="30"/>
      <c r="AS308" s="30"/>
      <c r="AT308" s="30"/>
      <c r="AU308" s="30"/>
      <c r="AV308" s="30"/>
      <c r="AW308" s="30"/>
      <c r="AX308" s="30"/>
      <c r="AY308" s="30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1"/>
      <c r="CO308" s="1"/>
      <c r="CP308" s="1"/>
      <c r="CQ308" s="1"/>
      <c r="CR308" s="1"/>
      <c r="CS308" s="1"/>
      <c r="CT308" s="1"/>
      <c r="CU308" s="1"/>
      <c r="CV308" s="1"/>
      <c r="CW308" s="1"/>
    </row>
    <row r="309" spans="2:101" ht="15" hidden="1" customHeight="1" x14ac:dyDescent="0.25"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1"/>
      <c r="CO309" s="1"/>
      <c r="CP309" s="1"/>
      <c r="CQ309" s="1"/>
      <c r="CR309" s="1"/>
      <c r="CS309" s="1"/>
      <c r="CT309" s="1"/>
      <c r="CU309" s="1"/>
      <c r="CV309" s="1"/>
      <c r="CW309" s="1"/>
    </row>
    <row r="310" spans="2:101" ht="15" hidden="1" customHeight="1" x14ac:dyDescent="0.25"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1"/>
      <c r="CO310" s="1"/>
      <c r="CP310" s="1"/>
      <c r="CQ310" s="1"/>
      <c r="CR310" s="1"/>
      <c r="CS310" s="1"/>
      <c r="CT310" s="1"/>
      <c r="CU310" s="1"/>
      <c r="CV310" s="1"/>
      <c r="CW310" s="1"/>
    </row>
    <row r="311" spans="2:101" ht="15" hidden="1" customHeight="1" x14ac:dyDescent="0.25"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1"/>
      <c r="CO311" s="1"/>
      <c r="CP311" s="1"/>
      <c r="CQ311" s="1"/>
      <c r="CR311" s="1"/>
      <c r="CS311" s="1"/>
      <c r="CT311" s="1"/>
      <c r="CU311" s="1"/>
      <c r="CV311" s="1"/>
      <c r="CW311" s="1"/>
    </row>
    <row r="312" spans="2:101" ht="15" hidden="1" customHeight="1" x14ac:dyDescent="0.25"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30"/>
      <c r="AQ312" s="30"/>
      <c r="AR312" s="30"/>
      <c r="AS312" s="30"/>
      <c r="AT312" s="30"/>
      <c r="AU312" s="30"/>
      <c r="AV312" s="30"/>
      <c r="AW312" s="30"/>
      <c r="AX312" s="30"/>
      <c r="AY312" s="30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1"/>
      <c r="CO312" s="1"/>
      <c r="CP312" s="1"/>
      <c r="CQ312" s="1"/>
      <c r="CR312" s="1"/>
      <c r="CS312" s="1"/>
      <c r="CT312" s="1"/>
      <c r="CU312" s="1"/>
      <c r="CV312" s="1"/>
      <c r="CW312" s="1"/>
    </row>
    <row r="313" spans="2:101" ht="15" hidden="1" customHeight="1" x14ac:dyDescent="0.25"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30"/>
      <c r="AQ313" s="30"/>
      <c r="AR313" s="30"/>
      <c r="AS313" s="30"/>
      <c r="AT313" s="30"/>
      <c r="AU313" s="30"/>
      <c r="AV313" s="30"/>
      <c r="AW313" s="30"/>
      <c r="AX313" s="30"/>
      <c r="AY313" s="30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1"/>
      <c r="CO313" s="1"/>
      <c r="CP313" s="1"/>
      <c r="CQ313" s="1"/>
      <c r="CR313" s="1"/>
      <c r="CS313" s="1"/>
      <c r="CT313" s="1"/>
      <c r="CU313" s="1"/>
      <c r="CV313" s="1"/>
      <c r="CW313" s="1"/>
    </row>
    <row r="314" spans="2:101" ht="15" hidden="1" customHeight="1" x14ac:dyDescent="0.25"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30"/>
      <c r="AQ314" s="30"/>
      <c r="AR314" s="30"/>
      <c r="AS314" s="30"/>
      <c r="AT314" s="30"/>
      <c r="AU314" s="30"/>
      <c r="AV314" s="30"/>
      <c r="AW314" s="30"/>
      <c r="AX314" s="30"/>
      <c r="AY314" s="30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1"/>
      <c r="CO314" s="1"/>
      <c r="CP314" s="1"/>
      <c r="CQ314" s="1"/>
      <c r="CR314" s="1"/>
      <c r="CS314" s="1"/>
      <c r="CT314" s="1"/>
      <c r="CU314" s="1"/>
      <c r="CV314" s="1"/>
      <c r="CW314" s="1"/>
    </row>
    <row r="315" spans="2:101" ht="15" hidden="1" customHeight="1" x14ac:dyDescent="0.25"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30"/>
      <c r="AQ315" s="30"/>
      <c r="AR315" s="30"/>
      <c r="AS315" s="30"/>
      <c r="AT315" s="30"/>
      <c r="AU315" s="30"/>
      <c r="AV315" s="30"/>
      <c r="AW315" s="30"/>
      <c r="AX315" s="30"/>
      <c r="AY315" s="30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30"/>
      <c r="BK315" s="30"/>
      <c r="BL315" s="30"/>
      <c r="BM315" s="30"/>
      <c r="BN315" s="30"/>
      <c r="BO315" s="30"/>
      <c r="BP315" s="30"/>
      <c r="BQ315" s="30"/>
      <c r="BR315" s="30"/>
      <c r="BS315" s="30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1"/>
      <c r="CO315" s="1"/>
      <c r="CP315" s="1"/>
      <c r="CQ315" s="1"/>
      <c r="CR315" s="1"/>
      <c r="CS315" s="1"/>
      <c r="CT315" s="1"/>
      <c r="CU315" s="1"/>
      <c r="CV315" s="1"/>
      <c r="CW315" s="1"/>
    </row>
    <row r="316" spans="2:101" ht="15" hidden="1" customHeight="1" x14ac:dyDescent="0.25"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30"/>
      <c r="AQ316" s="30"/>
      <c r="AR316" s="30"/>
      <c r="AS316" s="30"/>
      <c r="AT316" s="30"/>
      <c r="AU316" s="30"/>
      <c r="AV316" s="30"/>
      <c r="AW316" s="30"/>
      <c r="AX316" s="30"/>
      <c r="AY316" s="30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30"/>
      <c r="BK316" s="30"/>
      <c r="BL316" s="30"/>
      <c r="BM316" s="30"/>
      <c r="BN316" s="30"/>
      <c r="BO316" s="30"/>
      <c r="BP316" s="30"/>
      <c r="BQ316" s="30"/>
      <c r="BR316" s="30"/>
      <c r="BS316" s="30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1"/>
      <c r="CO316" s="1"/>
      <c r="CP316" s="1"/>
      <c r="CQ316" s="1"/>
      <c r="CR316" s="1"/>
      <c r="CS316" s="1"/>
      <c r="CT316" s="1"/>
      <c r="CU316" s="1"/>
      <c r="CV316" s="1"/>
      <c r="CW316" s="1"/>
    </row>
    <row r="317" spans="2:101" ht="15" hidden="1" customHeight="1" x14ac:dyDescent="0.25"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30"/>
      <c r="AQ317" s="30"/>
      <c r="AR317" s="30"/>
      <c r="AS317" s="30"/>
      <c r="AT317" s="30"/>
      <c r="AU317" s="30"/>
      <c r="AV317" s="30"/>
      <c r="AW317" s="30"/>
      <c r="AX317" s="30"/>
      <c r="AY317" s="30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30"/>
      <c r="BK317" s="30"/>
      <c r="BL317" s="30"/>
      <c r="BM317" s="30"/>
      <c r="BN317" s="30"/>
      <c r="BO317" s="30"/>
      <c r="BP317" s="30"/>
      <c r="BQ317" s="30"/>
      <c r="BR317" s="30"/>
      <c r="BS317" s="30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1"/>
      <c r="CO317" s="1"/>
      <c r="CP317" s="1"/>
      <c r="CQ317" s="1"/>
      <c r="CR317" s="1"/>
      <c r="CS317" s="1"/>
      <c r="CT317" s="1"/>
      <c r="CU317" s="1"/>
      <c r="CV317" s="1"/>
      <c r="CW317" s="1"/>
    </row>
    <row r="318" spans="2:101" ht="15" hidden="1" customHeight="1" x14ac:dyDescent="0.25"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30"/>
      <c r="AQ318" s="30"/>
      <c r="AR318" s="30"/>
      <c r="AS318" s="30"/>
      <c r="AT318" s="30"/>
      <c r="AU318" s="30"/>
      <c r="AV318" s="30"/>
      <c r="AW318" s="30"/>
      <c r="AX318" s="30"/>
      <c r="AY318" s="30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30"/>
      <c r="BK318" s="30"/>
      <c r="BL318" s="30"/>
      <c r="BM318" s="30"/>
      <c r="BN318" s="30"/>
      <c r="BO318" s="30"/>
      <c r="BP318" s="30"/>
      <c r="BQ318" s="30"/>
      <c r="BR318" s="30"/>
      <c r="BS318" s="30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1"/>
      <c r="CO318" s="1"/>
      <c r="CP318" s="1"/>
      <c r="CQ318" s="1"/>
      <c r="CR318" s="1"/>
      <c r="CS318" s="1"/>
      <c r="CT318" s="1"/>
      <c r="CU318" s="1"/>
      <c r="CV318" s="1"/>
      <c r="CW318" s="1"/>
    </row>
    <row r="319" spans="2:101" ht="15" hidden="1" customHeight="1" x14ac:dyDescent="0.25"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30"/>
      <c r="AQ319" s="30"/>
      <c r="AR319" s="30"/>
      <c r="AS319" s="30"/>
      <c r="AT319" s="30"/>
      <c r="AU319" s="30"/>
      <c r="AV319" s="30"/>
      <c r="AW319" s="30"/>
      <c r="AX319" s="30"/>
      <c r="AY319" s="30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30"/>
      <c r="BK319" s="30"/>
      <c r="BL319" s="30"/>
      <c r="BM319" s="30"/>
      <c r="BN319" s="30"/>
      <c r="BO319" s="30"/>
      <c r="BP319" s="30"/>
      <c r="BQ319" s="30"/>
      <c r="BR319" s="30"/>
      <c r="BS319" s="30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1"/>
      <c r="CO319" s="1"/>
      <c r="CP319" s="1"/>
      <c r="CQ319" s="1"/>
      <c r="CR319" s="1"/>
      <c r="CS319" s="1"/>
      <c r="CT319" s="1"/>
      <c r="CU319" s="1"/>
      <c r="CV319" s="1"/>
      <c r="CW319" s="1"/>
    </row>
    <row r="320" spans="2:101" ht="15" hidden="1" customHeight="1" x14ac:dyDescent="0.25"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30"/>
      <c r="AQ320" s="30"/>
      <c r="AR320" s="30"/>
      <c r="AS320" s="30"/>
      <c r="AT320" s="30"/>
      <c r="AU320" s="30"/>
      <c r="AV320" s="30"/>
      <c r="AW320" s="30"/>
      <c r="AX320" s="30"/>
      <c r="AY320" s="30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30"/>
      <c r="BK320" s="30"/>
      <c r="BL320" s="30"/>
      <c r="BM320" s="30"/>
      <c r="BN320" s="30"/>
      <c r="BO320" s="30"/>
      <c r="BP320" s="30"/>
      <c r="BQ320" s="30"/>
      <c r="BR320" s="30"/>
      <c r="BS320" s="30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1"/>
      <c r="CO320" s="1"/>
      <c r="CP320" s="1"/>
      <c r="CQ320" s="1"/>
      <c r="CR320" s="1"/>
      <c r="CS320" s="1"/>
      <c r="CT320" s="1"/>
      <c r="CU320" s="1"/>
      <c r="CV320" s="1"/>
      <c r="CW320" s="1"/>
    </row>
    <row r="321" spans="2:101" ht="15" hidden="1" customHeight="1" x14ac:dyDescent="0.25"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30"/>
      <c r="AQ321" s="30"/>
      <c r="AR321" s="30"/>
      <c r="AS321" s="30"/>
      <c r="AT321" s="30"/>
      <c r="AU321" s="30"/>
      <c r="AV321" s="30"/>
      <c r="AW321" s="30"/>
      <c r="AX321" s="30"/>
      <c r="AY321" s="30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30"/>
      <c r="BK321" s="30"/>
      <c r="BL321" s="30"/>
      <c r="BM321" s="30"/>
      <c r="BN321" s="30"/>
      <c r="BO321" s="30"/>
      <c r="BP321" s="30"/>
      <c r="BQ321" s="30"/>
      <c r="BR321" s="30"/>
      <c r="BS321" s="30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1"/>
      <c r="CO321" s="1"/>
      <c r="CP321" s="1"/>
      <c r="CQ321" s="1"/>
      <c r="CR321" s="1"/>
      <c r="CS321" s="1"/>
      <c r="CT321" s="1"/>
      <c r="CU321" s="1"/>
      <c r="CV321" s="1"/>
      <c r="CW321" s="1"/>
    </row>
    <row r="322" spans="2:101" ht="15" hidden="1" customHeight="1" x14ac:dyDescent="0.25"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30"/>
      <c r="AQ322" s="30"/>
      <c r="AR322" s="30"/>
      <c r="AS322" s="30"/>
      <c r="AT322" s="30"/>
      <c r="AU322" s="30"/>
      <c r="AV322" s="30"/>
      <c r="AW322" s="30"/>
      <c r="AX322" s="30"/>
      <c r="AY322" s="30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30"/>
      <c r="BK322" s="30"/>
      <c r="BL322" s="30"/>
      <c r="BM322" s="30"/>
      <c r="BN322" s="30"/>
      <c r="BO322" s="30"/>
      <c r="BP322" s="30"/>
      <c r="BQ322" s="30"/>
      <c r="BR322" s="30"/>
      <c r="BS322" s="30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1"/>
      <c r="CO322" s="1"/>
      <c r="CP322" s="1"/>
      <c r="CQ322" s="1"/>
      <c r="CR322" s="1"/>
      <c r="CS322" s="1"/>
      <c r="CT322" s="1"/>
      <c r="CU322" s="1"/>
      <c r="CV322" s="1"/>
      <c r="CW322" s="1"/>
    </row>
    <row r="323" spans="2:101" ht="15" hidden="1" customHeight="1" x14ac:dyDescent="0.25"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30"/>
      <c r="AQ323" s="30"/>
      <c r="AR323" s="30"/>
      <c r="AS323" s="30"/>
      <c r="AT323" s="30"/>
      <c r="AU323" s="30"/>
      <c r="AV323" s="30"/>
      <c r="AW323" s="30"/>
      <c r="AX323" s="30"/>
      <c r="AY323" s="30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30"/>
      <c r="BK323" s="30"/>
      <c r="BL323" s="30"/>
      <c r="BM323" s="30"/>
      <c r="BN323" s="30"/>
      <c r="BO323" s="30"/>
      <c r="BP323" s="30"/>
      <c r="BQ323" s="30"/>
      <c r="BR323" s="30"/>
      <c r="BS323" s="30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1"/>
      <c r="CO323" s="1"/>
      <c r="CP323" s="1"/>
      <c r="CQ323" s="1"/>
      <c r="CR323" s="1"/>
      <c r="CS323" s="1"/>
      <c r="CT323" s="1"/>
      <c r="CU323" s="1"/>
      <c r="CV323" s="1"/>
      <c r="CW323" s="1"/>
    </row>
    <row r="324" spans="2:101" ht="15" hidden="1" customHeight="1" x14ac:dyDescent="0.25"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30"/>
      <c r="AQ324" s="30"/>
      <c r="AR324" s="30"/>
      <c r="AS324" s="30"/>
      <c r="AT324" s="30"/>
      <c r="AU324" s="30"/>
      <c r="AV324" s="30"/>
      <c r="AW324" s="30"/>
      <c r="AX324" s="30"/>
      <c r="AY324" s="30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30"/>
      <c r="BK324" s="30"/>
      <c r="BL324" s="30"/>
      <c r="BM324" s="30"/>
      <c r="BN324" s="30"/>
      <c r="BO324" s="30"/>
      <c r="BP324" s="30"/>
      <c r="BQ324" s="30"/>
      <c r="BR324" s="30"/>
      <c r="BS324" s="30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1"/>
      <c r="CO324" s="1"/>
      <c r="CP324" s="1"/>
      <c r="CQ324" s="1"/>
      <c r="CR324" s="1"/>
      <c r="CS324" s="1"/>
      <c r="CT324" s="1"/>
      <c r="CU324" s="1"/>
      <c r="CV324" s="1"/>
      <c r="CW324" s="1"/>
    </row>
    <row r="325" spans="2:101" ht="15" hidden="1" customHeight="1" x14ac:dyDescent="0.25"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30"/>
      <c r="AQ325" s="30"/>
      <c r="AR325" s="30"/>
      <c r="AS325" s="30"/>
      <c r="AT325" s="30"/>
      <c r="AU325" s="30"/>
      <c r="AV325" s="30"/>
      <c r="AW325" s="30"/>
      <c r="AX325" s="30"/>
      <c r="AY325" s="30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30"/>
      <c r="BK325" s="30"/>
      <c r="BL325" s="30"/>
      <c r="BM325" s="30"/>
      <c r="BN325" s="30"/>
      <c r="BO325" s="30"/>
      <c r="BP325" s="30"/>
      <c r="BQ325" s="30"/>
      <c r="BR325" s="30"/>
      <c r="BS325" s="30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1"/>
      <c r="CO325" s="1"/>
      <c r="CP325" s="1"/>
      <c r="CQ325" s="1"/>
      <c r="CR325" s="1"/>
      <c r="CS325" s="1"/>
      <c r="CT325" s="1"/>
      <c r="CU325" s="1"/>
      <c r="CV325" s="1"/>
      <c r="CW325" s="1"/>
    </row>
    <row r="326" spans="2:101" ht="15" hidden="1" customHeight="1" x14ac:dyDescent="0.25"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30"/>
      <c r="AQ326" s="30"/>
      <c r="AR326" s="30"/>
      <c r="AS326" s="30"/>
      <c r="AT326" s="30"/>
      <c r="AU326" s="30"/>
      <c r="AV326" s="30"/>
      <c r="AW326" s="30"/>
      <c r="AX326" s="30"/>
      <c r="AY326" s="30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30"/>
      <c r="BK326" s="30"/>
      <c r="BL326" s="30"/>
      <c r="BM326" s="30"/>
      <c r="BN326" s="30"/>
      <c r="BO326" s="30"/>
      <c r="BP326" s="30"/>
      <c r="BQ326" s="30"/>
      <c r="BR326" s="30"/>
      <c r="BS326" s="30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1"/>
      <c r="CO326" s="1"/>
      <c r="CP326" s="1"/>
      <c r="CQ326" s="1"/>
      <c r="CR326" s="1"/>
      <c r="CS326" s="1"/>
      <c r="CT326" s="1"/>
      <c r="CU326" s="1"/>
      <c r="CV326" s="1"/>
      <c r="CW326" s="1"/>
    </row>
    <row r="327" spans="2:101" ht="15" hidden="1" customHeight="1" x14ac:dyDescent="0.25"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30"/>
      <c r="AQ327" s="30"/>
      <c r="AR327" s="30"/>
      <c r="AS327" s="30"/>
      <c r="AT327" s="30"/>
      <c r="AU327" s="30"/>
      <c r="AV327" s="30"/>
      <c r="AW327" s="30"/>
      <c r="AX327" s="30"/>
      <c r="AY327" s="30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30"/>
      <c r="BK327" s="30"/>
      <c r="BL327" s="30"/>
      <c r="BM327" s="30"/>
      <c r="BN327" s="30"/>
      <c r="BO327" s="30"/>
      <c r="BP327" s="30"/>
      <c r="BQ327" s="30"/>
      <c r="BR327" s="30"/>
      <c r="BS327" s="30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1"/>
      <c r="CO327" s="1"/>
      <c r="CP327" s="1"/>
      <c r="CQ327" s="1"/>
      <c r="CR327" s="1"/>
      <c r="CS327" s="1"/>
      <c r="CT327" s="1"/>
      <c r="CU327" s="1"/>
      <c r="CV327" s="1"/>
      <c r="CW327" s="1"/>
    </row>
    <row r="328" spans="2:101" ht="15" hidden="1" customHeight="1" x14ac:dyDescent="0.25"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30"/>
      <c r="AQ328" s="30"/>
      <c r="AR328" s="30"/>
      <c r="AS328" s="30"/>
      <c r="AT328" s="30"/>
      <c r="AU328" s="30"/>
      <c r="AV328" s="30"/>
      <c r="AW328" s="30"/>
      <c r="AX328" s="30"/>
      <c r="AY328" s="30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30"/>
      <c r="BK328" s="30"/>
      <c r="BL328" s="30"/>
      <c r="BM328" s="30"/>
      <c r="BN328" s="30"/>
      <c r="BO328" s="30"/>
      <c r="BP328" s="30"/>
      <c r="BQ328" s="30"/>
      <c r="BR328" s="30"/>
      <c r="BS328" s="30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1"/>
      <c r="CO328" s="1"/>
      <c r="CP328" s="1"/>
      <c r="CQ328" s="1"/>
      <c r="CR328" s="1"/>
      <c r="CS328" s="1"/>
      <c r="CT328" s="1"/>
      <c r="CU328" s="1"/>
      <c r="CV328" s="1"/>
      <c r="CW328" s="1"/>
    </row>
    <row r="329" spans="2:101" ht="15" hidden="1" customHeight="1" x14ac:dyDescent="0.25"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30"/>
      <c r="AQ329" s="30"/>
      <c r="AR329" s="30"/>
      <c r="AS329" s="30"/>
      <c r="AT329" s="30"/>
      <c r="AU329" s="30"/>
      <c r="AV329" s="30"/>
      <c r="AW329" s="30"/>
      <c r="AX329" s="30"/>
      <c r="AY329" s="30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30"/>
      <c r="BK329" s="30"/>
      <c r="BL329" s="30"/>
      <c r="BM329" s="30"/>
      <c r="BN329" s="30"/>
      <c r="BO329" s="30"/>
      <c r="BP329" s="30"/>
      <c r="BQ329" s="30"/>
      <c r="BR329" s="30"/>
      <c r="BS329" s="30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30"/>
      <c r="CE329" s="30"/>
      <c r="CF329" s="30"/>
      <c r="CG329" s="30"/>
      <c r="CH329" s="30"/>
      <c r="CI329" s="30"/>
      <c r="CJ329" s="30"/>
      <c r="CK329" s="30"/>
      <c r="CL329" s="30"/>
      <c r="CM329" s="30"/>
      <c r="CN329" s="1"/>
      <c r="CO329" s="1"/>
      <c r="CP329" s="1"/>
      <c r="CQ329" s="1"/>
      <c r="CR329" s="1"/>
      <c r="CS329" s="1"/>
      <c r="CT329" s="1"/>
      <c r="CU329" s="1"/>
      <c r="CV329" s="1"/>
      <c r="CW329" s="1"/>
    </row>
    <row r="330" spans="2:101" ht="15" hidden="1" customHeight="1" x14ac:dyDescent="0.25"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30"/>
      <c r="AQ330" s="30"/>
      <c r="AR330" s="30"/>
      <c r="AS330" s="30"/>
      <c r="AT330" s="30"/>
      <c r="AU330" s="30"/>
      <c r="AV330" s="30"/>
      <c r="AW330" s="30"/>
      <c r="AX330" s="30"/>
      <c r="AY330" s="30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30"/>
      <c r="BK330" s="30"/>
      <c r="BL330" s="30"/>
      <c r="BM330" s="30"/>
      <c r="BN330" s="30"/>
      <c r="BO330" s="30"/>
      <c r="BP330" s="30"/>
      <c r="BQ330" s="30"/>
      <c r="BR330" s="30"/>
      <c r="BS330" s="30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1"/>
      <c r="CO330" s="1"/>
      <c r="CP330" s="1"/>
      <c r="CQ330" s="1"/>
      <c r="CR330" s="1"/>
      <c r="CS330" s="1"/>
      <c r="CT330" s="1"/>
      <c r="CU330" s="1"/>
      <c r="CV330" s="1"/>
      <c r="CW330" s="1"/>
    </row>
    <row r="331" spans="2:101" ht="15" hidden="1" customHeight="1" x14ac:dyDescent="0.25"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30"/>
      <c r="AQ331" s="30"/>
      <c r="AR331" s="30"/>
      <c r="AS331" s="30"/>
      <c r="AT331" s="30"/>
      <c r="AU331" s="30"/>
      <c r="AV331" s="30"/>
      <c r="AW331" s="30"/>
      <c r="AX331" s="30"/>
      <c r="AY331" s="30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30"/>
      <c r="BK331" s="30"/>
      <c r="BL331" s="30"/>
      <c r="BM331" s="30"/>
      <c r="BN331" s="30"/>
      <c r="BO331" s="30"/>
      <c r="BP331" s="30"/>
      <c r="BQ331" s="30"/>
      <c r="BR331" s="30"/>
      <c r="BS331" s="30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1"/>
      <c r="CO331" s="1"/>
      <c r="CP331" s="1"/>
      <c r="CQ331" s="1"/>
      <c r="CR331" s="1"/>
      <c r="CS331" s="1"/>
      <c r="CT331" s="1"/>
      <c r="CU331" s="1"/>
      <c r="CV331" s="1"/>
      <c r="CW331" s="1"/>
    </row>
    <row r="332" spans="2:101" ht="15" hidden="1" customHeight="1" x14ac:dyDescent="0.25"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30"/>
      <c r="AQ332" s="30"/>
      <c r="AR332" s="30"/>
      <c r="AS332" s="30"/>
      <c r="AT332" s="30"/>
      <c r="AU332" s="30"/>
      <c r="AV332" s="30"/>
      <c r="AW332" s="30"/>
      <c r="AX332" s="30"/>
      <c r="AY332" s="30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30"/>
      <c r="BK332" s="30"/>
      <c r="BL332" s="30"/>
      <c r="BM332" s="30"/>
      <c r="BN332" s="30"/>
      <c r="BO332" s="30"/>
      <c r="BP332" s="30"/>
      <c r="BQ332" s="30"/>
      <c r="BR332" s="30"/>
      <c r="BS332" s="30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1"/>
      <c r="CO332" s="1"/>
      <c r="CP332" s="1"/>
      <c r="CQ332" s="1"/>
      <c r="CR332" s="1"/>
      <c r="CS332" s="1"/>
      <c r="CT332" s="1"/>
      <c r="CU332" s="1"/>
      <c r="CV332" s="1"/>
      <c r="CW332" s="1"/>
    </row>
    <row r="333" spans="2:101" ht="15" hidden="1" customHeight="1" x14ac:dyDescent="0.25"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30"/>
      <c r="AQ333" s="30"/>
      <c r="AR333" s="30"/>
      <c r="AS333" s="30"/>
      <c r="AT333" s="30"/>
      <c r="AU333" s="30"/>
      <c r="AV333" s="30"/>
      <c r="AW333" s="30"/>
      <c r="AX333" s="30"/>
      <c r="AY333" s="30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30"/>
      <c r="BK333" s="30"/>
      <c r="BL333" s="30"/>
      <c r="BM333" s="30"/>
      <c r="BN333" s="30"/>
      <c r="BO333" s="30"/>
      <c r="BP333" s="30"/>
      <c r="BQ333" s="30"/>
      <c r="BR333" s="30"/>
      <c r="BS333" s="30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1"/>
      <c r="CO333" s="1"/>
      <c r="CP333" s="1"/>
      <c r="CQ333" s="1"/>
      <c r="CR333" s="1"/>
      <c r="CS333" s="1"/>
      <c r="CT333" s="1"/>
      <c r="CU333" s="1"/>
      <c r="CV333" s="1"/>
      <c r="CW333" s="1"/>
    </row>
    <row r="334" spans="2:101" ht="15" hidden="1" customHeight="1" x14ac:dyDescent="0.25"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30"/>
      <c r="AQ334" s="30"/>
      <c r="AR334" s="30"/>
      <c r="AS334" s="30"/>
      <c r="AT334" s="30"/>
      <c r="AU334" s="30"/>
      <c r="AV334" s="30"/>
      <c r="AW334" s="30"/>
      <c r="AX334" s="30"/>
      <c r="AY334" s="30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30"/>
      <c r="BK334" s="30"/>
      <c r="BL334" s="30"/>
      <c r="BM334" s="30"/>
      <c r="BN334" s="30"/>
      <c r="BO334" s="30"/>
      <c r="BP334" s="30"/>
      <c r="BQ334" s="30"/>
      <c r="BR334" s="30"/>
      <c r="BS334" s="30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1"/>
      <c r="CO334" s="1"/>
      <c r="CP334" s="1"/>
      <c r="CQ334" s="1"/>
      <c r="CR334" s="1"/>
      <c r="CS334" s="1"/>
      <c r="CT334" s="1"/>
      <c r="CU334" s="1"/>
      <c r="CV334" s="1"/>
      <c r="CW334" s="1"/>
    </row>
    <row r="335" spans="2:101" ht="15" hidden="1" customHeight="1" x14ac:dyDescent="0.25"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30"/>
      <c r="AQ335" s="30"/>
      <c r="AR335" s="30"/>
      <c r="AS335" s="30"/>
      <c r="AT335" s="30"/>
      <c r="AU335" s="30"/>
      <c r="AV335" s="30"/>
      <c r="AW335" s="30"/>
      <c r="AX335" s="30"/>
      <c r="AY335" s="30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30"/>
      <c r="BK335" s="30"/>
      <c r="BL335" s="30"/>
      <c r="BM335" s="30"/>
      <c r="BN335" s="30"/>
      <c r="BO335" s="30"/>
      <c r="BP335" s="30"/>
      <c r="BQ335" s="30"/>
      <c r="BR335" s="30"/>
      <c r="BS335" s="30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1"/>
      <c r="CO335" s="1"/>
      <c r="CP335" s="1"/>
      <c r="CQ335" s="1"/>
      <c r="CR335" s="1"/>
      <c r="CS335" s="1"/>
      <c r="CT335" s="1"/>
      <c r="CU335" s="1"/>
      <c r="CV335" s="1"/>
      <c r="CW335" s="1"/>
    </row>
    <row r="336" spans="2:101" ht="15" hidden="1" customHeight="1" x14ac:dyDescent="0.25"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30"/>
      <c r="AQ336" s="30"/>
      <c r="AR336" s="30"/>
      <c r="AS336" s="30"/>
      <c r="AT336" s="30"/>
      <c r="AU336" s="30"/>
      <c r="AV336" s="30"/>
      <c r="AW336" s="30"/>
      <c r="AX336" s="30"/>
      <c r="AY336" s="30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30"/>
      <c r="BK336" s="30"/>
      <c r="BL336" s="30"/>
      <c r="BM336" s="30"/>
      <c r="BN336" s="30"/>
      <c r="BO336" s="30"/>
      <c r="BP336" s="30"/>
      <c r="BQ336" s="30"/>
      <c r="BR336" s="30"/>
      <c r="BS336" s="30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1"/>
      <c r="CO336" s="1"/>
      <c r="CP336" s="1"/>
      <c r="CQ336" s="1"/>
      <c r="CR336" s="1"/>
      <c r="CS336" s="1"/>
      <c r="CT336" s="1"/>
      <c r="CU336" s="1"/>
      <c r="CV336" s="1"/>
      <c r="CW336" s="1"/>
    </row>
    <row r="337" spans="2:101" ht="15" hidden="1" customHeight="1" x14ac:dyDescent="0.25"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30"/>
      <c r="AQ337" s="30"/>
      <c r="AR337" s="30"/>
      <c r="AS337" s="30"/>
      <c r="AT337" s="30"/>
      <c r="AU337" s="30"/>
      <c r="AV337" s="30"/>
      <c r="AW337" s="30"/>
      <c r="AX337" s="30"/>
      <c r="AY337" s="30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30"/>
      <c r="BK337" s="30"/>
      <c r="BL337" s="30"/>
      <c r="BM337" s="30"/>
      <c r="BN337" s="30"/>
      <c r="BO337" s="30"/>
      <c r="BP337" s="30"/>
      <c r="BQ337" s="30"/>
      <c r="BR337" s="30"/>
      <c r="BS337" s="30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30"/>
      <c r="CE337" s="30"/>
      <c r="CF337" s="30"/>
      <c r="CG337" s="30"/>
      <c r="CH337" s="30"/>
      <c r="CI337" s="30"/>
      <c r="CJ337" s="30"/>
      <c r="CK337" s="30"/>
      <c r="CL337" s="30"/>
      <c r="CM337" s="30"/>
      <c r="CN337" s="1"/>
      <c r="CO337" s="1"/>
      <c r="CP337" s="1"/>
      <c r="CQ337" s="1"/>
      <c r="CR337" s="1"/>
      <c r="CS337" s="1"/>
      <c r="CT337" s="1"/>
      <c r="CU337" s="1"/>
      <c r="CV337" s="1"/>
      <c r="CW337" s="1"/>
    </row>
    <row r="338" spans="2:101" ht="15" hidden="1" customHeight="1" x14ac:dyDescent="0.25"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30"/>
      <c r="AQ338" s="30"/>
      <c r="AR338" s="30"/>
      <c r="AS338" s="30"/>
      <c r="AT338" s="30"/>
      <c r="AU338" s="30"/>
      <c r="AV338" s="30"/>
      <c r="AW338" s="30"/>
      <c r="AX338" s="30"/>
      <c r="AY338" s="30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30"/>
      <c r="BK338" s="30"/>
      <c r="BL338" s="30"/>
      <c r="BM338" s="30"/>
      <c r="BN338" s="30"/>
      <c r="BO338" s="30"/>
      <c r="BP338" s="30"/>
      <c r="BQ338" s="30"/>
      <c r="BR338" s="30"/>
      <c r="BS338" s="30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1"/>
      <c r="CO338" s="1"/>
      <c r="CP338" s="1"/>
      <c r="CQ338" s="1"/>
      <c r="CR338" s="1"/>
      <c r="CS338" s="1"/>
      <c r="CT338" s="1"/>
      <c r="CU338" s="1"/>
      <c r="CV338" s="1"/>
      <c r="CW338" s="1"/>
    </row>
    <row r="339" spans="2:101" ht="15" hidden="1" customHeight="1" x14ac:dyDescent="0.25"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30"/>
      <c r="AQ339" s="30"/>
      <c r="AR339" s="30"/>
      <c r="AS339" s="30"/>
      <c r="AT339" s="30"/>
      <c r="AU339" s="30"/>
      <c r="AV339" s="30"/>
      <c r="AW339" s="30"/>
      <c r="AX339" s="30"/>
      <c r="AY339" s="30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30"/>
      <c r="BK339" s="30"/>
      <c r="BL339" s="30"/>
      <c r="BM339" s="30"/>
      <c r="BN339" s="30"/>
      <c r="BO339" s="30"/>
      <c r="BP339" s="30"/>
      <c r="BQ339" s="30"/>
      <c r="BR339" s="30"/>
      <c r="BS339" s="30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1"/>
      <c r="CO339" s="1"/>
      <c r="CP339" s="1"/>
      <c r="CQ339" s="1"/>
      <c r="CR339" s="1"/>
      <c r="CS339" s="1"/>
      <c r="CT339" s="1"/>
      <c r="CU339" s="1"/>
      <c r="CV339" s="1"/>
      <c r="CW339" s="1"/>
    </row>
    <row r="340" spans="2:101" ht="15" hidden="1" customHeight="1" x14ac:dyDescent="0.25"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30"/>
      <c r="AQ340" s="30"/>
      <c r="AR340" s="30"/>
      <c r="AS340" s="30"/>
      <c r="AT340" s="30"/>
      <c r="AU340" s="30"/>
      <c r="AV340" s="30"/>
      <c r="AW340" s="30"/>
      <c r="AX340" s="30"/>
      <c r="AY340" s="30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30"/>
      <c r="BK340" s="30"/>
      <c r="BL340" s="30"/>
      <c r="BM340" s="30"/>
      <c r="BN340" s="30"/>
      <c r="BO340" s="30"/>
      <c r="BP340" s="30"/>
      <c r="BQ340" s="30"/>
      <c r="BR340" s="30"/>
      <c r="BS340" s="30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1"/>
      <c r="CO340" s="1"/>
      <c r="CP340" s="1"/>
      <c r="CQ340" s="1"/>
      <c r="CR340" s="1"/>
      <c r="CS340" s="1"/>
      <c r="CT340" s="1"/>
      <c r="CU340" s="1"/>
      <c r="CV340" s="1"/>
      <c r="CW340" s="1"/>
    </row>
    <row r="341" spans="2:101" ht="15" hidden="1" customHeight="1" x14ac:dyDescent="0.25"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30"/>
      <c r="AQ341" s="30"/>
      <c r="AR341" s="30"/>
      <c r="AS341" s="30"/>
      <c r="AT341" s="30"/>
      <c r="AU341" s="30"/>
      <c r="AV341" s="30"/>
      <c r="AW341" s="30"/>
      <c r="AX341" s="30"/>
      <c r="AY341" s="30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30"/>
      <c r="BK341" s="30"/>
      <c r="BL341" s="30"/>
      <c r="BM341" s="30"/>
      <c r="BN341" s="30"/>
      <c r="BO341" s="30"/>
      <c r="BP341" s="30"/>
      <c r="BQ341" s="30"/>
      <c r="BR341" s="30"/>
      <c r="BS341" s="30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1"/>
      <c r="CO341" s="1"/>
      <c r="CP341" s="1"/>
      <c r="CQ341" s="1"/>
      <c r="CR341" s="1"/>
      <c r="CS341" s="1"/>
      <c r="CT341" s="1"/>
      <c r="CU341" s="1"/>
      <c r="CV341" s="1"/>
      <c r="CW341" s="1"/>
    </row>
    <row r="342" spans="2:101" ht="15" hidden="1" customHeight="1" x14ac:dyDescent="0.25"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30"/>
      <c r="AQ342" s="30"/>
      <c r="AR342" s="30"/>
      <c r="AS342" s="30"/>
      <c r="AT342" s="30"/>
      <c r="AU342" s="30"/>
      <c r="AV342" s="30"/>
      <c r="AW342" s="30"/>
      <c r="AX342" s="30"/>
      <c r="AY342" s="30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30"/>
      <c r="BK342" s="30"/>
      <c r="BL342" s="30"/>
      <c r="BM342" s="30"/>
      <c r="BN342" s="30"/>
      <c r="BO342" s="30"/>
      <c r="BP342" s="30"/>
      <c r="BQ342" s="30"/>
      <c r="BR342" s="30"/>
      <c r="BS342" s="30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1"/>
      <c r="CO342" s="1"/>
      <c r="CP342" s="1"/>
      <c r="CQ342" s="1"/>
      <c r="CR342" s="1"/>
      <c r="CS342" s="1"/>
      <c r="CT342" s="1"/>
      <c r="CU342" s="1"/>
      <c r="CV342" s="1"/>
      <c r="CW342" s="1"/>
    </row>
    <row r="343" spans="2:101" ht="15" hidden="1" customHeight="1" x14ac:dyDescent="0.25"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30"/>
      <c r="AQ343" s="30"/>
      <c r="AR343" s="30"/>
      <c r="AS343" s="30"/>
      <c r="AT343" s="30"/>
      <c r="AU343" s="30"/>
      <c r="AV343" s="30"/>
      <c r="AW343" s="30"/>
      <c r="AX343" s="30"/>
      <c r="AY343" s="30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30"/>
      <c r="BK343" s="30"/>
      <c r="BL343" s="30"/>
      <c r="BM343" s="30"/>
      <c r="BN343" s="30"/>
      <c r="BO343" s="30"/>
      <c r="BP343" s="30"/>
      <c r="BQ343" s="30"/>
      <c r="BR343" s="30"/>
      <c r="BS343" s="30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1"/>
      <c r="CO343" s="1"/>
      <c r="CP343" s="1"/>
      <c r="CQ343" s="1"/>
      <c r="CR343" s="1"/>
      <c r="CS343" s="1"/>
      <c r="CT343" s="1"/>
      <c r="CU343" s="1"/>
      <c r="CV343" s="1"/>
      <c r="CW343" s="1"/>
    </row>
    <row r="344" spans="2:101" ht="15" hidden="1" customHeight="1" x14ac:dyDescent="0.25"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30"/>
      <c r="AQ344" s="30"/>
      <c r="AR344" s="30"/>
      <c r="AS344" s="30"/>
      <c r="AT344" s="30"/>
      <c r="AU344" s="30"/>
      <c r="AV344" s="30"/>
      <c r="AW344" s="30"/>
      <c r="AX344" s="30"/>
      <c r="AY344" s="30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30"/>
      <c r="BK344" s="30"/>
      <c r="BL344" s="30"/>
      <c r="BM344" s="30"/>
      <c r="BN344" s="30"/>
      <c r="BO344" s="30"/>
      <c r="BP344" s="30"/>
      <c r="BQ344" s="30"/>
      <c r="BR344" s="30"/>
      <c r="BS344" s="30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1"/>
      <c r="CO344" s="1"/>
      <c r="CP344" s="1"/>
      <c r="CQ344" s="1"/>
      <c r="CR344" s="1"/>
      <c r="CS344" s="1"/>
      <c r="CT344" s="1"/>
      <c r="CU344" s="1"/>
      <c r="CV344" s="1"/>
      <c r="CW344" s="1"/>
    </row>
    <row r="345" spans="2:101" ht="15" hidden="1" customHeight="1" x14ac:dyDescent="0.25"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30"/>
      <c r="AQ345" s="30"/>
      <c r="AR345" s="30"/>
      <c r="AS345" s="30"/>
      <c r="AT345" s="30"/>
      <c r="AU345" s="30"/>
      <c r="AV345" s="30"/>
      <c r="AW345" s="30"/>
      <c r="AX345" s="30"/>
      <c r="AY345" s="30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30"/>
      <c r="BK345" s="30"/>
      <c r="BL345" s="30"/>
      <c r="BM345" s="30"/>
      <c r="BN345" s="30"/>
      <c r="BO345" s="30"/>
      <c r="BP345" s="30"/>
      <c r="BQ345" s="30"/>
      <c r="BR345" s="30"/>
      <c r="BS345" s="30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1"/>
      <c r="CO345" s="1"/>
      <c r="CP345" s="1"/>
      <c r="CQ345" s="1"/>
      <c r="CR345" s="1"/>
      <c r="CS345" s="1"/>
      <c r="CT345" s="1"/>
      <c r="CU345" s="1"/>
      <c r="CV345" s="1"/>
      <c r="CW345" s="1"/>
    </row>
    <row r="346" spans="2:101" ht="15" hidden="1" customHeight="1" x14ac:dyDescent="0.25"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30"/>
      <c r="AQ346" s="30"/>
      <c r="AR346" s="30"/>
      <c r="AS346" s="30"/>
      <c r="AT346" s="30"/>
      <c r="AU346" s="30"/>
      <c r="AV346" s="30"/>
      <c r="AW346" s="30"/>
      <c r="AX346" s="30"/>
      <c r="AY346" s="30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30"/>
      <c r="BK346" s="30"/>
      <c r="BL346" s="30"/>
      <c r="BM346" s="30"/>
      <c r="BN346" s="30"/>
      <c r="BO346" s="30"/>
      <c r="BP346" s="30"/>
      <c r="BQ346" s="30"/>
      <c r="BR346" s="30"/>
      <c r="BS346" s="30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1"/>
      <c r="CO346" s="1"/>
      <c r="CP346" s="1"/>
      <c r="CQ346" s="1"/>
      <c r="CR346" s="1"/>
      <c r="CS346" s="1"/>
      <c r="CT346" s="1"/>
      <c r="CU346" s="1"/>
      <c r="CV346" s="1"/>
      <c r="CW346" s="1"/>
    </row>
    <row r="347" spans="2:101" ht="15" hidden="1" customHeight="1" x14ac:dyDescent="0.25"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30"/>
      <c r="AQ347" s="30"/>
      <c r="AR347" s="30"/>
      <c r="AS347" s="30"/>
      <c r="AT347" s="30"/>
      <c r="AU347" s="30"/>
      <c r="AV347" s="30"/>
      <c r="AW347" s="30"/>
      <c r="AX347" s="30"/>
      <c r="AY347" s="30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30"/>
      <c r="BK347" s="30"/>
      <c r="BL347" s="30"/>
      <c r="BM347" s="30"/>
      <c r="BN347" s="30"/>
      <c r="BO347" s="30"/>
      <c r="BP347" s="30"/>
      <c r="BQ347" s="30"/>
      <c r="BR347" s="30"/>
      <c r="BS347" s="30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1"/>
      <c r="CO347" s="1"/>
      <c r="CP347" s="1"/>
      <c r="CQ347" s="1"/>
      <c r="CR347" s="1"/>
      <c r="CS347" s="1"/>
      <c r="CT347" s="1"/>
      <c r="CU347" s="1"/>
      <c r="CV347" s="1"/>
      <c r="CW347" s="1"/>
    </row>
    <row r="348" spans="2:101" ht="15" hidden="1" customHeight="1" x14ac:dyDescent="0.25"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30"/>
      <c r="AQ348" s="30"/>
      <c r="AR348" s="30"/>
      <c r="AS348" s="30"/>
      <c r="AT348" s="30"/>
      <c r="AU348" s="30"/>
      <c r="AV348" s="30"/>
      <c r="AW348" s="30"/>
      <c r="AX348" s="30"/>
      <c r="AY348" s="30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30"/>
      <c r="BK348" s="30"/>
      <c r="BL348" s="30"/>
      <c r="BM348" s="30"/>
      <c r="BN348" s="30"/>
      <c r="BO348" s="30"/>
      <c r="BP348" s="30"/>
      <c r="BQ348" s="30"/>
      <c r="BR348" s="30"/>
      <c r="BS348" s="30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1"/>
      <c r="CO348" s="1"/>
      <c r="CP348" s="1"/>
      <c r="CQ348" s="1"/>
      <c r="CR348" s="1"/>
      <c r="CS348" s="1"/>
      <c r="CT348" s="1"/>
      <c r="CU348" s="1"/>
      <c r="CV348" s="1"/>
      <c r="CW348" s="1"/>
    </row>
    <row r="349" spans="2:101" ht="15" hidden="1" customHeight="1" x14ac:dyDescent="0.25"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30"/>
      <c r="AQ349" s="30"/>
      <c r="AR349" s="30"/>
      <c r="AS349" s="30"/>
      <c r="AT349" s="30"/>
      <c r="AU349" s="30"/>
      <c r="AV349" s="30"/>
      <c r="AW349" s="30"/>
      <c r="AX349" s="30"/>
      <c r="AY349" s="30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30"/>
      <c r="BK349" s="30"/>
      <c r="BL349" s="30"/>
      <c r="BM349" s="30"/>
      <c r="BN349" s="30"/>
      <c r="BO349" s="30"/>
      <c r="BP349" s="30"/>
      <c r="BQ349" s="30"/>
      <c r="BR349" s="30"/>
      <c r="BS349" s="30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1"/>
      <c r="CO349" s="1"/>
      <c r="CP349" s="1"/>
      <c r="CQ349" s="1"/>
      <c r="CR349" s="1"/>
      <c r="CS349" s="1"/>
      <c r="CT349" s="1"/>
      <c r="CU349" s="1"/>
      <c r="CV349" s="1"/>
      <c r="CW349" s="1"/>
    </row>
    <row r="350" spans="2:101" ht="15" hidden="1" customHeight="1" x14ac:dyDescent="0.25"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30"/>
      <c r="AQ350" s="30"/>
      <c r="AR350" s="30"/>
      <c r="AS350" s="30"/>
      <c r="AT350" s="30"/>
      <c r="AU350" s="30"/>
      <c r="AV350" s="30"/>
      <c r="AW350" s="30"/>
      <c r="AX350" s="30"/>
      <c r="AY350" s="30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30"/>
      <c r="BK350" s="30"/>
      <c r="BL350" s="30"/>
      <c r="BM350" s="30"/>
      <c r="BN350" s="30"/>
      <c r="BO350" s="30"/>
      <c r="BP350" s="30"/>
      <c r="BQ350" s="30"/>
      <c r="BR350" s="30"/>
      <c r="BS350" s="30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1"/>
      <c r="CO350" s="1"/>
      <c r="CP350" s="1"/>
      <c r="CQ350" s="1"/>
      <c r="CR350" s="1"/>
      <c r="CS350" s="1"/>
      <c r="CT350" s="1"/>
      <c r="CU350" s="1"/>
      <c r="CV350" s="1"/>
      <c r="CW350" s="1"/>
    </row>
    <row r="351" spans="2:101" ht="15" hidden="1" customHeight="1" x14ac:dyDescent="0.25"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30"/>
      <c r="AQ351" s="30"/>
      <c r="AR351" s="30"/>
      <c r="AS351" s="30"/>
      <c r="AT351" s="30"/>
      <c r="AU351" s="30"/>
      <c r="AV351" s="30"/>
      <c r="AW351" s="30"/>
      <c r="AX351" s="30"/>
      <c r="AY351" s="30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30"/>
      <c r="BK351" s="30"/>
      <c r="BL351" s="30"/>
      <c r="BM351" s="30"/>
      <c r="BN351" s="30"/>
      <c r="BO351" s="30"/>
      <c r="BP351" s="30"/>
      <c r="BQ351" s="30"/>
      <c r="BR351" s="30"/>
      <c r="BS351" s="30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1"/>
      <c r="CO351" s="1"/>
      <c r="CP351" s="1"/>
      <c r="CQ351" s="1"/>
      <c r="CR351" s="1"/>
      <c r="CS351" s="1"/>
      <c r="CT351" s="1"/>
      <c r="CU351" s="1"/>
      <c r="CV351" s="1"/>
      <c r="CW351" s="1"/>
    </row>
    <row r="352" spans="2:101" ht="15" hidden="1" customHeight="1" x14ac:dyDescent="0.25"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30"/>
      <c r="AQ352" s="30"/>
      <c r="AR352" s="30"/>
      <c r="AS352" s="30"/>
      <c r="AT352" s="30"/>
      <c r="AU352" s="30"/>
      <c r="AV352" s="30"/>
      <c r="AW352" s="30"/>
      <c r="AX352" s="30"/>
      <c r="AY352" s="30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30"/>
      <c r="BK352" s="30"/>
      <c r="BL352" s="30"/>
      <c r="BM352" s="30"/>
      <c r="BN352" s="30"/>
      <c r="BO352" s="30"/>
      <c r="BP352" s="30"/>
      <c r="BQ352" s="30"/>
      <c r="BR352" s="30"/>
      <c r="BS352" s="30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1"/>
      <c r="CO352" s="1"/>
      <c r="CP352" s="1"/>
      <c r="CQ352" s="1"/>
      <c r="CR352" s="1"/>
      <c r="CS352" s="1"/>
      <c r="CT352" s="1"/>
      <c r="CU352" s="1"/>
      <c r="CV352" s="1"/>
      <c r="CW352" s="1"/>
    </row>
    <row r="353" spans="2:101" ht="15" hidden="1" customHeight="1" x14ac:dyDescent="0.25"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30"/>
      <c r="AQ353" s="30"/>
      <c r="AR353" s="30"/>
      <c r="AS353" s="30"/>
      <c r="AT353" s="30"/>
      <c r="AU353" s="30"/>
      <c r="AV353" s="30"/>
      <c r="AW353" s="30"/>
      <c r="AX353" s="30"/>
      <c r="AY353" s="30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30"/>
      <c r="BK353" s="30"/>
      <c r="BL353" s="30"/>
      <c r="BM353" s="30"/>
      <c r="BN353" s="30"/>
      <c r="BO353" s="30"/>
      <c r="BP353" s="30"/>
      <c r="BQ353" s="30"/>
      <c r="BR353" s="30"/>
      <c r="BS353" s="30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1"/>
      <c r="CO353" s="1"/>
      <c r="CP353" s="1"/>
      <c r="CQ353" s="1"/>
      <c r="CR353" s="1"/>
      <c r="CS353" s="1"/>
      <c r="CT353" s="1"/>
      <c r="CU353" s="1"/>
      <c r="CV353" s="1"/>
      <c r="CW353" s="1"/>
    </row>
    <row r="354" spans="2:101" ht="15" hidden="1" customHeight="1" x14ac:dyDescent="0.25"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30"/>
      <c r="AQ354" s="30"/>
      <c r="AR354" s="30"/>
      <c r="AS354" s="30"/>
      <c r="AT354" s="30"/>
      <c r="AU354" s="30"/>
      <c r="AV354" s="30"/>
      <c r="AW354" s="30"/>
      <c r="AX354" s="30"/>
      <c r="AY354" s="30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30"/>
      <c r="BK354" s="30"/>
      <c r="BL354" s="30"/>
      <c r="BM354" s="30"/>
      <c r="BN354" s="30"/>
      <c r="BO354" s="30"/>
      <c r="BP354" s="30"/>
      <c r="BQ354" s="30"/>
      <c r="BR354" s="30"/>
      <c r="BS354" s="30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1"/>
      <c r="CO354" s="1"/>
      <c r="CP354" s="1"/>
      <c r="CQ354" s="1"/>
      <c r="CR354" s="1"/>
      <c r="CS354" s="1"/>
      <c r="CT354" s="1"/>
      <c r="CU354" s="1"/>
      <c r="CV354" s="1"/>
      <c r="CW354" s="1"/>
    </row>
    <row r="355" spans="2:101" ht="15" hidden="1" customHeight="1" x14ac:dyDescent="0.25"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30"/>
      <c r="AQ355" s="30"/>
      <c r="AR355" s="30"/>
      <c r="AS355" s="30"/>
      <c r="AT355" s="30"/>
      <c r="AU355" s="30"/>
      <c r="AV355" s="30"/>
      <c r="AW355" s="30"/>
      <c r="AX355" s="30"/>
      <c r="AY355" s="30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30"/>
      <c r="BK355" s="30"/>
      <c r="BL355" s="30"/>
      <c r="BM355" s="30"/>
      <c r="BN355" s="30"/>
      <c r="BO355" s="30"/>
      <c r="BP355" s="30"/>
      <c r="BQ355" s="30"/>
      <c r="BR355" s="30"/>
      <c r="BS355" s="30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30"/>
      <c r="CE355" s="30"/>
      <c r="CF355" s="30"/>
      <c r="CG355" s="30"/>
      <c r="CH355" s="30"/>
      <c r="CI355" s="30"/>
      <c r="CJ355" s="30"/>
      <c r="CK355" s="30"/>
      <c r="CL355" s="30"/>
      <c r="CM355" s="30"/>
      <c r="CN355" s="1"/>
      <c r="CO355" s="1"/>
      <c r="CP355" s="1"/>
      <c r="CQ355" s="1"/>
      <c r="CR355" s="1"/>
      <c r="CS355" s="1"/>
      <c r="CT355" s="1"/>
      <c r="CU355" s="1"/>
      <c r="CV355" s="1"/>
      <c r="CW355" s="1"/>
    </row>
    <row r="356" spans="2:101" ht="15" hidden="1" customHeight="1" x14ac:dyDescent="0.25"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30"/>
      <c r="AQ356" s="30"/>
      <c r="AR356" s="30"/>
      <c r="AS356" s="30"/>
      <c r="AT356" s="30"/>
      <c r="AU356" s="30"/>
      <c r="AV356" s="30"/>
      <c r="AW356" s="30"/>
      <c r="AX356" s="30"/>
      <c r="AY356" s="30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30"/>
      <c r="BK356" s="30"/>
      <c r="BL356" s="30"/>
      <c r="BM356" s="30"/>
      <c r="BN356" s="30"/>
      <c r="BO356" s="30"/>
      <c r="BP356" s="30"/>
      <c r="BQ356" s="30"/>
      <c r="BR356" s="30"/>
      <c r="BS356" s="30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1"/>
      <c r="CO356" s="1"/>
      <c r="CP356" s="1"/>
      <c r="CQ356" s="1"/>
      <c r="CR356" s="1"/>
      <c r="CS356" s="1"/>
      <c r="CT356" s="1"/>
      <c r="CU356" s="1"/>
      <c r="CV356" s="1"/>
      <c r="CW356" s="1"/>
    </row>
    <row r="357" spans="2:101" ht="15" hidden="1" customHeight="1" x14ac:dyDescent="0.25"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30"/>
      <c r="AQ357" s="30"/>
      <c r="AR357" s="30"/>
      <c r="AS357" s="30"/>
      <c r="AT357" s="30"/>
      <c r="AU357" s="30"/>
      <c r="AV357" s="30"/>
      <c r="AW357" s="30"/>
      <c r="AX357" s="30"/>
      <c r="AY357" s="30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30"/>
      <c r="BK357" s="30"/>
      <c r="BL357" s="30"/>
      <c r="BM357" s="30"/>
      <c r="BN357" s="30"/>
      <c r="BO357" s="30"/>
      <c r="BP357" s="30"/>
      <c r="BQ357" s="30"/>
      <c r="BR357" s="30"/>
      <c r="BS357" s="30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1"/>
      <c r="CO357" s="1"/>
      <c r="CP357" s="1"/>
      <c r="CQ357" s="1"/>
      <c r="CR357" s="1"/>
      <c r="CS357" s="1"/>
      <c r="CT357" s="1"/>
      <c r="CU357" s="1"/>
      <c r="CV357" s="1"/>
      <c r="CW357" s="1"/>
    </row>
    <row r="358" spans="2:101" ht="15" hidden="1" customHeight="1" x14ac:dyDescent="0.25"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30"/>
      <c r="AQ358" s="30"/>
      <c r="AR358" s="30"/>
      <c r="AS358" s="30"/>
      <c r="AT358" s="30"/>
      <c r="AU358" s="30"/>
      <c r="AV358" s="30"/>
      <c r="AW358" s="30"/>
      <c r="AX358" s="30"/>
      <c r="AY358" s="30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30"/>
      <c r="BK358" s="30"/>
      <c r="BL358" s="30"/>
      <c r="BM358" s="30"/>
      <c r="BN358" s="30"/>
      <c r="BO358" s="30"/>
      <c r="BP358" s="30"/>
      <c r="BQ358" s="30"/>
      <c r="BR358" s="30"/>
      <c r="BS358" s="30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1"/>
      <c r="CO358" s="1"/>
      <c r="CP358" s="1"/>
      <c r="CQ358" s="1"/>
      <c r="CR358" s="1"/>
      <c r="CS358" s="1"/>
      <c r="CT358" s="1"/>
      <c r="CU358" s="1"/>
      <c r="CV358" s="1"/>
      <c r="CW358" s="1"/>
    </row>
    <row r="359" spans="2:101" ht="15" hidden="1" customHeight="1" x14ac:dyDescent="0.25"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30"/>
      <c r="AQ359" s="30"/>
      <c r="AR359" s="30"/>
      <c r="AS359" s="30"/>
      <c r="AT359" s="30"/>
      <c r="AU359" s="30"/>
      <c r="AV359" s="30"/>
      <c r="AW359" s="30"/>
      <c r="AX359" s="30"/>
      <c r="AY359" s="30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30"/>
      <c r="BK359" s="30"/>
      <c r="BL359" s="30"/>
      <c r="BM359" s="30"/>
      <c r="BN359" s="30"/>
      <c r="BO359" s="30"/>
      <c r="BP359" s="30"/>
      <c r="BQ359" s="30"/>
      <c r="BR359" s="30"/>
      <c r="BS359" s="30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1"/>
      <c r="CO359" s="1"/>
      <c r="CP359" s="1"/>
      <c r="CQ359" s="1"/>
      <c r="CR359" s="1"/>
      <c r="CS359" s="1"/>
      <c r="CT359" s="1"/>
      <c r="CU359" s="1"/>
      <c r="CV359" s="1"/>
      <c r="CW359" s="1"/>
    </row>
    <row r="360" spans="2:101" ht="15" hidden="1" customHeight="1" x14ac:dyDescent="0.25"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30"/>
      <c r="AQ360" s="30"/>
      <c r="AR360" s="30"/>
      <c r="AS360" s="30"/>
      <c r="AT360" s="30"/>
      <c r="AU360" s="30"/>
      <c r="AV360" s="30"/>
      <c r="AW360" s="30"/>
      <c r="AX360" s="30"/>
      <c r="AY360" s="30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30"/>
      <c r="BK360" s="30"/>
      <c r="BL360" s="30"/>
      <c r="BM360" s="30"/>
      <c r="BN360" s="30"/>
      <c r="BO360" s="30"/>
      <c r="BP360" s="30"/>
      <c r="BQ360" s="30"/>
      <c r="BR360" s="30"/>
      <c r="BS360" s="30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1"/>
      <c r="CO360" s="1"/>
      <c r="CP360" s="1"/>
      <c r="CQ360" s="1"/>
      <c r="CR360" s="1"/>
      <c r="CS360" s="1"/>
      <c r="CT360" s="1"/>
      <c r="CU360" s="1"/>
      <c r="CV360" s="1"/>
      <c r="CW360" s="1"/>
    </row>
    <row r="361" spans="2:101" ht="15" hidden="1" customHeight="1" x14ac:dyDescent="0.25"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30"/>
      <c r="AQ361" s="30"/>
      <c r="AR361" s="30"/>
      <c r="AS361" s="30"/>
      <c r="AT361" s="30"/>
      <c r="AU361" s="30"/>
      <c r="AV361" s="30"/>
      <c r="AW361" s="30"/>
      <c r="AX361" s="30"/>
      <c r="AY361" s="30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30"/>
      <c r="BK361" s="30"/>
      <c r="BL361" s="30"/>
      <c r="BM361" s="30"/>
      <c r="BN361" s="30"/>
      <c r="BO361" s="30"/>
      <c r="BP361" s="30"/>
      <c r="BQ361" s="30"/>
      <c r="BR361" s="30"/>
      <c r="BS361" s="30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1"/>
      <c r="CO361" s="1"/>
      <c r="CP361" s="1"/>
      <c r="CQ361" s="1"/>
      <c r="CR361" s="1"/>
      <c r="CS361" s="1"/>
      <c r="CT361" s="1"/>
      <c r="CU361" s="1"/>
      <c r="CV361" s="1"/>
      <c r="CW361" s="1"/>
    </row>
    <row r="362" spans="2:101" ht="15" hidden="1" customHeight="1" x14ac:dyDescent="0.25"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30"/>
      <c r="AQ362" s="30"/>
      <c r="AR362" s="30"/>
      <c r="AS362" s="30"/>
      <c r="AT362" s="30"/>
      <c r="AU362" s="30"/>
      <c r="AV362" s="30"/>
      <c r="AW362" s="30"/>
      <c r="AX362" s="30"/>
      <c r="AY362" s="30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30"/>
      <c r="BK362" s="30"/>
      <c r="BL362" s="30"/>
      <c r="BM362" s="30"/>
      <c r="BN362" s="30"/>
      <c r="BO362" s="30"/>
      <c r="BP362" s="30"/>
      <c r="BQ362" s="30"/>
      <c r="BR362" s="30"/>
      <c r="BS362" s="30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30"/>
      <c r="CE362" s="30"/>
      <c r="CF362" s="30"/>
      <c r="CG362" s="30"/>
      <c r="CH362" s="30"/>
      <c r="CI362" s="30"/>
      <c r="CJ362" s="30"/>
      <c r="CK362" s="30"/>
      <c r="CL362" s="30"/>
      <c r="CM362" s="30"/>
      <c r="CN362" s="1"/>
      <c r="CO362" s="1"/>
      <c r="CP362" s="1"/>
      <c r="CQ362" s="1"/>
      <c r="CR362" s="1"/>
      <c r="CS362" s="1"/>
      <c r="CT362" s="1"/>
      <c r="CU362" s="1"/>
      <c r="CV362" s="1"/>
      <c r="CW362" s="1"/>
    </row>
    <row r="363" spans="2:101" ht="15" hidden="1" customHeight="1" x14ac:dyDescent="0.25"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30"/>
      <c r="AQ363" s="30"/>
      <c r="AR363" s="30"/>
      <c r="AS363" s="30"/>
      <c r="AT363" s="30"/>
      <c r="AU363" s="30"/>
      <c r="AV363" s="30"/>
      <c r="AW363" s="30"/>
      <c r="AX363" s="30"/>
      <c r="AY363" s="30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30"/>
      <c r="BK363" s="30"/>
      <c r="BL363" s="30"/>
      <c r="BM363" s="30"/>
      <c r="BN363" s="30"/>
      <c r="BO363" s="30"/>
      <c r="BP363" s="30"/>
      <c r="BQ363" s="30"/>
      <c r="BR363" s="30"/>
      <c r="BS363" s="30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30"/>
      <c r="CE363" s="30"/>
      <c r="CF363" s="30"/>
      <c r="CG363" s="30"/>
      <c r="CH363" s="30"/>
      <c r="CI363" s="30"/>
      <c r="CJ363" s="30"/>
      <c r="CK363" s="30"/>
      <c r="CL363" s="30"/>
      <c r="CM363" s="30"/>
      <c r="CN363" s="1"/>
      <c r="CO363" s="1"/>
      <c r="CP363" s="1"/>
      <c r="CQ363" s="1"/>
      <c r="CR363" s="1"/>
      <c r="CS363" s="1"/>
      <c r="CT363" s="1"/>
      <c r="CU363" s="1"/>
      <c r="CV363" s="1"/>
      <c r="CW363" s="1"/>
    </row>
    <row r="364" spans="2:101" ht="15" hidden="1" customHeight="1" x14ac:dyDescent="0.25"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30"/>
      <c r="AQ364" s="30"/>
      <c r="AR364" s="30"/>
      <c r="AS364" s="30"/>
      <c r="AT364" s="30"/>
      <c r="AU364" s="30"/>
      <c r="AV364" s="30"/>
      <c r="AW364" s="30"/>
      <c r="AX364" s="30"/>
      <c r="AY364" s="30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30"/>
      <c r="BK364" s="30"/>
      <c r="BL364" s="30"/>
      <c r="BM364" s="30"/>
      <c r="BN364" s="30"/>
      <c r="BO364" s="30"/>
      <c r="BP364" s="30"/>
      <c r="BQ364" s="30"/>
      <c r="BR364" s="30"/>
      <c r="BS364" s="30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1"/>
      <c r="CO364" s="1"/>
      <c r="CP364" s="1"/>
      <c r="CQ364" s="1"/>
      <c r="CR364" s="1"/>
      <c r="CS364" s="1"/>
      <c r="CT364" s="1"/>
      <c r="CU364" s="1"/>
      <c r="CV364" s="1"/>
      <c r="CW364" s="1"/>
    </row>
    <row r="365" spans="2:101" ht="15" hidden="1" customHeight="1" x14ac:dyDescent="0.25"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30"/>
      <c r="AQ365" s="30"/>
      <c r="AR365" s="30"/>
      <c r="AS365" s="30"/>
      <c r="AT365" s="30"/>
      <c r="AU365" s="30"/>
      <c r="AV365" s="30"/>
      <c r="AW365" s="30"/>
      <c r="AX365" s="30"/>
      <c r="AY365" s="30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30"/>
      <c r="BK365" s="30"/>
      <c r="BL365" s="30"/>
      <c r="BM365" s="30"/>
      <c r="BN365" s="30"/>
      <c r="BO365" s="30"/>
      <c r="BP365" s="30"/>
      <c r="BQ365" s="30"/>
      <c r="BR365" s="30"/>
      <c r="BS365" s="30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1"/>
      <c r="CO365" s="1"/>
      <c r="CP365" s="1"/>
      <c r="CQ365" s="1"/>
      <c r="CR365" s="1"/>
      <c r="CS365" s="1"/>
      <c r="CT365" s="1"/>
      <c r="CU365" s="1"/>
      <c r="CV365" s="1"/>
      <c r="CW365" s="1"/>
    </row>
    <row r="366" spans="2:101" ht="15" hidden="1" customHeight="1" x14ac:dyDescent="0.25"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30"/>
      <c r="AQ366" s="30"/>
      <c r="AR366" s="30"/>
      <c r="AS366" s="30"/>
      <c r="AT366" s="30"/>
      <c r="AU366" s="30"/>
      <c r="AV366" s="30"/>
      <c r="AW366" s="30"/>
      <c r="AX366" s="30"/>
      <c r="AY366" s="30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30"/>
      <c r="BK366" s="30"/>
      <c r="BL366" s="30"/>
      <c r="BM366" s="30"/>
      <c r="BN366" s="30"/>
      <c r="BO366" s="30"/>
      <c r="BP366" s="30"/>
      <c r="BQ366" s="30"/>
      <c r="BR366" s="30"/>
      <c r="BS366" s="30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1"/>
      <c r="CO366" s="1"/>
      <c r="CP366" s="1"/>
      <c r="CQ366" s="1"/>
      <c r="CR366" s="1"/>
      <c r="CS366" s="1"/>
      <c r="CT366" s="1"/>
      <c r="CU366" s="1"/>
      <c r="CV366" s="1"/>
      <c r="CW366" s="1"/>
    </row>
    <row r="367" spans="2:101" ht="15" hidden="1" customHeight="1" x14ac:dyDescent="0.25"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30"/>
      <c r="AQ367" s="30"/>
      <c r="AR367" s="30"/>
      <c r="AS367" s="30"/>
      <c r="AT367" s="30"/>
      <c r="AU367" s="30"/>
      <c r="AV367" s="30"/>
      <c r="AW367" s="30"/>
      <c r="AX367" s="30"/>
      <c r="AY367" s="30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30"/>
      <c r="BK367" s="30"/>
      <c r="BL367" s="30"/>
      <c r="BM367" s="30"/>
      <c r="BN367" s="30"/>
      <c r="BO367" s="30"/>
      <c r="BP367" s="30"/>
      <c r="BQ367" s="30"/>
      <c r="BR367" s="30"/>
      <c r="BS367" s="30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1"/>
      <c r="CO367" s="1"/>
      <c r="CP367" s="1"/>
      <c r="CQ367" s="1"/>
      <c r="CR367" s="1"/>
      <c r="CS367" s="1"/>
      <c r="CT367" s="1"/>
      <c r="CU367" s="1"/>
      <c r="CV367" s="1"/>
      <c r="CW367" s="1"/>
    </row>
    <row r="368" spans="2:101" ht="15" hidden="1" customHeight="1" x14ac:dyDescent="0.25"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30"/>
      <c r="AQ368" s="30"/>
      <c r="AR368" s="30"/>
      <c r="AS368" s="30"/>
      <c r="AT368" s="30"/>
      <c r="AU368" s="30"/>
      <c r="AV368" s="30"/>
      <c r="AW368" s="30"/>
      <c r="AX368" s="30"/>
      <c r="AY368" s="30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30"/>
      <c r="BK368" s="30"/>
      <c r="BL368" s="30"/>
      <c r="BM368" s="30"/>
      <c r="BN368" s="30"/>
      <c r="BO368" s="30"/>
      <c r="BP368" s="30"/>
      <c r="BQ368" s="30"/>
      <c r="BR368" s="30"/>
      <c r="BS368" s="30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1"/>
      <c r="CO368" s="1"/>
      <c r="CP368" s="1"/>
      <c r="CQ368" s="1"/>
      <c r="CR368" s="1"/>
      <c r="CS368" s="1"/>
      <c r="CT368" s="1"/>
      <c r="CU368" s="1"/>
      <c r="CV368" s="1"/>
      <c r="CW368" s="1"/>
    </row>
    <row r="369" spans="2:101" ht="15" hidden="1" customHeight="1" x14ac:dyDescent="0.25"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30"/>
      <c r="AQ369" s="30"/>
      <c r="AR369" s="30"/>
      <c r="AS369" s="30"/>
      <c r="AT369" s="30"/>
      <c r="AU369" s="30"/>
      <c r="AV369" s="30"/>
      <c r="AW369" s="30"/>
      <c r="AX369" s="30"/>
      <c r="AY369" s="30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30"/>
      <c r="BK369" s="30"/>
      <c r="BL369" s="30"/>
      <c r="BM369" s="30"/>
      <c r="BN369" s="30"/>
      <c r="BO369" s="30"/>
      <c r="BP369" s="30"/>
      <c r="BQ369" s="30"/>
      <c r="BR369" s="30"/>
      <c r="BS369" s="30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1"/>
      <c r="CO369" s="1"/>
      <c r="CP369" s="1"/>
      <c r="CQ369" s="1"/>
      <c r="CR369" s="1"/>
      <c r="CS369" s="1"/>
      <c r="CT369" s="1"/>
      <c r="CU369" s="1"/>
      <c r="CV369" s="1"/>
      <c r="CW369" s="1"/>
    </row>
    <row r="370" spans="2:101" ht="15" hidden="1" customHeight="1" x14ac:dyDescent="0.25"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30"/>
      <c r="AQ370" s="30"/>
      <c r="AR370" s="30"/>
      <c r="AS370" s="30"/>
      <c r="AT370" s="30"/>
      <c r="AU370" s="30"/>
      <c r="AV370" s="30"/>
      <c r="AW370" s="30"/>
      <c r="AX370" s="30"/>
      <c r="AY370" s="30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30"/>
      <c r="BK370" s="30"/>
      <c r="BL370" s="30"/>
      <c r="BM370" s="30"/>
      <c r="BN370" s="30"/>
      <c r="BO370" s="30"/>
      <c r="BP370" s="30"/>
      <c r="BQ370" s="30"/>
      <c r="BR370" s="30"/>
      <c r="BS370" s="30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30"/>
      <c r="CE370" s="30"/>
      <c r="CF370" s="30"/>
      <c r="CG370" s="30"/>
      <c r="CH370" s="30"/>
      <c r="CI370" s="30"/>
      <c r="CJ370" s="30"/>
      <c r="CK370" s="30"/>
      <c r="CL370" s="30"/>
      <c r="CM370" s="30"/>
      <c r="CN370" s="1"/>
      <c r="CO370" s="1"/>
      <c r="CP370" s="1"/>
      <c r="CQ370" s="1"/>
      <c r="CR370" s="1"/>
      <c r="CS370" s="1"/>
      <c r="CT370" s="1"/>
      <c r="CU370" s="1"/>
      <c r="CV370" s="1"/>
      <c r="CW370" s="1"/>
    </row>
    <row r="371" spans="2:101" ht="15" hidden="1" customHeight="1" x14ac:dyDescent="0.25"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30"/>
      <c r="AQ371" s="30"/>
      <c r="AR371" s="30"/>
      <c r="AS371" s="30"/>
      <c r="AT371" s="30"/>
      <c r="AU371" s="30"/>
      <c r="AV371" s="30"/>
      <c r="AW371" s="30"/>
      <c r="AX371" s="30"/>
      <c r="AY371" s="30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30"/>
      <c r="BK371" s="30"/>
      <c r="BL371" s="30"/>
      <c r="BM371" s="30"/>
      <c r="BN371" s="30"/>
      <c r="BO371" s="30"/>
      <c r="BP371" s="30"/>
      <c r="BQ371" s="30"/>
      <c r="BR371" s="30"/>
      <c r="BS371" s="30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30"/>
      <c r="CE371" s="30"/>
      <c r="CF371" s="30"/>
      <c r="CG371" s="30"/>
      <c r="CH371" s="30"/>
      <c r="CI371" s="30"/>
      <c r="CJ371" s="30"/>
      <c r="CK371" s="30"/>
      <c r="CL371" s="30"/>
      <c r="CM371" s="30"/>
      <c r="CN371" s="1"/>
      <c r="CO371" s="1"/>
      <c r="CP371" s="1"/>
      <c r="CQ371" s="1"/>
      <c r="CR371" s="1"/>
      <c r="CS371" s="1"/>
      <c r="CT371" s="1"/>
      <c r="CU371" s="1"/>
      <c r="CV371" s="1"/>
      <c r="CW371" s="1"/>
    </row>
    <row r="372" spans="2:101" ht="15" hidden="1" customHeight="1" x14ac:dyDescent="0.25"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30"/>
      <c r="AQ372" s="30"/>
      <c r="AR372" s="30"/>
      <c r="AS372" s="30"/>
      <c r="AT372" s="30"/>
      <c r="AU372" s="30"/>
      <c r="AV372" s="30"/>
      <c r="AW372" s="30"/>
      <c r="AX372" s="30"/>
      <c r="AY372" s="30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30"/>
      <c r="BK372" s="30"/>
      <c r="BL372" s="30"/>
      <c r="BM372" s="30"/>
      <c r="BN372" s="30"/>
      <c r="BO372" s="30"/>
      <c r="BP372" s="30"/>
      <c r="BQ372" s="30"/>
      <c r="BR372" s="30"/>
      <c r="BS372" s="30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1"/>
      <c r="CO372" s="1"/>
      <c r="CP372" s="1"/>
      <c r="CQ372" s="1"/>
      <c r="CR372" s="1"/>
      <c r="CS372" s="1"/>
      <c r="CT372" s="1"/>
      <c r="CU372" s="1"/>
      <c r="CV372" s="1"/>
      <c r="CW372" s="1"/>
    </row>
    <row r="373" spans="2:101" ht="15" hidden="1" customHeight="1" x14ac:dyDescent="0.25"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30"/>
      <c r="AQ373" s="30"/>
      <c r="AR373" s="30"/>
      <c r="AS373" s="30"/>
      <c r="AT373" s="30"/>
      <c r="AU373" s="30"/>
      <c r="AV373" s="30"/>
      <c r="AW373" s="30"/>
      <c r="AX373" s="30"/>
      <c r="AY373" s="30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30"/>
      <c r="BK373" s="30"/>
      <c r="BL373" s="30"/>
      <c r="BM373" s="30"/>
      <c r="BN373" s="30"/>
      <c r="BO373" s="30"/>
      <c r="BP373" s="30"/>
      <c r="BQ373" s="30"/>
      <c r="BR373" s="30"/>
      <c r="BS373" s="30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1"/>
      <c r="CO373" s="1"/>
      <c r="CP373" s="1"/>
      <c r="CQ373" s="1"/>
      <c r="CR373" s="1"/>
      <c r="CS373" s="1"/>
      <c r="CT373" s="1"/>
      <c r="CU373" s="1"/>
      <c r="CV373" s="1"/>
      <c r="CW373" s="1"/>
    </row>
    <row r="374" spans="2:101" ht="15" hidden="1" customHeight="1" x14ac:dyDescent="0.25"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30"/>
      <c r="AQ374" s="30"/>
      <c r="AR374" s="30"/>
      <c r="AS374" s="30"/>
      <c r="AT374" s="30"/>
      <c r="AU374" s="30"/>
      <c r="AV374" s="30"/>
      <c r="AW374" s="30"/>
      <c r="AX374" s="30"/>
      <c r="AY374" s="30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30"/>
      <c r="BK374" s="30"/>
      <c r="BL374" s="30"/>
      <c r="BM374" s="30"/>
      <c r="BN374" s="30"/>
      <c r="BO374" s="30"/>
      <c r="BP374" s="30"/>
      <c r="BQ374" s="30"/>
      <c r="BR374" s="30"/>
      <c r="BS374" s="30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1"/>
      <c r="CO374" s="1"/>
      <c r="CP374" s="1"/>
      <c r="CQ374" s="1"/>
      <c r="CR374" s="1"/>
      <c r="CS374" s="1"/>
      <c r="CT374" s="1"/>
      <c r="CU374" s="1"/>
      <c r="CV374" s="1"/>
      <c r="CW374" s="1"/>
    </row>
    <row r="375" spans="2:101" ht="15" hidden="1" customHeight="1" x14ac:dyDescent="0.25"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30"/>
      <c r="AQ375" s="30"/>
      <c r="AR375" s="30"/>
      <c r="AS375" s="30"/>
      <c r="AT375" s="30"/>
      <c r="AU375" s="30"/>
      <c r="AV375" s="30"/>
      <c r="AW375" s="30"/>
      <c r="AX375" s="30"/>
      <c r="AY375" s="30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30"/>
      <c r="BK375" s="30"/>
      <c r="BL375" s="30"/>
      <c r="BM375" s="30"/>
      <c r="BN375" s="30"/>
      <c r="BO375" s="30"/>
      <c r="BP375" s="30"/>
      <c r="BQ375" s="30"/>
      <c r="BR375" s="30"/>
      <c r="BS375" s="30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1"/>
      <c r="CO375" s="1"/>
      <c r="CP375" s="1"/>
      <c r="CQ375" s="1"/>
      <c r="CR375" s="1"/>
      <c r="CS375" s="1"/>
      <c r="CT375" s="1"/>
      <c r="CU375" s="1"/>
      <c r="CV375" s="1"/>
      <c r="CW375" s="1"/>
    </row>
    <row r="376" spans="2:101" ht="15" hidden="1" customHeight="1" x14ac:dyDescent="0.25"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30"/>
      <c r="AQ376" s="30"/>
      <c r="AR376" s="30"/>
      <c r="AS376" s="30"/>
      <c r="AT376" s="30"/>
      <c r="AU376" s="30"/>
      <c r="AV376" s="30"/>
      <c r="AW376" s="30"/>
      <c r="AX376" s="30"/>
      <c r="AY376" s="30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30"/>
      <c r="BK376" s="30"/>
      <c r="BL376" s="30"/>
      <c r="BM376" s="30"/>
      <c r="BN376" s="30"/>
      <c r="BO376" s="30"/>
      <c r="BP376" s="30"/>
      <c r="BQ376" s="30"/>
      <c r="BR376" s="30"/>
      <c r="BS376" s="30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1"/>
      <c r="CO376" s="1"/>
      <c r="CP376" s="1"/>
      <c r="CQ376" s="1"/>
      <c r="CR376" s="1"/>
      <c r="CS376" s="1"/>
      <c r="CT376" s="1"/>
      <c r="CU376" s="1"/>
      <c r="CV376" s="1"/>
      <c r="CW376" s="1"/>
    </row>
    <row r="377" spans="2:101" ht="15" hidden="1" customHeight="1" x14ac:dyDescent="0.25"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30"/>
      <c r="AQ377" s="30"/>
      <c r="AR377" s="30"/>
      <c r="AS377" s="30"/>
      <c r="AT377" s="30"/>
      <c r="AU377" s="30"/>
      <c r="AV377" s="30"/>
      <c r="AW377" s="30"/>
      <c r="AX377" s="30"/>
      <c r="AY377" s="30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30"/>
      <c r="BK377" s="30"/>
      <c r="BL377" s="30"/>
      <c r="BM377" s="30"/>
      <c r="BN377" s="30"/>
      <c r="BO377" s="30"/>
      <c r="BP377" s="30"/>
      <c r="BQ377" s="30"/>
      <c r="BR377" s="30"/>
      <c r="BS377" s="30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1"/>
      <c r="CO377" s="1"/>
      <c r="CP377" s="1"/>
      <c r="CQ377" s="1"/>
      <c r="CR377" s="1"/>
      <c r="CS377" s="1"/>
      <c r="CT377" s="1"/>
      <c r="CU377" s="1"/>
      <c r="CV377" s="1"/>
      <c r="CW377" s="1"/>
    </row>
    <row r="378" spans="2:101" ht="15" hidden="1" customHeight="1" x14ac:dyDescent="0.25"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30"/>
      <c r="AQ378" s="30"/>
      <c r="AR378" s="30"/>
      <c r="AS378" s="30"/>
      <c r="AT378" s="30"/>
      <c r="AU378" s="30"/>
      <c r="AV378" s="30"/>
      <c r="AW378" s="30"/>
      <c r="AX378" s="30"/>
      <c r="AY378" s="30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30"/>
      <c r="BK378" s="30"/>
      <c r="BL378" s="30"/>
      <c r="BM378" s="30"/>
      <c r="BN378" s="30"/>
      <c r="BO378" s="30"/>
      <c r="BP378" s="30"/>
      <c r="BQ378" s="30"/>
      <c r="BR378" s="30"/>
      <c r="BS378" s="30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1"/>
      <c r="CO378" s="1"/>
      <c r="CP378" s="1"/>
      <c r="CQ378" s="1"/>
      <c r="CR378" s="1"/>
      <c r="CS378" s="1"/>
      <c r="CT378" s="1"/>
      <c r="CU378" s="1"/>
      <c r="CV378" s="1"/>
      <c r="CW378" s="1"/>
    </row>
    <row r="379" spans="2:101" ht="15" hidden="1" customHeight="1" x14ac:dyDescent="0.25"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30"/>
      <c r="AQ379" s="30"/>
      <c r="AR379" s="30"/>
      <c r="AS379" s="30"/>
      <c r="AT379" s="30"/>
      <c r="AU379" s="30"/>
      <c r="AV379" s="30"/>
      <c r="AW379" s="30"/>
      <c r="AX379" s="30"/>
      <c r="AY379" s="30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30"/>
      <c r="BK379" s="30"/>
      <c r="BL379" s="30"/>
      <c r="BM379" s="30"/>
      <c r="BN379" s="30"/>
      <c r="BO379" s="30"/>
      <c r="BP379" s="30"/>
      <c r="BQ379" s="30"/>
      <c r="BR379" s="30"/>
      <c r="BS379" s="30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1"/>
      <c r="CO379" s="1"/>
      <c r="CP379" s="1"/>
      <c r="CQ379" s="1"/>
      <c r="CR379" s="1"/>
      <c r="CS379" s="1"/>
      <c r="CT379" s="1"/>
      <c r="CU379" s="1"/>
      <c r="CV379" s="1"/>
      <c r="CW379" s="1"/>
    </row>
    <row r="380" spans="2:101" ht="15" hidden="1" customHeight="1" x14ac:dyDescent="0.25"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30"/>
      <c r="AQ380" s="30"/>
      <c r="AR380" s="30"/>
      <c r="AS380" s="30"/>
      <c r="AT380" s="30"/>
      <c r="AU380" s="30"/>
      <c r="AV380" s="30"/>
      <c r="AW380" s="30"/>
      <c r="AX380" s="30"/>
      <c r="AY380" s="30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30"/>
      <c r="BK380" s="30"/>
      <c r="BL380" s="30"/>
      <c r="BM380" s="30"/>
      <c r="BN380" s="30"/>
      <c r="BO380" s="30"/>
      <c r="BP380" s="30"/>
      <c r="BQ380" s="30"/>
      <c r="BR380" s="30"/>
      <c r="BS380" s="30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1"/>
      <c r="CO380" s="1"/>
      <c r="CP380" s="1"/>
      <c r="CQ380" s="1"/>
      <c r="CR380" s="1"/>
      <c r="CS380" s="1"/>
      <c r="CT380" s="1"/>
      <c r="CU380" s="1"/>
      <c r="CV380" s="1"/>
      <c r="CW380" s="1"/>
    </row>
    <row r="381" spans="2:101" ht="15" hidden="1" customHeight="1" x14ac:dyDescent="0.25"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30"/>
      <c r="AQ381" s="30"/>
      <c r="AR381" s="30"/>
      <c r="AS381" s="30"/>
      <c r="AT381" s="30"/>
      <c r="AU381" s="30"/>
      <c r="AV381" s="30"/>
      <c r="AW381" s="30"/>
      <c r="AX381" s="30"/>
      <c r="AY381" s="30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30"/>
      <c r="BK381" s="30"/>
      <c r="BL381" s="30"/>
      <c r="BM381" s="30"/>
      <c r="BN381" s="30"/>
      <c r="BO381" s="30"/>
      <c r="BP381" s="30"/>
      <c r="BQ381" s="30"/>
      <c r="BR381" s="30"/>
      <c r="BS381" s="30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1"/>
      <c r="CO381" s="1"/>
      <c r="CP381" s="1"/>
      <c r="CQ381" s="1"/>
      <c r="CR381" s="1"/>
      <c r="CS381" s="1"/>
      <c r="CT381" s="1"/>
      <c r="CU381" s="1"/>
      <c r="CV381" s="1"/>
      <c r="CW381" s="1"/>
    </row>
    <row r="382" spans="2:101" ht="15" hidden="1" customHeight="1" x14ac:dyDescent="0.25"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30"/>
      <c r="AQ382" s="30"/>
      <c r="AR382" s="30"/>
      <c r="AS382" s="30"/>
      <c r="AT382" s="30"/>
      <c r="AU382" s="30"/>
      <c r="AV382" s="30"/>
      <c r="AW382" s="30"/>
      <c r="AX382" s="30"/>
      <c r="AY382" s="30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30"/>
      <c r="BK382" s="30"/>
      <c r="BL382" s="30"/>
      <c r="BM382" s="30"/>
      <c r="BN382" s="30"/>
      <c r="BO382" s="30"/>
      <c r="BP382" s="30"/>
      <c r="BQ382" s="30"/>
      <c r="BR382" s="30"/>
      <c r="BS382" s="30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1"/>
      <c r="CO382" s="1"/>
      <c r="CP382" s="1"/>
      <c r="CQ382" s="1"/>
      <c r="CR382" s="1"/>
      <c r="CS382" s="1"/>
      <c r="CT382" s="1"/>
      <c r="CU382" s="1"/>
      <c r="CV382" s="1"/>
      <c r="CW382" s="1"/>
    </row>
    <row r="383" spans="2:101" ht="15" hidden="1" customHeight="1" x14ac:dyDescent="0.25"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30"/>
      <c r="AQ383" s="30"/>
      <c r="AR383" s="30"/>
      <c r="AS383" s="30"/>
      <c r="AT383" s="30"/>
      <c r="AU383" s="30"/>
      <c r="AV383" s="30"/>
      <c r="AW383" s="30"/>
      <c r="AX383" s="30"/>
      <c r="AY383" s="30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30"/>
      <c r="BK383" s="30"/>
      <c r="BL383" s="30"/>
      <c r="BM383" s="30"/>
      <c r="BN383" s="30"/>
      <c r="BO383" s="30"/>
      <c r="BP383" s="30"/>
      <c r="BQ383" s="30"/>
      <c r="BR383" s="30"/>
      <c r="BS383" s="30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1"/>
      <c r="CO383" s="1"/>
      <c r="CP383" s="1"/>
      <c r="CQ383" s="1"/>
      <c r="CR383" s="1"/>
      <c r="CS383" s="1"/>
      <c r="CT383" s="1"/>
      <c r="CU383" s="1"/>
      <c r="CV383" s="1"/>
      <c r="CW383" s="1"/>
    </row>
    <row r="384" spans="2:101" ht="15" hidden="1" customHeight="1" x14ac:dyDescent="0.25"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30"/>
      <c r="AQ384" s="30"/>
      <c r="AR384" s="30"/>
      <c r="AS384" s="30"/>
      <c r="AT384" s="30"/>
      <c r="AU384" s="30"/>
      <c r="AV384" s="30"/>
      <c r="AW384" s="30"/>
      <c r="AX384" s="30"/>
      <c r="AY384" s="30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30"/>
      <c r="BK384" s="30"/>
      <c r="BL384" s="30"/>
      <c r="BM384" s="30"/>
      <c r="BN384" s="30"/>
      <c r="BO384" s="30"/>
      <c r="BP384" s="30"/>
      <c r="BQ384" s="30"/>
      <c r="BR384" s="30"/>
      <c r="BS384" s="30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1"/>
      <c r="CO384" s="1"/>
      <c r="CP384" s="1"/>
      <c r="CQ384" s="1"/>
      <c r="CR384" s="1"/>
      <c r="CS384" s="1"/>
      <c r="CT384" s="1"/>
      <c r="CU384" s="1"/>
      <c r="CV384" s="1"/>
      <c r="CW384" s="1"/>
    </row>
    <row r="385" spans="2:101" ht="15" hidden="1" customHeight="1" x14ac:dyDescent="0.25"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30"/>
      <c r="AQ385" s="30"/>
      <c r="AR385" s="30"/>
      <c r="AS385" s="30"/>
      <c r="AT385" s="30"/>
      <c r="AU385" s="30"/>
      <c r="AV385" s="30"/>
      <c r="AW385" s="30"/>
      <c r="AX385" s="30"/>
      <c r="AY385" s="30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30"/>
      <c r="BK385" s="30"/>
      <c r="BL385" s="30"/>
      <c r="BM385" s="30"/>
      <c r="BN385" s="30"/>
      <c r="BO385" s="30"/>
      <c r="BP385" s="30"/>
      <c r="BQ385" s="30"/>
      <c r="BR385" s="30"/>
      <c r="BS385" s="30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1"/>
      <c r="CO385" s="1"/>
      <c r="CP385" s="1"/>
      <c r="CQ385" s="1"/>
      <c r="CR385" s="1"/>
      <c r="CS385" s="1"/>
      <c r="CT385" s="1"/>
      <c r="CU385" s="1"/>
      <c r="CV385" s="1"/>
      <c r="CW385" s="1"/>
    </row>
    <row r="386" spans="2:101" ht="15" hidden="1" customHeight="1" x14ac:dyDescent="0.25"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30"/>
      <c r="AQ386" s="30"/>
      <c r="AR386" s="30"/>
      <c r="AS386" s="30"/>
      <c r="AT386" s="30"/>
      <c r="AU386" s="30"/>
      <c r="AV386" s="30"/>
      <c r="AW386" s="30"/>
      <c r="AX386" s="30"/>
      <c r="AY386" s="30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30"/>
      <c r="BK386" s="30"/>
      <c r="BL386" s="30"/>
      <c r="BM386" s="30"/>
      <c r="BN386" s="30"/>
      <c r="BO386" s="30"/>
      <c r="BP386" s="30"/>
      <c r="BQ386" s="30"/>
      <c r="BR386" s="30"/>
      <c r="BS386" s="30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1"/>
      <c r="CO386" s="1"/>
      <c r="CP386" s="1"/>
      <c r="CQ386" s="1"/>
      <c r="CR386" s="1"/>
      <c r="CS386" s="1"/>
      <c r="CT386" s="1"/>
      <c r="CU386" s="1"/>
      <c r="CV386" s="1"/>
      <c r="CW386" s="1"/>
    </row>
    <row r="387" spans="2:101" ht="15" hidden="1" customHeight="1" x14ac:dyDescent="0.25"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30"/>
      <c r="AQ387" s="30"/>
      <c r="AR387" s="30"/>
      <c r="AS387" s="30"/>
      <c r="AT387" s="30"/>
      <c r="AU387" s="30"/>
      <c r="AV387" s="30"/>
      <c r="AW387" s="30"/>
      <c r="AX387" s="30"/>
      <c r="AY387" s="30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30"/>
      <c r="BK387" s="30"/>
      <c r="BL387" s="30"/>
      <c r="BM387" s="30"/>
      <c r="BN387" s="30"/>
      <c r="BO387" s="30"/>
      <c r="BP387" s="30"/>
      <c r="BQ387" s="30"/>
      <c r="BR387" s="30"/>
      <c r="BS387" s="30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1"/>
      <c r="CO387" s="1"/>
      <c r="CP387" s="1"/>
      <c r="CQ387" s="1"/>
      <c r="CR387" s="1"/>
      <c r="CS387" s="1"/>
      <c r="CT387" s="1"/>
      <c r="CU387" s="1"/>
      <c r="CV387" s="1"/>
      <c r="CW387" s="1"/>
    </row>
    <row r="388" spans="2:101" ht="15" hidden="1" customHeight="1" x14ac:dyDescent="0.25"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30"/>
      <c r="AQ388" s="30"/>
      <c r="AR388" s="30"/>
      <c r="AS388" s="30"/>
      <c r="AT388" s="30"/>
      <c r="AU388" s="30"/>
      <c r="AV388" s="30"/>
      <c r="AW388" s="30"/>
      <c r="AX388" s="30"/>
      <c r="AY388" s="30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30"/>
      <c r="BK388" s="30"/>
      <c r="BL388" s="30"/>
      <c r="BM388" s="30"/>
      <c r="BN388" s="30"/>
      <c r="BO388" s="30"/>
      <c r="BP388" s="30"/>
      <c r="BQ388" s="30"/>
      <c r="BR388" s="30"/>
      <c r="BS388" s="30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1"/>
      <c r="CO388" s="1"/>
      <c r="CP388" s="1"/>
      <c r="CQ388" s="1"/>
      <c r="CR388" s="1"/>
      <c r="CS388" s="1"/>
      <c r="CT388" s="1"/>
      <c r="CU388" s="1"/>
      <c r="CV388" s="1"/>
      <c r="CW388" s="1"/>
    </row>
    <row r="389" spans="2:101" ht="15" hidden="1" customHeight="1" x14ac:dyDescent="0.25"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30"/>
      <c r="AQ389" s="30"/>
      <c r="AR389" s="30"/>
      <c r="AS389" s="30"/>
      <c r="AT389" s="30"/>
      <c r="AU389" s="30"/>
      <c r="AV389" s="30"/>
      <c r="AW389" s="30"/>
      <c r="AX389" s="30"/>
      <c r="AY389" s="30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30"/>
      <c r="BK389" s="30"/>
      <c r="BL389" s="30"/>
      <c r="BM389" s="30"/>
      <c r="BN389" s="30"/>
      <c r="BO389" s="30"/>
      <c r="BP389" s="30"/>
      <c r="BQ389" s="30"/>
      <c r="BR389" s="30"/>
      <c r="BS389" s="30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1"/>
      <c r="CO389" s="1"/>
      <c r="CP389" s="1"/>
      <c r="CQ389" s="1"/>
      <c r="CR389" s="1"/>
      <c r="CS389" s="1"/>
      <c r="CT389" s="1"/>
      <c r="CU389" s="1"/>
      <c r="CV389" s="1"/>
      <c r="CW389" s="1"/>
    </row>
    <row r="390" spans="2:101" ht="15" hidden="1" customHeight="1" x14ac:dyDescent="0.25"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30"/>
      <c r="AQ390" s="30"/>
      <c r="AR390" s="30"/>
      <c r="AS390" s="30"/>
      <c r="AT390" s="30"/>
      <c r="AU390" s="30"/>
      <c r="AV390" s="30"/>
      <c r="AW390" s="30"/>
      <c r="AX390" s="30"/>
      <c r="AY390" s="30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1"/>
      <c r="CO390" s="1"/>
      <c r="CP390" s="1"/>
      <c r="CQ390" s="1"/>
      <c r="CR390" s="1"/>
      <c r="CS390" s="1"/>
      <c r="CT390" s="1"/>
      <c r="CU390" s="1"/>
      <c r="CV390" s="1"/>
      <c r="CW390" s="1"/>
    </row>
    <row r="391" spans="2:101" ht="15" hidden="1" customHeight="1" x14ac:dyDescent="0.25"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30"/>
      <c r="AQ391" s="30"/>
      <c r="AR391" s="30"/>
      <c r="AS391" s="30"/>
      <c r="AT391" s="30"/>
      <c r="AU391" s="30"/>
      <c r="AV391" s="30"/>
      <c r="AW391" s="30"/>
      <c r="AX391" s="30"/>
      <c r="AY391" s="30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1"/>
      <c r="CO391" s="1"/>
      <c r="CP391" s="1"/>
      <c r="CQ391" s="1"/>
      <c r="CR391" s="1"/>
      <c r="CS391" s="1"/>
      <c r="CT391" s="1"/>
      <c r="CU391" s="1"/>
      <c r="CV391" s="1"/>
      <c r="CW391" s="1"/>
    </row>
    <row r="392" spans="2:101" ht="15" hidden="1" customHeight="1" x14ac:dyDescent="0.25"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30"/>
      <c r="AQ392" s="30"/>
      <c r="AR392" s="30"/>
      <c r="AS392" s="30"/>
      <c r="AT392" s="30"/>
      <c r="AU392" s="30"/>
      <c r="AV392" s="30"/>
      <c r="AW392" s="30"/>
      <c r="AX392" s="30"/>
      <c r="AY392" s="30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1"/>
      <c r="CO392" s="1"/>
      <c r="CP392" s="1"/>
      <c r="CQ392" s="1"/>
      <c r="CR392" s="1"/>
      <c r="CS392" s="1"/>
      <c r="CT392" s="1"/>
      <c r="CU392" s="1"/>
      <c r="CV392" s="1"/>
      <c r="CW392" s="1"/>
    </row>
    <row r="393" spans="2:101" ht="15" hidden="1" customHeight="1" x14ac:dyDescent="0.25"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30"/>
      <c r="AQ393" s="30"/>
      <c r="AR393" s="30"/>
      <c r="AS393" s="30"/>
      <c r="AT393" s="30"/>
      <c r="AU393" s="30"/>
      <c r="AV393" s="30"/>
      <c r="AW393" s="30"/>
      <c r="AX393" s="30"/>
      <c r="AY393" s="30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1"/>
      <c r="CO393" s="1"/>
      <c r="CP393" s="1"/>
      <c r="CQ393" s="1"/>
      <c r="CR393" s="1"/>
      <c r="CS393" s="1"/>
      <c r="CT393" s="1"/>
      <c r="CU393" s="1"/>
      <c r="CV393" s="1"/>
      <c r="CW393" s="1"/>
    </row>
    <row r="394" spans="2:101" ht="15" hidden="1" customHeight="1" x14ac:dyDescent="0.25"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30"/>
      <c r="AQ394" s="30"/>
      <c r="AR394" s="30"/>
      <c r="AS394" s="30"/>
      <c r="AT394" s="30"/>
      <c r="AU394" s="30"/>
      <c r="AV394" s="30"/>
      <c r="AW394" s="30"/>
      <c r="AX394" s="30"/>
      <c r="AY394" s="30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30"/>
      <c r="BK394" s="30"/>
      <c r="BL394" s="30"/>
      <c r="BM394" s="30"/>
      <c r="BN394" s="30"/>
      <c r="BO394" s="30"/>
      <c r="BP394" s="30"/>
      <c r="BQ394" s="30"/>
      <c r="BR394" s="30"/>
      <c r="BS394" s="30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1"/>
      <c r="CO394" s="1"/>
      <c r="CP394" s="1"/>
      <c r="CQ394" s="1"/>
      <c r="CR394" s="1"/>
      <c r="CS394" s="1"/>
      <c r="CT394" s="1"/>
      <c r="CU394" s="1"/>
      <c r="CV394" s="1"/>
      <c r="CW394" s="1"/>
    </row>
    <row r="395" spans="2:101" ht="15" hidden="1" customHeight="1" x14ac:dyDescent="0.25"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30"/>
      <c r="AQ395" s="30"/>
      <c r="AR395" s="30"/>
      <c r="AS395" s="30"/>
      <c r="AT395" s="30"/>
      <c r="AU395" s="30"/>
      <c r="AV395" s="30"/>
      <c r="AW395" s="30"/>
      <c r="AX395" s="30"/>
      <c r="AY395" s="30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30"/>
      <c r="BK395" s="30"/>
      <c r="BL395" s="30"/>
      <c r="BM395" s="30"/>
      <c r="BN395" s="30"/>
      <c r="BO395" s="30"/>
      <c r="BP395" s="30"/>
      <c r="BQ395" s="30"/>
      <c r="BR395" s="30"/>
      <c r="BS395" s="30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1"/>
      <c r="CO395" s="1"/>
      <c r="CP395" s="1"/>
      <c r="CQ395" s="1"/>
      <c r="CR395" s="1"/>
      <c r="CS395" s="1"/>
      <c r="CT395" s="1"/>
      <c r="CU395" s="1"/>
      <c r="CV395" s="1"/>
      <c r="CW395" s="1"/>
    </row>
    <row r="396" spans="2:101" ht="15" hidden="1" customHeight="1" x14ac:dyDescent="0.25"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30"/>
      <c r="AQ396" s="30"/>
      <c r="AR396" s="30"/>
      <c r="AS396" s="30"/>
      <c r="AT396" s="30"/>
      <c r="AU396" s="30"/>
      <c r="AV396" s="30"/>
      <c r="AW396" s="30"/>
      <c r="AX396" s="30"/>
      <c r="AY396" s="30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30"/>
      <c r="BK396" s="30"/>
      <c r="BL396" s="30"/>
      <c r="BM396" s="30"/>
      <c r="BN396" s="30"/>
      <c r="BO396" s="30"/>
      <c r="BP396" s="30"/>
      <c r="BQ396" s="30"/>
      <c r="BR396" s="30"/>
      <c r="BS396" s="30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1"/>
      <c r="CO396" s="1"/>
      <c r="CP396" s="1"/>
      <c r="CQ396" s="1"/>
      <c r="CR396" s="1"/>
      <c r="CS396" s="1"/>
      <c r="CT396" s="1"/>
      <c r="CU396" s="1"/>
      <c r="CV396" s="1"/>
      <c r="CW396" s="1"/>
    </row>
    <row r="397" spans="2:101" ht="15" hidden="1" customHeight="1" x14ac:dyDescent="0.25"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30"/>
      <c r="AQ397" s="30"/>
      <c r="AR397" s="30"/>
      <c r="AS397" s="30"/>
      <c r="AT397" s="30"/>
      <c r="AU397" s="30"/>
      <c r="AV397" s="30"/>
      <c r="AW397" s="30"/>
      <c r="AX397" s="30"/>
      <c r="AY397" s="30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30"/>
      <c r="BK397" s="30"/>
      <c r="BL397" s="30"/>
      <c r="BM397" s="30"/>
      <c r="BN397" s="30"/>
      <c r="BO397" s="30"/>
      <c r="BP397" s="30"/>
      <c r="BQ397" s="30"/>
      <c r="BR397" s="30"/>
      <c r="BS397" s="30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1"/>
      <c r="CO397" s="1"/>
      <c r="CP397" s="1"/>
      <c r="CQ397" s="1"/>
      <c r="CR397" s="1"/>
      <c r="CS397" s="1"/>
      <c r="CT397" s="1"/>
      <c r="CU397" s="1"/>
      <c r="CV397" s="1"/>
      <c r="CW397" s="1"/>
    </row>
    <row r="398" spans="2:101" ht="15" hidden="1" customHeight="1" x14ac:dyDescent="0.25"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30"/>
      <c r="AQ398" s="30"/>
      <c r="AR398" s="30"/>
      <c r="AS398" s="30"/>
      <c r="AT398" s="30"/>
      <c r="AU398" s="30"/>
      <c r="AV398" s="30"/>
      <c r="AW398" s="30"/>
      <c r="AX398" s="30"/>
      <c r="AY398" s="30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30"/>
      <c r="BK398" s="30"/>
      <c r="BL398" s="30"/>
      <c r="BM398" s="30"/>
      <c r="BN398" s="30"/>
      <c r="BO398" s="30"/>
      <c r="BP398" s="30"/>
      <c r="BQ398" s="30"/>
      <c r="BR398" s="30"/>
      <c r="BS398" s="30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1"/>
      <c r="CO398" s="1"/>
      <c r="CP398" s="1"/>
      <c r="CQ398" s="1"/>
      <c r="CR398" s="1"/>
      <c r="CS398" s="1"/>
      <c r="CT398" s="1"/>
      <c r="CU398" s="1"/>
      <c r="CV398" s="1"/>
      <c r="CW398" s="1"/>
    </row>
    <row r="399" spans="2:101" ht="15" hidden="1" customHeight="1" x14ac:dyDescent="0.25"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30"/>
      <c r="AQ399" s="30"/>
      <c r="AR399" s="30"/>
      <c r="AS399" s="30"/>
      <c r="AT399" s="30"/>
      <c r="AU399" s="30"/>
      <c r="AV399" s="30"/>
      <c r="AW399" s="30"/>
      <c r="AX399" s="30"/>
      <c r="AY399" s="30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30"/>
      <c r="BK399" s="30"/>
      <c r="BL399" s="30"/>
      <c r="BM399" s="30"/>
      <c r="BN399" s="30"/>
      <c r="BO399" s="30"/>
      <c r="BP399" s="30"/>
      <c r="BQ399" s="30"/>
      <c r="BR399" s="30"/>
      <c r="BS399" s="30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1"/>
      <c r="CO399" s="1"/>
      <c r="CP399" s="1"/>
      <c r="CQ399" s="1"/>
      <c r="CR399" s="1"/>
      <c r="CS399" s="1"/>
      <c r="CT399" s="1"/>
      <c r="CU399" s="1"/>
      <c r="CV399" s="1"/>
      <c r="CW399" s="1"/>
    </row>
    <row r="400" spans="2:101" ht="15" hidden="1" customHeight="1" x14ac:dyDescent="0.25"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30"/>
      <c r="AQ400" s="30"/>
      <c r="AR400" s="30"/>
      <c r="AS400" s="30"/>
      <c r="AT400" s="30"/>
      <c r="AU400" s="30"/>
      <c r="AV400" s="30"/>
      <c r="AW400" s="30"/>
      <c r="AX400" s="30"/>
      <c r="AY400" s="30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30"/>
      <c r="BK400" s="30"/>
      <c r="BL400" s="30"/>
      <c r="BM400" s="30"/>
      <c r="BN400" s="30"/>
      <c r="BO400" s="30"/>
      <c r="BP400" s="30"/>
      <c r="BQ400" s="30"/>
      <c r="BR400" s="30"/>
      <c r="BS400" s="30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1"/>
      <c r="CO400" s="1"/>
      <c r="CP400" s="1"/>
      <c r="CQ400" s="1"/>
      <c r="CR400" s="1"/>
      <c r="CS400" s="1"/>
      <c r="CT400" s="1"/>
      <c r="CU400" s="1"/>
      <c r="CV400" s="1"/>
      <c r="CW400" s="1"/>
    </row>
    <row r="401" spans="2:101" ht="15" hidden="1" customHeight="1" x14ac:dyDescent="0.25"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30"/>
      <c r="AQ401" s="30"/>
      <c r="AR401" s="30"/>
      <c r="AS401" s="30"/>
      <c r="AT401" s="30"/>
      <c r="AU401" s="30"/>
      <c r="AV401" s="30"/>
      <c r="AW401" s="30"/>
      <c r="AX401" s="30"/>
      <c r="AY401" s="30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30"/>
      <c r="BK401" s="30"/>
      <c r="BL401" s="30"/>
      <c r="BM401" s="30"/>
      <c r="BN401" s="30"/>
      <c r="BO401" s="30"/>
      <c r="BP401" s="30"/>
      <c r="BQ401" s="30"/>
      <c r="BR401" s="30"/>
      <c r="BS401" s="30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1"/>
      <c r="CO401" s="1"/>
      <c r="CP401" s="1"/>
      <c r="CQ401" s="1"/>
      <c r="CR401" s="1"/>
      <c r="CS401" s="1"/>
      <c r="CT401" s="1"/>
      <c r="CU401" s="1"/>
      <c r="CV401" s="1"/>
      <c r="CW401" s="1"/>
    </row>
    <row r="402" spans="2:101" ht="15" hidden="1" customHeight="1" x14ac:dyDescent="0.25"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30"/>
      <c r="AQ402" s="30"/>
      <c r="AR402" s="30"/>
      <c r="AS402" s="30"/>
      <c r="AT402" s="30"/>
      <c r="AU402" s="30"/>
      <c r="AV402" s="30"/>
      <c r="AW402" s="30"/>
      <c r="AX402" s="30"/>
      <c r="AY402" s="30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30"/>
      <c r="BK402" s="30"/>
      <c r="BL402" s="30"/>
      <c r="BM402" s="30"/>
      <c r="BN402" s="30"/>
      <c r="BO402" s="30"/>
      <c r="BP402" s="30"/>
      <c r="BQ402" s="30"/>
      <c r="BR402" s="30"/>
      <c r="BS402" s="30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1"/>
      <c r="CO402" s="1"/>
      <c r="CP402" s="1"/>
      <c r="CQ402" s="1"/>
      <c r="CR402" s="1"/>
      <c r="CS402" s="1"/>
      <c r="CT402" s="1"/>
      <c r="CU402" s="1"/>
      <c r="CV402" s="1"/>
      <c r="CW402" s="1"/>
    </row>
    <row r="403" spans="2:101" ht="15" hidden="1" customHeight="1" x14ac:dyDescent="0.25"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30"/>
      <c r="AQ403" s="30"/>
      <c r="AR403" s="30"/>
      <c r="AS403" s="30"/>
      <c r="AT403" s="30"/>
      <c r="AU403" s="30"/>
      <c r="AV403" s="30"/>
      <c r="AW403" s="30"/>
      <c r="AX403" s="30"/>
      <c r="AY403" s="30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30"/>
      <c r="BK403" s="30"/>
      <c r="BL403" s="30"/>
      <c r="BM403" s="30"/>
      <c r="BN403" s="30"/>
      <c r="BO403" s="30"/>
      <c r="BP403" s="30"/>
      <c r="BQ403" s="30"/>
      <c r="BR403" s="30"/>
      <c r="BS403" s="30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1"/>
      <c r="CO403" s="1"/>
      <c r="CP403" s="1"/>
      <c r="CQ403" s="1"/>
      <c r="CR403" s="1"/>
      <c r="CS403" s="1"/>
      <c r="CT403" s="1"/>
      <c r="CU403" s="1"/>
      <c r="CV403" s="1"/>
      <c r="CW403" s="1"/>
    </row>
    <row r="404" spans="2:101" ht="15" hidden="1" customHeight="1" x14ac:dyDescent="0.25"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30"/>
      <c r="AQ404" s="30"/>
      <c r="AR404" s="30"/>
      <c r="AS404" s="30"/>
      <c r="AT404" s="30"/>
      <c r="AU404" s="30"/>
      <c r="AV404" s="30"/>
      <c r="AW404" s="30"/>
      <c r="AX404" s="30"/>
      <c r="AY404" s="30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30"/>
      <c r="BK404" s="30"/>
      <c r="BL404" s="30"/>
      <c r="BM404" s="30"/>
      <c r="BN404" s="30"/>
      <c r="BO404" s="30"/>
      <c r="BP404" s="30"/>
      <c r="BQ404" s="30"/>
      <c r="BR404" s="30"/>
      <c r="BS404" s="30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1"/>
      <c r="CO404" s="1"/>
      <c r="CP404" s="1"/>
      <c r="CQ404" s="1"/>
      <c r="CR404" s="1"/>
      <c r="CS404" s="1"/>
      <c r="CT404" s="1"/>
      <c r="CU404" s="1"/>
      <c r="CV404" s="1"/>
      <c r="CW404" s="1"/>
    </row>
    <row r="405" spans="2:101" ht="15" hidden="1" customHeight="1" x14ac:dyDescent="0.25"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30"/>
      <c r="AQ405" s="30"/>
      <c r="AR405" s="30"/>
      <c r="AS405" s="30"/>
      <c r="AT405" s="30"/>
      <c r="AU405" s="30"/>
      <c r="AV405" s="30"/>
      <c r="AW405" s="30"/>
      <c r="AX405" s="30"/>
      <c r="AY405" s="30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30"/>
      <c r="BK405" s="30"/>
      <c r="BL405" s="30"/>
      <c r="BM405" s="30"/>
      <c r="BN405" s="30"/>
      <c r="BO405" s="30"/>
      <c r="BP405" s="30"/>
      <c r="BQ405" s="30"/>
      <c r="BR405" s="30"/>
      <c r="BS405" s="30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1"/>
      <c r="CO405" s="1"/>
      <c r="CP405" s="1"/>
      <c r="CQ405" s="1"/>
      <c r="CR405" s="1"/>
      <c r="CS405" s="1"/>
      <c r="CT405" s="1"/>
      <c r="CU405" s="1"/>
      <c r="CV405" s="1"/>
      <c r="CW405" s="1"/>
    </row>
    <row r="406" spans="2:101" ht="15" hidden="1" customHeight="1" x14ac:dyDescent="0.25"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30"/>
      <c r="AQ406" s="30"/>
      <c r="AR406" s="30"/>
      <c r="AS406" s="30"/>
      <c r="AT406" s="30"/>
      <c r="AU406" s="30"/>
      <c r="AV406" s="30"/>
      <c r="AW406" s="30"/>
      <c r="AX406" s="30"/>
      <c r="AY406" s="30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30"/>
      <c r="BK406" s="30"/>
      <c r="BL406" s="30"/>
      <c r="BM406" s="30"/>
      <c r="BN406" s="30"/>
      <c r="BO406" s="30"/>
      <c r="BP406" s="30"/>
      <c r="BQ406" s="30"/>
      <c r="BR406" s="30"/>
      <c r="BS406" s="30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1"/>
      <c r="CO406" s="1"/>
      <c r="CP406" s="1"/>
      <c r="CQ406" s="1"/>
      <c r="CR406" s="1"/>
      <c r="CS406" s="1"/>
      <c r="CT406" s="1"/>
      <c r="CU406" s="1"/>
      <c r="CV406" s="1"/>
      <c r="CW406" s="1"/>
    </row>
    <row r="407" spans="2:101" ht="15" hidden="1" customHeight="1" x14ac:dyDescent="0.25"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30"/>
      <c r="AQ407" s="30"/>
      <c r="AR407" s="30"/>
      <c r="AS407" s="30"/>
      <c r="AT407" s="30"/>
      <c r="AU407" s="30"/>
      <c r="AV407" s="30"/>
      <c r="AW407" s="30"/>
      <c r="AX407" s="30"/>
      <c r="AY407" s="30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30"/>
      <c r="BK407" s="30"/>
      <c r="BL407" s="30"/>
      <c r="BM407" s="30"/>
      <c r="BN407" s="30"/>
      <c r="BO407" s="30"/>
      <c r="BP407" s="30"/>
      <c r="BQ407" s="30"/>
      <c r="BR407" s="30"/>
      <c r="BS407" s="30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30"/>
      <c r="CE407" s="30"/>
      <c r="CF407" s="30"/>
      <c r="CG407" s="30"/>
      <c r="CH407" s="30"/>
      <c r="CI407" s="30"/>
      <c r="CJ407" s="30"/>
      <c r="CK407" s="30"/>
      <c r="CL407" s="30"/>
      <c r="CM407" s="30"/>
      <c r="CN407" s="1"/>
      <c r="CO407" s="1"/>
      <c r="CP407" s="1"/>
      <c r="CQ407" s="1"/>
      <c r="CR407" s="1"/>
      <c r="CS407" s="1"/>
      <c r="CT407" s="1"/>
      <c r="CU407" s="1"/>
      <c r="CV407" s="1"/>
      <c r="CW407" s="1"/>
    </row>
    <row r="408" spans="2:101" ht="15" hidden="1" customHeight="1" x14ac:dyDescent="0.25"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30"/>
      <c r="AQ408" s="30"/>
      <c r="AR408" s="30"/>
      <c r="AS408" s="30"/>
      <c r="AT408" s="30"/>
      <c r="AU408" s="30"/>
      <c r="AV408" s="30"/>
      <c r="AW408" s="30"/>
      <c r="AX408" s="30"/>
      <c r="AY408" s="30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30"/>
      <c r="BK408" s="30"/>
      <c r="BL408" s="30"/>
      <c r="BM408" s="30"/>
      <c r="BN408" s="30"/>
      <c r="BO408" s="30"/>
      <c r="BP408" s="30"/>
      <c r="BQ408" s="30"/>
      <c r="BR408" s="30"/>
      <c r="BS408" s="30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30"/>
      <c r="CE408" s="30"/>
      <c r="CF408" s="30"/>
      <c r="CG408" s="30"/>
      <c r="CH408" s="30"/>
      <c r="CI408" s="30"/>
      <c r="CJ408" s="30"/>
      <c r="CK408" s="30"/>
      <c r="CL408" s="30"/>
      <c r="CM408" s="30"/>
      <c r="CN408" s="1"/>
      <c r="CO408" s="1"/>
      <c r="CP408" s="1"/>
      <c r="CQ408" s="1"/>
      <c r="CR408" s="1"/>
      <c r="CS408" s="1"/>
      <c r="CT408" s="1"/>
      <c r="CU408" s="1"/>
      <c r="CV408" s="1"/>
      <c r="CW408" s="1"/>
    </row>
    <row r="409" spans="2:101" ht="15" hidden="1" customHeight="1" x14ac:dyDescent="0.25"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30"/>
      <c r="AQ409" s="30"/>
      <c r="AR409" s="30"/>
      <c r="AS409" s="30"/>
      <c r="AT409" s="30"/>
      <c r="AU409" s="30"/>
      <c r="AV409" s="30"/>
      <c r="AW409" s="30"/>
      <c r="AX409" s="30"/>
      <c r="AY409" s="30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30"/>
      <c r="BK409" s="30"/>
      <c r="BL409" s="30"/>
      <c r="BM409" s="30"/>
      <c r="BN409" s="30"/>
      <c r="BO409" s="30"/>
      <c r="BP409" s="30"/>
      <c r="BQ409" s="30"/>
      <c r="BR409" s="30"/>
      <c r="BS409" s="30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30"/>
      <c r="CE409" s="30"/>
      <c r="CF409" s="30"/>
      <c r="CG409" s="30"/>
      <c r="CH409" s="30"/>
      <c r="CI409" s="30"/>
      <c r="CJ409" s="30"/>
      <c r="CK409" s="30"/>
      <c r="CL409" s="30"/>
      <c r="CM409" s="30"/>
      <c r="CN409" s="1"/>
      <c r="CO409" s="1"/>
      <c r="CP409" s="1"/>
      <c r="CQ409" s="1"/>
      <c r="CR409" s="1"/>
      <c r="CS409" s="1"/>
      <c r="CT409" s="1"/>
      <c r="CU409" s="1"/>
      <c r="CV409" s="1"/>
      <c r="CW409" s="1"/>
    </row>
    <row r="410" spans="2:101" ht="15" hidden="1" customHeight="1" x14ac:dyDescent="0.25"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30"/>
      <c r="AQ410" s="30"/>
      <c r="AR410" s="30"/>
      <c r="AS410" s="30"/>
      <c r="AT410" s="30"/>
      <c r="AU410" s="30"/>
      <c r="AV410" s="30"/>
      <c r="AW410" s="30"/>
      <c r="AX410" s="30"/>
      <c r="AY410" s="30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30"/>
      <c r="BK410" s="30"/>
      <c r="BL410" s="30"/>
      <c r="BM410" s="30"/>
      <c r="BN410" s="30"/>
      <c r="BO410" s="30"/>
      <c r="BP410" s="30"/>
      <c r="BQ410" s="30"/>
      <c r="BR410" s="30"/>
      <c r="BS410" s="30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1"/>
      <c r="CO410" s="1"/>
      <c r="CP410" s="1"/>
      <c r="CQ410" s="1"/>
      <c r="CR410" s="1"/>
      <c r="CS410" s="1"/>
      <c r="CT410" s="1"/>
      <c r="CU410" s="1"/>
      <c r="CV410" s="1"/>
      <c r="CW410" s="1"/>
    </row>
    <row r="411" spans="2:101" ht="15" hidden="1" customHeight="1" x14ac:dyDescent="0.25"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30"/>
      <c r="AQ411" s="30"/>
      <c r="AR411" s="30"/>
      <c r="AS411" s="30"/>
      <c r="AT411" s="30"/>
      <c r="AU411" s="30"/>
      <c r="AV411" s="30"/>
      <c r="AW411" s="30"/>
      <c r="AX411" s="30"/>
      <c r="AY411" s="30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30"/>
      <c r="BK411" s="30"/>
      <c r="BL411" s="30"/>
      <c r="BM411" s="30"/>
      <c r="BN411" s="30"/>
      <c r="BO411" s="30"/>
      <c r="BP411" s="30"/>
      <c r="BQ411" s="30"/>
      <c r="BR411" s="30"/>
      <c r="BS411" s="30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1"/>
      <c r="CO411" s="1"/>
      <c r="CP411" s="1"/>
      <c r="CQ411" s="1"/>
      <c r="CR411" s="1"/>
      <c r="CS411" s="1"/>
      <c r="CT411" s="1"/>
      <c r="CU411" s="1"/>
      <c r="CV411" s="1"/>
      <c r="CW411" s="1"/>
    </row>
    <row r="412" spans="2:101" ht="15" hidden="1" customHeight="1" x14ac:dyDescent="0.25"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30"/>
      <c r="AQ412" s="30"/>
      <c r="AR412" s="30"/>
      <c r="AS412" s="30"/>
      <c r="AT412" s="30"/>
      <c r="AU412" s="30"/>
      <c r="AV412" s="30"/>
      <c r="AW412" s="30"/>
      <c r="AX412" s="30"/>
      <c r="AY412" s="30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30"/>
      <c r="BK412" s="30"/>
      <c r="BL412" s="30"/>
      <c r="BM412" s="30"/>
      <c r="BN412" s="30"/>
      <c r="BO412" s="30"/>
      <c r="BP412" s="30"/>
      <c r="BQ412" s="30"/>
      <c r="BR412" s="30"/>
      <c r="BS412" s="30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1"/>
      <c r="CO412" s="1"/>
      <c r="CP412" s="1"/>
      <c r="CQ412" s="1"/>
      <c r="CR412" s="1"/>
      <c r="CS412" s="1"/>
      <c r="CT412" s="1"/>
      <c r="CU412" s="1"/>
      <c r="CV412" s="1"/>
      <c r="CW412" s="1"/>
    </row>
    <row r="413" spans="2:101" ht="15" hidden="1" customHeight="1" x14ac:dyDescent="0.25"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30"/>
      <c r="AQ413" s="30"/>
      <c r="AR413" s="30"/>
      <c r="AS413" s="30"/>
      <c r="AT413" s="30"/>
      <c r="AU413" s="30"/>
      <c r="AV413" s="30"/>
      <c r="AW413" s="30"/>
      <c r="AX413" s="30"/>
      <c r="AY413" s="30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30"/>
      <c r="BK413" s="30"/>
      <c r="BL413" s="30"/>
      <c r="BM413" s="30"/>
      <c r="BN413" s="30"/>
      <c r="BO413" s="30"/>
      <c r="BP413" s="30"/>
      <c r="BQ413" s="30"/>
      <c r="BR413" s="30"/>
      <c r="BS413" s="30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1"/>
      <c r="CO413" s="1"/>
      <c r="CP413" s="1"/>
      <c r="CQ413" s="1"/>
      <c r="CR413" s="1"/>
      <c r="CS413" s="1"/>
      <c r="CT413" s="1"/>
      <c r="CU413" s="1"/>
      <c r="CV413" s="1"/>
      <c r="CW413" s="1"/>
    </row>
    <row r="414" spans="2:101" ht="15" hidden="1" customHeight="1" x14ac:dyDescent="0.25"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30"/>
      <c r="AQ414" s="30"/>
      <c r="AR414" s="30"/>
      <c r="AS414" s="30"/>
      <c r="AT414" s="30"/>
      <c r="AU414" s="30"/>
      <c r="AV414" s="30"/>
      <c r="AW414" s="30"/>
      <c r="AX414" s="30"/>
      <c r="AY414" s="30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30"/>
      <c r="BK414" s="30"/>
      <c r="BL414" s="30"/>
      <c r="BM414" s="30"/>
      <c r="BN414" s="30"/>
      <c r="BO414" s="30"/>
      <c r="BP414" s="30"/>
      <c r="BQ414" s="30"/>
      <c r="BR414" s="30"/>
      <c r="BS414" s="30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1"/>
      <c r="CO414" s="1"/>
      <c r="CP414" s="1"/>
      <c r="CQ414" s="1"/>
      <c r="CR414" s="1"/>
      <c r="CS414" s="1"/>
      <c r="CT414" s="1"/>
      <c r="CU414" s="1"/>
      <c r="CV414" s="1"/>
      <c r="CW414" s="1"/>
    </row>
    <row r="415" spans="2:101" ht="15" hidden="1" customHeight="1" x14ac:dyDescent="0.25"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30"/>
      <c r="AQ415" s="30"/>
      <c r="AR415" s="30"/>
      <c r="AS415" s="30"/>
      <c r="AT415" s="30"/>
      <c r="AU415" s="30"/>
      <c r="AV415" s="30"/>
      <c r="AW415" s="30"/>
      <c r="AX415" s="30"/>
      <c r="AY415" s="30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30"/>
      <c r="BK415" s="30"/>
      <c r="BL415" s="30"/>
      <c r="BM415" s="30"/>
      <c r="BN415" s="30"/>
      <c r="BO415" s="30"/>
      <c r="BP415" s="30"/>
      <c r="BQ415" s="30"/>
      <c r="BR415" s="30"/>
      <c r="BS415" s="30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30"/>
      <c r="CE415" s="30"/>
      <c r="CF415" s="30"/>
      <c r="CG415" s="30"/>
      <c r="CH415" s="30"/>
      <c r="CI415" s="30"/>
      <c r="CJ415" s="30"/>
      <c r="CK415" s="30"/>
      <c r="CL415" s="30"/>
      <c r="CM415" s="30"/>
      <c r="CN415" s="1"/>
      <c r="CO415" s="1"/>
      <c r="CP415" s="1"/>
      <c r="CQ415" s="1"/>
      <c r="CR415" s="1"/>
      <c r="CS415" s="1"/>
      <c r="CT415" s="1"/>
      <c r="CU415" s="1"/>
      <c r="CV415" s="1"/>
      <c r="CW415" s="1"/>
    </row>
    <row r="416" spans="2:101" ht="15" hidden="1" customHeight="1" x14ac:dyDescent="0.25"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30"/>
      <c r="AQ416" s="30"/>
      <c r="AR416" s="30"/>
      <c r="AS416" s="30"/>
      <c r="AT416" s="30"/>
      <c r="AU416" s="30"/>
      <c r="AV416" s="30"/>
      <c r="AW416" s="30"/>
      <c r="AX416" s="30"/>
      <c r="AY416" s="30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30"/>
      <c r="BK416" s="30"/>
      <c r="BL416" s="30"/>
      <c r="BM416" s="30"/>
      <c r="BN416" s="30"/>
      <c r="BO416" s="30"/>
      <c r="BP416" s="30"/>
      <c r="BQ416" s="30"/>
      <c r="BR416" s="30"/>
      <c r="BS416" s="30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30"/>
      <c r="CE416" s="30"/>
      <c r="CF416" s="30"/>
      <c r="CG416" s="30"/>
      <c r="CH416" s="30"/>
      <c r="CI416" s="30"/>
      <c r="CJ416" s="30"/>
      <c r="CK416" s="30"/>
      <c r="CL416" s="30"/>
      <c r="CM416" s="30"/>
      <c r="CN416" s="1"/>
      <c r="CO416" s="1"/>
      <c r="CP416" s="1"/>
      <c r="CQ416" s="1"/>
      <c r="CR416" s="1"/>
      <c r="CS416" s="1"/>
      <c r="CT416" s="1"/>
      <c r="CU416" s="1"/>
      <c r="CV416" s="1"/>
      <c r="CW416" s="1"/>
    </row>
    <row r="417" spans="2:101" ht="15" hidden="1" customHeight="1" x14ac:dyDescent="0.25"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30"/>
      <c r="AQ417" s="30"/>
      <c r="AR417" s="30"/>
      <c r="AS417" s="30"/>
      <c r="AT417" s="30"/>
      <c r="AU417" s="30"/>
      <c r="AV417" s="30"/>
      <c r="AW417" s="30"/>
      <c r="AX417" s="30"/>
      <c r="AY417" s="30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30"/>
      <c r="BK417" s="30"/>
      <c r="BL417" s="30"/>
      <c r="BM417" s="30"/>
      <c r="BN417" s="30"/>
      <c r="BO417" s="30"/>
      <c r="BP417" s="30"/>
      <c r="BQ417" s="30"/>
      <c r="BR417" s="30"/>
      <c r="BS417" s="30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30"/>
      <c r="CE417" s="30"/>
      <c r="CF417" s="30"/>
      <c r="CG417" s="30"/>
      <c r="CH417" s="30"/>
      <c r="CI417" s="30"/>
      <c r="CJ417" s="30"/>
      <c r="CK417" s="30"/>
      <c r="CL417" s="30"/>
      <c r="CM417" s="30"/>
      <c r="CN417" s="1"/>
      <c r="CO417" s="1"/>
      <c r="CP417" s="1"/>
      <c r="CQ417" s="1"/>
      <c r="CR417" s="1"/>
      <c r="CS417" s="1"/>
      <c r="CT417" s="1"/>
      <c r="CU417" s="1"/>
      <c r="CV417" s="1"/>
      <c r="CW417" s="1"/>
    </row>
    <row r="418" spans="2:101" ht="15" hidden="1" customHeight="1" x14ac:dyDescent="0.25"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30"/>
      <c r="AQ418" s="30"/>
      <c r="AR418" s="30"/>
      <c r="AS418" s="30"/>
      <c r="AT418" s="30"/>
      <c r="AU418" s="30"/>
      <c r="AV418" s="30"/>
      <c r="AW418" s="30"/>
      <c r="AX418" s="30"/>
      <c r="AY418" s="30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30"/>
      <c r="BK418" s="30"/>
      <c r="BL418" s="30"/>
      <c r="BM418" s="30"/>
      <c r="BN418" s="30"/>
      <c r="BO418" s="30"/>
      <c r="BP418" s="30"/>
      <c r="BQ418" s="30"/>
      <c r="BR418" s="30"/>
      <c r="BS418" s="30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1"/>
      <c r="CO418" s="1"/>
      <c r="CP418" s="1"/>
      <c r="CQ418" s="1"/>
      <c r="CR418" s="1"/>
      <c r="CS418" s="1"/>
      <c r="CT418" s="1"/>
      <c r="CU418" s="1"/>
      <c r="CV418" s="1"/>
      <c r="CW418" s="1"/>
    </row>
    <row r="419" spans="2:101" ht="15" hidden="1" customHeight="1" x14ac:dyDescent="0.25"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30"/>
      <c r="AQ419" s="30"/>
      <c r="AR419" s="30"/>
      <c r="AS419" s="30"/>
      <c r="AT419" s="30"/>
      <c r="AU419" s="30"/>
      <c r="AV419" s="30"/>
      <c r="AW419" s="30"/>
      <c r="AX419" s="30"/>
      <c r="AY419" s="30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30"/>
      <c r="BK419" s="30"/>
      <c r="BL419" s="30"/>
      <c r="BM419" s="30"/>
      <c r="BN419" s="30"/>
      <c r="BO419" s="30"/>
      <c r="BP419" s="30"/>
      <c r="BQ419" s="30"/>
      <c r="BR419" s="30"/>
      <c r="BS419" s="30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1"/>
      <c r="CO419" s="1"/>
      <c r="CP419" s="1"/>
      <c r="CQ419" s="1"/>
      <c r="CR419" s="1"/>
      <c r="CS419" s="1"/>
      <c r="CT419" s="1"/>
      <c r="CU419" s="1"/>
      <c r="CV419" s="1"/>
      <c r="CW419" s="1"/>
    </row>
    <row r="420" spans="2:101" ht="15" hidden="1" customHeight="1" x14ac:dyDescent="0.25"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30"/>
      <c r="AQ420" s="30"/>
      <c r="AR420" s="30"/>
      <c r="AS420" s="30"/>
      <c r="AT420" s="30"/>
      <c r="AU420" s="30"/>
      <c r="AV420" s="30"/>
      <c r="AW420" s="30"/>
      <c r="AX420" s="30"/>
      <c r="AY420" s="30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30"/>
      <c r="BK420" s="30"/>
      <c r="BL420" s="30"/>
      <c r="BM420" s="30"/>
      <c r="BN420" s="30"/>
      <c r="BO420" s="30"/>
      <c r="BP420" s="30"/>
      <c r="BQ420" s="30"/>
      <c r="BR420" s="30"/>
      <c r="BS420" s="30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1"/>
      <c r="CO420" s="1"/>
      <c r="CP420" s="1"/>
      <c r="CQ420" s="1"/>
      <c r="CR420" s="1"/>
      <c r="CS420" s="1"/>
      <c r="CT420" s="1"/>
      <c r="CU420" s="1"/>
      <c r="CV420" s="1"/>
      <c r="CW420" s="1"/>
    </row>
    <row r="421" spans="2:101" ht="15" hidden="1" customHeight="1" x14ac:dyDescent="0.25"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30"/>
      <c r="AQ421" s="30"/>
      <c r="AR421" s="30"/>
      <c r="AS421" s="30"/>
      <c r="AT421" s="30"/>
      <c r="AU421" s="30"/>
      <c r="AV421" s="30"/>
      <c r="AW421" s="30"/>
      <c r="AX421" s="30"/>
      <c r="AY421" s="30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30"/>
      <c r="BK421" s="30"/>
      <c r="BL421" s="30"/>
      <c r="BM421" s="30"/>
      <c r="BN421" s="30"/>
      <c r="BO421" s="30"/>
      <c r="BP421" s="30"/>
      <c r="BQ421" s="30"/>
      <c r="BR421" s="30"/>
      <c r="BS421" s="30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1"/>
      <c r="CO421" s="1"/>
      <c r="CP421" s="1"/>
      <c r="CQ421" s="1"/>
      <c r="CR421" s="1"/>
      <c r="CS421" s="1"/>
      <c r="CT421" s="1"/>
      <c r="CU421" s="1"/>
      <c r="CV421" s="1"/>
      <c r="CW421" s="1"/>
    </row>
    <row r="422" spans="2:101" ht="15" hidden="1" customHeight="1" x14ac:dyDescent="0.25"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30"/>
      <c r="AQ422" s="30"/>
      <c r="AR422" s="30"/>
      <c r="AS422" s="30"/>
      <c r="AT422" s="30"/>
      <c r="AU422" s="30"/>
      <c r="AV422" s="30"/>
      <c r="AW422" s="30"/>
      <c r="AX422" s="30"/>
      <c r="AY422" s="30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30"/>
      <c r="BK422" s="30"/>
      <c r="BL422" s="30"/>
      <c r="BM422" s="30"/>
      <c r="BN422" s="30"/>
      <c r="BO422" s="30"/>
      <c r="BP422" s="30"/>
      <c r="BQ422" s="30"/>
      <c r="BR422" s="30"/>
      <c r="BS422" s="30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1"/>
      <c r="CO422" s="1"/>
      <c r="CP422" s="1"/>
      <c r="CQ422" s="1"/>
      <c r="CR422" s="1"/>
      <c r="CS422" s="1"/>
      <c r="CT422" s="1"/>
      <c r="CU422" s="1"/>
      <c r="CV422" s="1"/>
      <c r="CW422" s="1"/>
    </row>
    <row r="423" spans="2:101" ht="15" hidden="1" customHeight="1" x14ac:dyDescent="0.25"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30"/>
      <c r="AQ423" s="30"/>
      <c r="AR423" s="30"/>
      <c r="AS423" s="30"/>
      <c r="AT423" s="30"/>
      <c r="AU423" s="30"/>
      <c r="AV423" s="30"/>
      <c r="AW423" s="30"/>
      <c r="AX423" s="30"/>
      <c r="AY423" s="30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30"/>
      <c r="BK423" s="30"/>
      <c r="BL423" s="30"/>
      <c r="BM423" s="30"/>
      <c r="BN423" s="30"/>
      <c r="BO423" s="30"/>
      <c r="BP423" s="30"/>
      <c r="BQ423" s="30"/>
      <c r="BR423" s="30"/>
      <c r="BS423" s="30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1"/>
      <c r="CO423" s="1"/>
      <c r="CP423" s="1"/>
      <c r="CQ423" s="1"/>
      <c r="CR423" s="1"/>
      <c r="CS423" s="1"/>
      <c r="CT423" s="1"/>
      <c r="CU423" s="1"/>
      <c r="CV423" s="1"/>
      <c r="CW423" s="1"/>
    </row>
    <row r="424" spans="2:101" ht="15" hidden="1" customHeight="1" x14ac:dyDescent="0.25"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30"/>
      <c r="AQ424" s="30"/>
      <c r="AR424" s="30"/>
      <c r="AS424" s="30"/>
      <c r="AT424" s="30"/>
      <c r="AU424" s="30"/>
      <c r="AV424" s="30"/>
      <c r="AW424" s="30"/>
      <c r="AX424" s="30"/>
      <c r="AY424" s="30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30"/>
      <c r="BK424" s="30"/>
      <c r="BL424" s="30"/>
      <c r="BM424" s="30"/>
      <c r="BN424" s="30"/>
      <c r="BO424" s="30"/>
      <c r="BP424" s="30"/>
      <c r="BQ424" s="30"/>
      <c r="BR424" s="30"/>
      <c r="BS424" s="30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1"/>
      <c r="CO424" s="1"/>
      <c r="CP424" s="1"/>
      <c r="CQ424" s="1"/>
      <c r="CR424" s="1"/>
      <c r="CS424" s="1"/>
      <c r="CT424" s="1"/>
      <c r="CU424" s="1"/>
      <c r="CV424" s="1"/>
      <c r="CW424" s="1"/>
    </row>
    <row r="425" spans="2:101" ht="15" hidden="1" customHeight="1" x14ac:dyDescent="0.25"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30"/>
      <c r="AQ425" s="30"/>
      <c r="AR425" s="30"/>
      <c r="AS425" s="30"/>
      <c r="AT425" s="30"/>
      <c r="AU425" s="30"/>
      <c r="AV425" s="30"/>
      <c r="AW425" s="30"/>
      <c r="AX425" s="30"/>
      <c r="AY425" s="30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30"/>
      <c r="BK425" s="30"/>
      <c r="BL425" s="30"/>
      <c r="BM425" s="30"/>
      <c r="BN425" s="30"/>
      <c r="BO425" s="30"/>
      <c r="BP425" s="30"/>
      <c r="BQ425" s="30"/>
      <c r="BR425" s="30"/>
      <c r="BS425" s="30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1"/>
      <c r="CO425" s="1"/>
      <c r="CP425" s="1"/>
      <c r="CQ425" s="1"/>
      <c r="CR425" s="1"/>
      <c r="CS425" s="1"/>
      <c r="CT425" s="1"/>
      <c r="CU425" s="1"/>
      <c r="CV425" s="1"/>
      <c r="CW425" s="1"/>
    </row>
    <row r="426" spans="2:101" ht="15" hidden="1" customHeight="1" x14ac:dyDescent="0.25"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30"/>
      <c r="AQ426" s="30"/>
      <c r="AR426" s="30"/>
      <c r="AS426" s="30"/>
      <c r="AT426" s="30"/>
      <c r="AU426" s="30"/>
      <c r="AV426" s="30"/>
      <c r="AW426" s="30"/>
      <c r="AX426" s="30"/>
      <c r="AY426" s="30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30"/>
      <c r="BK426" s="30"/>
      <c r="BL426" s="30"/>
      <c r="BM426" s="30"/>
      <c r="BN426" s="30"/>
      <c r="BO426" s="30"/>
      <c r="BP426" s="30"/>
      <c r="BQ426" s="30"/>
      <c r="BR426" s="30"/>
      <c r="BS426" s="30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1"/>
      <c r="CO426" s="1"/>
      <c r="CP426" s="1"/>
      <c r="CQ426" s="1"/>
      <c r="CR426" s="1"/>
      <c r="CS426" s="1"/>
      <c r="CT426" s="1"/>
      <c r="CU426" s="1"/>
      <c r="CV426" s="1"/>
      <c r="CW426" s="1"/>
    </row>
    <row r="427" spans="2:101" ht="15" hidden="1" customHeight="1" x14ac:dyDescent="0.25"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30"/>
      <c r="AQ427" s="30"/>
      <c r="AR427" s="30"/>
      <c r="AS427" s="30"/>
      <c r="AT427" s="30"/>
      <c r="AU427" s="30"/>
      <c r="AV427" s="30"/>
      <c r="AW427" s="30"/>
      <c r="AX427" s="30"/>
      <c r="AY427" s="30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30"/>
      <c r="BK427" s="30"/>
      <c r="BL427" s="30"/>
      <c r="BM427" s="30"/>
      <c r="BN427" s="30"/>
      <c r="BO427" s="30"/>
      <c r="BP427" s="30"/>
      <c r="BQ427" s="30"/>
      <c r="BR427" s="30"/>
      <c r="BS427" s="30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1"/>
      <c r="CO427" s="1"/>
      <c r="CP427" s="1"/>
      <c r="CQ427" s="1"/>
      <c r="CR427" s="1"/>
      <c r="CS427" s="1"/>
      <c r="CT427" s="1"/>
      <c r="CU427" s="1"/>
      <c r="CV427" s="1"/>
      <c r="CW427" s="1"/>
    </row>
    <row r="428" spans="2:101" ht="15" hidden="1" customHeight="1" x14ac:dyDescent="0.25"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30"/>
      <c r="AQ428" s="30"/>
      <c r="AR428" s="30"/>
      <c r="AS428" s="30"/>
      <c r="AT428" s="30"/>
      <c r="AU428" s="30"/>
      <c r="AV428" s="30"/>
      <c r="AW428" s="30"/>
      <c r="AX428" s="30"/>
      <c r="AY428" s="30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30"/>
      <c r="BK428" s="30"/>
      <c r="BL428" s="30"/>
      <c r="BM428" s="30"/>
      <c r="BN428" s="30"/>
      <c r="BO428" s="30"/>
      <c r="BP428" s="30"/>
      <c r="BQ428" s="30"/>
      <c r="BR428" s="30"/>
      <c r="BS428" s="30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1"/>
      <c r="CO428" s="1"/>
      <c r="CP428" s="1"/>
      <c r="CQ428" s="1"/>
      <c r="CR428" s="1"/>
      <c r="CS428" s="1"/>
      <c r="CT428" s="1"/>
      <c r="CU428" s="1"/>
      <c r="CV428" s="1"/>
      <c r="CW428" s="1"/>
    </row>
    <row r="429" spans="2:101" ht="15" hidden="1" customHeight="1" x14ac:dyDescent="0.25"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30"/>
      <c r="AQ429" s="30"/>
      <c r="AR429" s="30"/>
      <c r="AS429" s="30"/>
      <c r="AT429" s="30"/>
      <c r="AU429" s="30"/>
      <c r="AV429" s="30"/>
      <c r="AW429" s="30"/>
      <c r="AX429" s="30"/>
      <c r="AY429" s="30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30"/>
      <c r="BK429" s="30"/>
      <c r="BL429" s="30"/>
      <c r="BM429" s="30"/>
      <c r="BN429" s="30"/>
      <c r="BO429" s="30"/>
      <c r="BP429" s="30"/>
      <c r="BQ429" s="30"/>
      <c r="BR429" s="30"/>
      <c r="BS429" s="30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1"/>
      <c r="CO429" s="1"/>
      <c r="CP429" s="1"/>
      <c r="CQ429" s="1"/>
      <c r="CR429" s="1"/>
      <c r="CS429" s="1"/>
      <c r="CT429" s="1"/>
      <c r="CU429" s="1"/>
      <c r="CV429" s="1"/>
      <c r="CW429" s="1"/>
    </row>
    <row r="430" spans="2:101" ht="15" hidden="1" customHeight="1" x14ac:dyDescent="0.25"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30"/>
      <c r="AQ430" s="30"/>
      <c r="AR430" s="30"/>
      <c r="AS430" s="30"/>
      <c r="AT430" s="30"/>
      <c r="AU430" s="30"/>
      <c r="AV430" s="30"/>
      <c r="AW430" s="30"/>
      <c r="AX430" s="30"/>
      <c r="AY430" s="30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30"/>
      <c r="BK430" s="30"/>
      <c r="BL430" s="30"/>
      <c r="BM430" s="30"/>
      <c r="BN430" s="30"/>
      <c r="BO430" s="30"/>
      <c r="BP430" s="30"/>
      <c r="BQ430" s="30"/>
      <c r="BR430" s="30"/>
      <c r="BS430" s="30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1"/>
      <c r="CO430" s="1"/>
      <c r="CP430" s="1"/>
      <c r="CQ430" s="1"/>
      <c r="CR430" s="1"/>
      <c r="CS430" s="1"/>
      <c r="CT430" s="1"/>
      <c r="CU430" s="1"/>
      <c r="CV430" s="1"/>
      <c r="CW430" s="1"/>
    </row>
    <row r="431" spans="2:101" ht="15" hidden="1" customHeight="1" x14ac:dyDescent="0.25"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30"/>
      <c r="AQ431" s="30"/>
      <c r="AR431" s="30"/>
      <c r="AS431" s="30"/>
      <c r="AT431" s="30"/>
      <c r="AU431" s="30"/>
      <c r="AV431" s="30"/>
      <c r="AW431" s="30"/>
      <c r="AX431" s="30"/>
      <c r="AY431" s="30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30"/>
      <c r="BK431" s="30"/>
      <c r="BL431" s="30"/>
      <c r="BM431" s="30"/>
      <c r="BN431" s="30"/>
      <c r="BO431" s="30"/>
      <c r="BP431" s="30"/>
      <c r="BQ431" s="30"/>
      <c r="BR431" s="30"/>
      <c r="BS431" s="30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1"/>
      <c r="CO431" s="1"/>
      <c r="CP431" s="1"/>
      <c r="CQ431" s="1"/>
      <c r="CR431" s="1"/>
      <c r="CS431" s="1"/>
      <c r="CT431" s="1"/>
      <c r="CU431" s="1"/>
      <c r="CV431" s="1"/>
      <c r="CW431" s="1"/>
    </row>
    <row r="432" spans="2:101" ht="15" hidden="1" customHeight="1" x14ac:dyDescent="0.25"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30"/>
      <c r="AQ432" s="30"/>
      <c r="AR432" s="30"/>
      <c r="AS432" s="30"/>
      <c r="AT432" s="30"/>
      <c r="AU432" s="30"/>
      <c r="AV432" s="30"/>
      <c r="AW432" s="30"/>
      <c r="AX432" s="30"/>
      <c r="AY432" s="30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30"/>
      <c r="BK432" s="30"/>
      <c r="BL432" s="30"/>
      <c r="BM432" s="30"/>
      <c r="BN432" s="30"/>
      <c r="BO432" s="30"/>
      <c r="BP432" s="30"/>
      <c r="BQ432" s="30"/>
      <c r="BR432" s="30"/>
      <c r="BS432" s="30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1"/>
      <c r="CO432" s="1"/>
      <c r="CP432" s="1"/>
      <c r="CQ432" s="1"/>
      <c r="CR432" s="1"/>
      <c r="CS432" s="1"/>
      <c r="CT432" s="1"/>
      <c r="CU432" s="1"/>
      <c r="CV432" s="1"/>
      <c r="CW432" s="1"/>
    </row>
    <row r="433" spans="2:101" ht="15" hidden="1" customHeight="1" x14ac:dyDescent="0.25"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30"/>
      <c r="AQ433" s="30"/>
      <c r="AR433" s="30"/>
      <c r="AS433" s="30"/>
      <c r="AT433" s="30"/>
      <c r="AU433" s="30"/>
      <c r="AV433" s="30"/>
      <c r="AW433" s="30"/>
      <c r="AX433" s="30"/>
      <c r="AY433" s="30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30"/>
      <c r="BK433" s="30"/>
      <c r="BL433" s="30"/>
      <c r="BM433" s="30"/>
      <c r="BN433" s="30"/>
      <c r="BO433" s="30"/>
      <c r="BP433" s="30"/>
      <c r="BQ433" s="30"/>
      <c r="BR433" s="30"/>
      <c r="BS433" s="30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1"/>
      <c r="CO433" s="1"/>
      <c r="CP433" s="1"/>
      <c r="CQ433" s="1"/>
      <c r="CR433" s="1"/>
      <c r="CS433" s="1"/>
      <c r="CT433" s="1"/>
      <c r="CU433" s="1"/>
      <c r="CV433" s="1"/>
      <c r="CW433" s="1"/>
    </row>
    <row r="434" spans="2:101" ht="15" hidden="1" customHeight="1" x14ac:dyDescent="0.25"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30"/>
      <c r="AQ434" s="30"/>
      <c r="AR434" s="30"/>
      <c r="AS434" s="30"/>
      <c r="AT434" s="30"/>
      <c r="AU434" s="30"/>
      <c r="AV434" s="30"/>
      <c r="AW434" s="30"/>
      <c r="AX434" s="30"/>
      <c r="AY434" s="30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30"/>
      <c r="BK434" s="30"/>
      <c r="BL434" s="30"/>
      <c r="BM434" s="30"/>
      <c r="BN434" s="30"/>
      <c r="BO434" s="30"/>
      <c r="BP434" s="30"/>
      <c r="BQ434" s="30"/>
      <c r="BR434" s="30"/>
      <c r="BS434" s="30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1"/>
      <c r="CO434" s="1"/>
      <c r="CP434" s="1"/>
      <c r="CQ434" s="1"/>
      <c r="CR434" s="1"/>
      <c r="CS434" s="1"/>
      <c r="CT434" s="1"/>
      <c r="CU434" s="1"/>
      <c r="CV434" s="1"/>
      <c r="CW434" s="1"/>
    </row>
    <row r="435" spans="2:101" ht="15" hidden="1" customHeight="1" x14ac:dyDescent="0.25"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30"/>
      <c r="AQ435" s="30"/>
      <c r="AR435" s="30"/>
      <c r="AS435" s="30"/>
      <c r="AT435" s="30"/>
      <c r="AU435" s="30"/>
      <c r="AV435" s="30"/>
      <c r="AW435" s="30"/>
      <c r="AX435" s="30"/>
      <c r="AY435" s="30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30"/>
      <c r="BK435" s="30"/>
      <c r="BL435" s="30"/>
      <c r="BM435" s="30"/>
      <c r="BN435" s="30"/>
      <c r="BO435" s="30"/>
      <c r="BP435" s="30"/>
      <c r="BQ435" s="30"/>
      <c r="BR435" s="30"/>
      <c r="BS435" s="30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1"/>
      <c r="CO435" s="1"/>
      <c r="CP435" s="1"/>
      <c r="CQ435" s="1"/>
      <c r="CR435" s="1"/>
      <c r="CS435" s="1"/>
      <c r="CT435" s="1"/>
      <c r="CU435" s="1"/>
      <c r="CV435" s="1"/>
      <c r="CW435" s="1"/>
    </row>
    <row r="436" spans="2:101" ht="15" hidden="1" customHeight="1" x14ac:dyDescent="0.25"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30"/>
      <c r="AQ436" s="30"/>
      <c r="AR436" s="30"/>
      <c r="AS436" s="30"/>
      <c r="AT436" s="30"/>
      <c r="AU436" s="30"/>
      <c r="AV436" s="30"/>
      <c r="AW436" s="30"/>
      <c r="AX436" s="30"/>
      <c r="AY436" s="30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30"/>
      <c r="BK436" s="30"/>
      <c r="BL436" s="30"/>
      <c r="BM436" s="30"/>
      <c r="BN436" s="30"/>
      <c r="BO436" s="30"/>
      <c r="BP436" s="30"/>
      <c r="BQ436" s="30"/>
      <c r="BR436" s="30"/>
      <c r="BS436" s="30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1"/>
      <c r="CO436" s="1"/>
      <c r="CP436" s="1"/>
      <c r="CQ436" s="1"/>
      <c r="CR436" s="1"/>
      <c r="CS436" s="1"/>
      <c r="CT436" s="1"/>
      <c r="CU436" s="1"/>
      <c r="CV436" s="1"/>
      <c r="CW436" s="1"/>
    </row>
    <row r="437" spans="2:101" ht="15" hidden="1" customHeight="1" x14ac:dyDescent="0.25"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30"/>
      <c r="AQ437" s="30"/>
      <c r="AR437" s="30"/>
      <c r="AS437" s="30"/>
      <c r="AT437" s="30"/>
      <c r="AU437" s="30"/>
      <c r="AV437" s="30"/>
      <c r="AW437" s="30"/>
      <c r="AX437" s="30"/>
      <c r="AY437" s="30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30"/>
      <c r="BK437" s="30"/>
      <c r="BL437" s="30"/>
      <c r="BM437" s="30"/>
      <c r="BN437" s="30"/>
      <c r="BO437" s="30"/>
      <c r="BP437" s="30"/>
      <c r="BQ437" s="30"/>
      <c r="BR437" s="30"/>
      <c r="BS437" s="30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1"/>
      <c r="CO437" s="1"/>
      <c r="CP437" s="1"/>
      <c r="CQ437" s="1"/>
      <c r="CR437" s="1"/>
      <c r="CS437" s="1"/>
      <c r="CT437" s="1"/>
      <c r="CU437" s="1"/>
      <c r="CV437" s="1"/>
      <c r="CW437" s="1"/>
    </row>
    <row r="438" spans="2:101" ht="15" hidden="1" customHeight="1" x14ac:dyDescent="0.25"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30"/>
      <c r="AQ438" s="30"/>
      <c r="AR438" s="30"/>
      <c r="AS438" s="30"/>
      <c r="AT438" s="30"/>
      <c r="AU438" s="30"/>
      <c r="AV438" s="30"/>
      <c r="AW438" s="30"/>
      <c r="AX438" s="30"/>
      <c r="AY438" s="30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30"/>
      <c r="BK438" s="30"/>
      <c r="BL438" s="30"/>
      <c r="BM438" s="30"/>
      <c r="BN438" s="30"/>
      <c r="BO438" s="30"/>
      <c r="BP438" s="30"/>
      <c r="BQ438" s="30"/>
      <c r="BR438" s="30"/>
      <c r="BS438" s="30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1"/>
      <c r="CO438" s="1"/>
      <c r="CP438" s="1"/>
      <c r="CQ438" s="1"/>
      <c r="CR438" s="1"/>
      <c r="CS438" s="1"/>
      <c r="CT438" s="1"/>
      <c r="CU438" s="1"/>
      <c r="CV438" s="1"/>
      <c r="CW438" s="1"/>
    </row>
    <row r="439" spans="2:101" ht="15" hidden="1" customHeight="1" x14ac:dyDescent="0.25"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30"/>
      <c r="AQ439" s="30"/>
      <c r="AR439" s="30"/>
      <c r="AS439" s="30"/>
      <c r="AT439" s="30"/>
      <c r="AU439" s="30"/>
      <c r="AV439" s="30"/>
      <c r="AW439" s="30"/>
      <c r="AX439" s="30"/>
      <c r="AY439" s="30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30"/>
      <c r="BK439" s="30"/>
      <c r="BL439" s="30"/>
      <c r="BM439" s="30"/>
      <c r="BN439" s="30"/>
      <c r="BO439" s="30"/>
      <c r="BP439" s="30"/>
      <c r="BQ439" s="30"/>
      <c r="BR439" s="30"/>
      <c r="BS439" s="30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1"/>
      <c r="CO439" s="1"/>
      <c r="CP439" s="1"/>
      <c r="CQ439" s="1"/>
      <c r="CR439" s="1"/>
      <c r="CS439" s="1"/>
      <c r="CT439" s="1"/>
      <c r="CU439" s="1"/>
      <c r="CV439" s="1"/>
      <c r="CW439" s="1"/>
    </row>
    <row r="440" spans="2:101" ht="15" hidden="1" customHeight="1" x14ac:dyDescent="0.25"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30"/>
      <c r="AQ440" s="30"/>
      <c r="AR440" s="30"/>
      <c r="AS440" s="30"/>
      <c r="AT440" s="30"/>
      <c r="AU440" s="30"/>
      <c r="AV440" s="30"/>
      <c r="AW440" s="30"/>
      <c r="AX440" s="30"/>
      <c r="AY440" s="30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30"/>
      <c r="BK440" s="30"/>
      <c r="BL440" s="30"/>
      <c r="BM440" s="30"/>
      <c r="BN440" s="30"/>
      <c r="BO440" s="30"/>
      <c r="BP440" s="30"/>
      <c r="BQ440" s="30"/>
      <c r="BR440" s="30"/>
      <c r="BS440" s="30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1"/>
      <c r="CO440" s="1"/>
      <c r="CP440" s="1"/>
      <c r="CQ440" s="1"/>
      <c r="CR440" s="1"/>
      <c r="CS440" s="1"/>
      <c r="CT440" s="1"/>
      <c r="CU440" s="1"/>
      <c r="CV440" s="1"/>
      <c r="CW440" s="1"/>
    </row>
    <row r="441" spans="2:101" ht="15" hidden="1" customHeight="1" x14ac:dyDescent="0.25"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30"/>
      <c r="AQ441" s="30"/>
      <c r="AR441" s="30"/>
      <c r="AS441" s="30"/>
      <c r="AT441" s="30"/>
      <c r="AU441" s="30"/>
      <c r="AV441" s="30"/>
      <c r="AW441" s="30"/>
      <c r="AX441" s="30"/>
      <c r="AY441" s="30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30"/>
      <c r="BK441" s="30"/>
      <c r="BL441" s="30"/>
      <c r="BM441" s="30"/>
      <c r="BN441" s="30"/>
      <c r="BO441" s="30"/>
      <c r="BP441" s="30"/>
      <c r="BQ441" s="30"/>
      <c r="BR441" s="30"/>
      <c r="BS441" s="30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1"/>
      <c r="CO441" s="1"/>
      <c r="CP441" s="1"/>
      <c r="CQ441" s="1"/>
      <c r="CR441" s="1"/>
      <c r="CS441" s="1"/>
      <c r="CT441" s="1"/>
      <c r="CU441" s="1"/>
      <c r="CV441" s="1"/>
      <c r="CW441" s="1"/>
    </row>
    <row r="442" spans="2:101" ht="15" hidden="1" customHeight="1" x14ac:dyDescent="0.25"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30"/>
      <c r="AQ442" s="30"/>
      <c r="AR442" s="30"/>
      <c r="AS442" s="30"/>
      <c r="AT442" s="30"/>
      <c r="AU442" s="30"/>
      <c r="AV442" s="30"/>
      <c r="AW442" s="30"/>
      <c r="AX442" s="30"/>
      <c r="AY442" s="30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30"/>
      <c r="BK442" s="30"/>
      <c r="BL442" s="30"/>
      <c r="BM442" s="30"/>
      <c r="BN442" s="30"/>
      <c r="BO442" s="30"/>
      <c r="BP442" s="30"/>
      <c r="BQ442" s="30"/>
      <c r="BR442" s="30"/>
      <c r="BS442" s="30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1"/>
      <c r="CO442" s="1"/>
      <c r="CP442" s="1"/>
      <c r="CQ442" s="1"/>
      <c r="CR442" s="1"/>
      <c r="CS442" s="1"/>
      <c r="CT442" s="1"/>
      <c r="CU442" s="1"/>
      <c r="CV442" s="1"/>
      <c r="CW442" s="1"/>
    </row>
    <row r="443" spans="2:101" ht="15" hidden="1" customHeight="1" x14ac:dyDescent="0.25"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30"/>
      <c r="AQ443" s="30"/>
      <c r="AR443" s="30"/>
      <c r="AS443" s="30"/>
      <c r="AT443" s="30"/>
      <c r="AU443" s="30"/>
      <c r="AV443" s="30"/>
      <c r="AW443" s="30"/>
      <c r="AX443" s="30"/>
      <c r="AY443" s="30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30"/>
      <c r="BK443" s="30"/>
      <c r="BL443" s="30"/>
      <c r="BM443" s="30"/>
      <c r="BN443" s="30"/>
      <c r="BO443" s="30"/>
      <c r="BP443" s="30"/>
      <c r="BQ443" s="30"/>
      <c r="BR443" s="30"/>
      <c r="BS443" s="30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1"/>
      <c r="CO443" s="1"/>
      <c r="CP443" s="1"/>
      <c r="CQ443" s="1"/>
      <c r="CR443" s="1"/>
      <c r="CS443" s="1"/>
      <c r="CT443" s="1"/>
      <c r="CU443" s="1"/>
      <c r="CV443" s="1"/>
      <c r="CW443" s="1"/>
    </row>
    <row r="444" spans="2:101" ht="15" hidden="1" customHeight="1" x14ac:dyDescent="0.25"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30"/>
      <c r="AQ444" s="30"/>
      <c r="AR444" s="30"/>
      <c r="AS444" s="30"/>
      <c r="AT444" s="30"/>
      <c r="AU444" s="30"/>
      <c r="AV444" s="30"/>
      <c r="AW444" s="30"/>
      <c r="AX444" s="30"/>
      <c r="AY444" s="30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30"/>
      <c r="BK444" s="30"/>
      <c r="BL444" s="30"/>
      <c r="BM444" s="30"/>
      <c r="BN444" s="30"/>
      <c r="BO444" s="30"/>
      <c r="BP444" s="30"/>
      <c r="BQ444" s="30"/>
      <c r="BR444" s="30"/>
      <c r="BS444" s="30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1"/>
      <c r="CO444" s="1"/>
      <c r="CP444" s="1"/>
      <c r="CQ444" s="1"/>
      <c r="CR444" s="1"/>
      <c r="CS444" s="1"/>
      <c r="CT444" s="1"/>
      <c r="CU444" s="1"/>
      <c r="CV444" s="1"/>
      <c r="CW444" s="1"/>
    </row>
    <row r="445" spans="2:101" ht="15" hidden="1" customHeight="1" x14ac:dyDescent="0.25"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30"/>
      <c r="AQ445" s="30"/>
      <c r="AR445" s="30"/>
      <c r="AS445" s="30"/>
      <c r="AT445" s="30"/>
      <c r="AU445" s="30"/>
      <c r="AV445" s="30"/>
      <c r="AW445" s="30"/>
      <c r="AX445" s="30"/>
      <c r="AY445" s="30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30"/>
      <c r="BK445" s="30"/>
      <c r="BL445" s="30"/>
      <c r="BM445" s="30"/>
      <c r="BN445" s="30"/>
      <c r="BO445" s="30"/>
      <c r="BP445" s="30"/>
      <c r="BQ445" s="30"/>
      <c r="BR445" s="30"/>
      <c r="BS445" s="30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1"/>
      <c r="CO445" s="1"/>
      <c r="CP445" s="1"/>
      <c r="CQ445" s="1"/>
      <c r="CR445" s="1"/>
      <c r="CS445" s="1"/>
      <c r="CT445" s="1"/>
      <c r="CU445" s="1"/>
      <c r="CV445" s="1"/>
      <c r="CW445" s="1"/>
    </row>
    <row r="446" spans="2:101" ht="15" hidden="1" customHeight="1" x14ac:dyDescent="0.25"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30"/>
      <c r="AQ446" s="30"/>
      <c r="AR446" s="30"/>
      <c r="AS446" s="30"/>
      <c r="AT446" s="30"/>
      <c r="AU446" s="30"/>
      <c r="AV446" s="30"/>
      <c r="AW446" s="30"/>
      <c r="AX446" s="30"/>
      <c r="AY446" s="30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30"/>
      <c r="BK446" s="30"/>
      <c r="BL446" s="30"/>
      <c r="BM446" s="30"/>
      <c r="BN446" s="30"/>
      <c r="BO446" s="30"/>
      <c r="BP446" s="30"/>
      <c r="BQ446" s="30"/>
      <c r="BR446" s="30"/>
      <c r="BS446" s="30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1"/>
      <c r="CO446" s="1"/>
      <c r="CP446" s="1"/>
      <c r="CQ446" s="1"/>
      <c r="CR446" s="1"/>
      <c r="CS446" s="1"/>
      <c r="CT446" s="1"/>
      <c r="CU446" s="1"/>
      <c r="CV446" s="1"/>
      <c r="CW446" s="1"/>
    </row>
    <row r="447" spans="2:101" ht="15" hidden="1" customHeight="1" x14ac:dyDescent="0.25"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30"/>
      <c r="AQ447" s="30"/>
      <c r="AR447" s="30"/>
      <c r="AS447" s="30"/>
      <c r="AT447" s="30"/>
      <c r="AU447" s="30"/>
      <c r="AV447" s="30"/>
      <c r="AW447" s="30"/>
      <c r="AX447" s="30"/>
      <c r="AY447" s="30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30"/>
      <c r="BK447" s="30"/>
      <c r="BL447" s="30"/>
      <c r="BM447" s="30"/>
      <c r="BN447" s="30"/>
      <c r="BO447" s="30"/>
      <c r="BP447" s="30"/>
      <c r="BQ447" s="30"/>
      <c r="BR447" s="30"/>
      <c r="BS447" s="30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1"/>
      <c r="CO447" s="1"/>
      <c r="CP447" s="1"/>
      <c r="CQ447" s="1"/>
      <c r="CR447" s="1"/>
      <c r="CS447" s="1"/>
      <c r="CT447" s="1"/>
      <c r="CU447" s="1"/>
      <c r="CV447" s="1"/>
      <c r="CW447" s="1"/>
    </row>
    <row r="448" spans="2:101" ht="15" hidden="1" customHeight="1" x14ac:dyDescent="0.25"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30"/>
      <c r="AQ448" s="30"/>
      <c r="AR448" s="30"/>
      <c r="AS448" s="30"/>
      <c r="AT448" s="30"/>
      <c r="AU448" s="30"/>
      <c r="AV448" s="30"/>
      <c r="AW448" s="30"/>
      <c r="AX448" s="30"/>
      <c r="AY448" s="30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30"/>
      <c r="BK448" s="30"/>
      <c r="BL448" s="30"/>
      <c r="BM448" s="30"/>
      <c r="BN448" s="30"/>
      <c r="BO448" s="30"/>
      <c r="BP448" s="30"/>
      <c r="BQ448" s="30"/>
      <c r="BR448" s="30"/>
      <c r="BS448" s="30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1"/>
      <c r="CO448" s="1"/>
      <c r="CP448" s="1"/>
      <c r="CQ448" s="1"/>
      <c r="CR448" s="1"/>
      <c r="CS448" s="1"/>
      <c r="CT448" s="1"/>
      <c r="CU448" s="1"/>
      <c r="CV448" s="1"/>
      <c r="CW448" s="1"/>
    </row>
    <row r="449" spans="2:101" ht="15" hidden="1" customHeight="1" x14ac:dyDescent="0.25"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30"/>
      <c r="AQ449" s="30"/>
      <c r="AR449" s="30"/>
      <c r="AS449" s="30"/>
      <c r="AT449" s="30"/>
      <c r="AU449" s="30"/>
      <c r="AV449" s="30"/>
      <c r="AW449" s="30"/>
      <c r="AX449" s="30"/>
      <c r="AY449" s="30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30"/>
      <c r="BK449" s="30"/>
      <c r="BL449" s="30"/>
      <c r="BM449" s="30"/>
      <c r="BN449" s="30"/>
      <c r="BO449" s="30"/>
      <c r="BP449" s="30"/>
      <c r="BQ449" s="30"/>
      <c r="BR449" s="30"/>
      <c r="BS449" s="30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1"/>
      <c r="CO449" s="1"/>
      <c r="CP449" s="1"/>
      <c r="CQ449" s="1"/>
      <c r="CR449" s="1"/>
      <c r="CS449" s="1"/>
      <c r="CT449" s="1"/>
      <c r="CU449" s="1"/>
      <c r="CV449" s="1"/>
      <c r="CW449" s="1"/>
    </row>
    <row r="450" spans="2:101" ht="15" hidden="1" customHeight="1" x14ac:dyDescent="0.25"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30"/>
      <c r="AQ450" s="30"/>
      <c r="AR450" s="30"/>
      <c r="AS450" s="30"/>
      <c r="AT450" s="30"/>
      <c r="AU450" s="30"/>
      <c r="AV450" s="30"/>
      <c r="AW450" s="30"/>
      <c r="AX450" s="30"/>
      <c r="AY450" s="30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30"/>
      <c r="BK450" s="30"/>
      <c r="BL450" s="30"/>
      <c r="BM450" s="30"/>
      <c r="BN450" s="30"/>
      <c r="BO450" s="30"/>
      <c r="BP450" s="30"/>
      <c r="BQ450" s="30"/>
      <c r="BR450" s="30"/>
      <c r="BS450" s="30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1"/>
      <c r="CO450" s="1"/>
      <c r="CP450" s="1"/>
      <c r="CQ450" s="1"/>
      <c r="CR450" s="1"/>
      <c r="CS450" s="1"/>
      <c r="CT450" s="1"/>
      <c r="CU450" s="1"/>
      <c r="CV450" s="1"/>
      <c r="CW450" s="1"/>
    </row>
    <row r="451" spans="2:101" ht="15" hidden="1" customHeight="1" x14ac:dyDescent="0.25"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30"/>
      <c r="AQ451" s="30"/>
      <c r="AR451" s="30"/>
      <c r="AS451" s="30"/>
      <c r="AT451" s="30"/>
      <c r="AU451" s="30"/>
      <c r="AV451" s="30"/>
      <c r="AW451" s="30"/>
      <c r="AX451" s="30"/>
      <c r="AY451" s="30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30"/>
      <c r="BK451" s="30"/>
      <c r="BL451" s="30"/>
      <c r="BM451" s="30"/>
      <c r="BN451" s="30"/>
      <c r="BO451" s="30"/>
      <c r="BP451" s="30"/>
      <c r="BQ451" s="30"/>
      <c r="BR451" s="30"/>
      <c r="BS451" s="30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1"/>
      <c r="CO451" s="1"/>
      <c r="CP451" s="1"/>
      <c r="CQ451" s="1"/>
      <c r="CR451" s="1"/>
      <c r="CS451" s="1"/>
      <c r="CT451" s="1"/>
      <c r="CU451" s="1"/>
      <c r="CV451" s="1"/>
      <c r="CW451" s="1"/>
    </row>
    <row r="452" spans="2:101" ht="15" hidden="1" customHeight="1" x14ac:dyDescent="0.25"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30"/>
      <c r="AQ452" s="30"/>
      <c r="AR452" s="30"/>
      <c r="AS452" s="30"/>
      <c r="AT452" s="30"/>
      <c r="AU452" s="30"/>
      <c r="AV452" s="30"/>
      <c r="AW452" s="30"/>
      <c r="AX452" s="30"/>
      <c r="AY452" s="30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30"/>
      <c r="BK452" s="30"/>
      <c r="BL452" s="30"/>
      <c r="BM452" s="30"/>
      <c r="BN452" s="30"/>
      <c r="BO452" s="30"/>
      <c r="BP452" s="30"/>
      <c r="BQ452" s="30"/>
      <c r="BR452" s="30"/>
      <c r="BS452" s="30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1"/>
      <c r="CO452" s="1"/>
      <c r="CP452" s="1"/>
      <c r="CQ452" s="1"/>
      <c r="CR452" s="1"/>
      <c r="CS452" s="1"/>
      <c r="CT452" s="1"/>
      <c r="CU452" s="1"/>
      <c r="CV452" s="1"/>
      <c r="CW452" s="1"/>
    </row>
    <row r="453" spans="2:101" ht="15" hidden="1" customHeight="1" x14ac:dyDescent="0.25"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30"/>
      <c r="AQ453" s="30"/>
      <c r="AR453" s="30"/>
      <c r="AS453" s="30"/>
      <c r="AT453" s="30"/>
      <c r="AU453" s="30"/>
      <c r="AV453" s="30"/>
      <c r="AW453" s="30"/>
      <c r="AX453" s="30"/>
      <c r="AY453" s="30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30"/>
      <c r="BK453" s="30"/>
      <c r="BL453" s="30"/>
      <c r="BM453" s="30"/>
      <c r="BN453" s="30"/>
      <c r="BO453" s="30"/>
      <c r="BP453" s="30"/>
      <c r="BQ453" s="30"/>
      <c r="BR453" s="30"/>
      <c r="BS453" s="30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1"/>
      <c r="CO453" s="1"/>
      <c r="CP453" s="1"/>
      <c r="CQ453" s="1"/>
      <c r="CR453" s="1"/>
      <c r="CS453" s="1"/>
      <c r="CT453" s="1"/>
      <c r="CU453" s="1"/>
      <c r="CV453" s="1"/>
      <c r="CW453" s="1"/>
    </row>
    <row r="454" spans="2:101" ht="15" hidden="1" customHeight="1" x14ac:dyDescent="0.25"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30"/>
      <c r="AQ454" s="30"/>
      <c r="AR454" s="30"/>
      <c r="AS454" s="30"/>
      <c r="AT454" s="30"/>
      <c r="AU454" s="30"/>
      <c r="AV454" s="30"/>
      <c r="AW454" s="30"/>
      <c r="AX454" s="30"/>
      <c r="AY454" s="30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30"/>
      <c r="BK454" s="30"/>
      <c r="BL454" s="30"/>
      <c r="BM454" s="30"/>
      <c r="BN454" s="30"/>
      <c r="BO454" s="30"/>
      <c r="BP454" s="30"/>
      <c r="BQ454" s="30"/>
      <c r="BR454" s="30"/>
      <c r="BS454" s="30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1"/>
      <c r="CO454" s="1"/>
      <c r="CP454" s="1"/>
      <c r="CQ454" s="1"/>
      <c r="CR454" s="1"/>
      <c r="CS454" s="1"/>
      <c r="CT454" s="1"/>
      <c r="CU454" s="1"/>
      <c r="CV454" s="1"/>
      <c r="CW454" s="1"/>
    </row>
    <row r="455" spans="2:101" ht="15" hidden="1" customHeight="1" x14ac:dyDescent="0.25"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30"/>
      <c r="AQ455" s="30"/>
      <c r="AR455" s="30"/>
      <c r="AS455" s="30"/>
      <c r="AT455" s="30"/>
      <c r="AU455" s="30"/>
      <c r="AV455" s="30"/>
      <c r="AW455" s="30"/>
      <c r="AX455" s="30"/>
      <c r="AY455" s="30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30"/>
      <c r="BK455" s="30"/>
      <c r="BL455" s="30"/>
      <c r="BM455" s="30"/>
      <c r="BN455" s="30"/>
      <c r="BO455" s="30"/>
      <c r="BP455" s="30"/>
      <c r="BQ455" s="30"/>
      <c r="BR455" s="30"/>
      <c r="BS455" s="30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1"/>
      <c r="CO455" s="1"/>
      <c r="CP455" s="1"/>
      <c r="CQ455" s="1"/>
      <c r="CR455" s="1"/>
      <c r="CS455" s="1"/>
      <c r="CT455" s="1"/>
      <c r="CU455" s="1"/>
      <c r="CV455" s="1"/>
      <c r="CW455" s="1"/>
    </row>
    <row r="456" spans="2:101" ht="15" hidden="1" customHeight="1" x14ac:dyDescent="0.25"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30"/>
      <c r="AQ456" s="30"/>
      <c r="AR456" s="30"/>
      <c r="AS456" s="30"/>
      <c r="AT456" s="30"/>
      <c r="AU456" s="30"/>
      <c r="AV456" s="30"/>
      <c r="AW456" s="30"/>
      <c r="AX456" s="30"/>
      <c r="AY456" s="30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30"/>
      <c r="BK456" s="30"/>
      <c r="BL456" s="30"/>
      <c r="BM456" s="30"/>
      <c r="BN456" s="30"/>
      <c r="BO456" s="30"/>
      <c r="BP456" s="30"/>
      <c r="BQ456" s="30"/>
      <c r="BR456" s="30"/>
      <c r="BS456" s="30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1"/>
      <c r="CO456" s="1"/>
      <c r="CP456" s="1"/>
      <c r="CQ456" s="1"/>
      <c r="CR456" s="1"/>
      <c r="CS456" s="1"/>
      <c r="CT456" s="1"/>
      <c r="CU456" s="1"/>
      <c r="CV456" s="1"/>
      <c r="CW456" s="1"/>
    </row>
    <row r="457" spans="2:101" ht="15" hidden="1" customHeight="1" x14ac:dyDescent="0.25"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30"/>
      <c r="AQ457" s="30"/>
      <c r="AR457" s="30"/>
      <c r="AS457" s="30"/>
      <c r="AT457" s="30"/>
      <c r="AU457" s="30"/>
      <c r="AV457" s="30"/>
      <c r="AW457" s="30"/>
      <c r="AX457" s="30"/>
      <c r="AY457" s="30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30"/>
      <c r="BK457" s="30"/>
      <c r="BL457" s="30"/>
      <c r="BM457" s="30"/>
      <c r="BN457" s="30"/>
      <c r="BO457" s="30"/>
      <c r="BP457" s="30"/>
      <c r="BQ457" s="30"/>
      <c r="BR457" s="30"/>
      <c r="BS457" s="30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1"/>
      <c r="CO457" s="1"/>
      <c r="CP457" s="1"/>
      <c r="CQ457" s="1"/>
      <c r="CR457" s="1"/>
      <c r="CS457" s="1"/>
      <c r="CT457" s="1"/>
      <c r="CU457" s="1"/>
      <c r="CV457" s="1"/>
      <c r="CW457" s="1"/>
    </row>
    <row r="458" spans="2:101" ht="15" hidden="1" customHeight="1" x14ac:dyDescent="0.25"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30"/>
      <c r="AQ458" s="30"/>
      <c r="AR458" s="30"/>
      <c r="AS458" s="30"/>
      <c r="AT458" s="30"/>
      <c r="AU458" s="30"/>
      <c r="AV458" s="30"/>
      <c r="AW458" s="30"/>
      <c r="AX458" s="30"/>
      <c r="AY458" s="30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30"/>
      <c r="BK458" s="30"/>
      <c r="BL458" s="30"/>
      <c r="BM458" s="30"/>
      <c r="BN458" s="30"/>
      <c r="BO458" s="30"/>
      <c r="BP458" s="30"/>
      <c r="BQ458" s="30"/>
      <c r="BR458" s="30"/>
      <c r="BS458" s="30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1"/>
      <c r="CO458" s="1"/>
      <c r="CP458" s="1"/>
      <c r="CQ458" s="1"/>
      <c r="CR458" s="1"/>
      <c r="CS458" s="1"/>
      <c r="CT458" s="1"/>
      <c r="CU458" s="1"/>
      <c r="CV458" s="1"/>
      <c r="CW458" s="1"/>
    </row>
    <row r="459" spans="2:101" ht="15" hidden="1" customHeight="1" x14ac:dyDescent="0.25"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30"/>
      <c r="AQ459" s="30"/>
      <c r="AR459" s="30"/>
      <c r="AS459" s="30"/>
      <c r="AT459" s="30"/>
      <c r="AU459" s="30"/>
      <c r="AV459" s="30"/>
      <c r="AW459" s="30"/>
      <c r="AX459" s="30"/>
      <c r="AY459" s="30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30"/>
      <c r="BK459" s="30"/>
      <c r="BL459" s="30"/>
      <c r="BM459" s="30"/>
      <c r="BN459" s="30"/>
      <c r="BO459" s="30"/>
      <c r="BP459" s="30"/>
      <c r="BQ459" s="30"/>
      <c r="BR459" s="30"/>
      <c r="BS459" s="30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1"/>
      <c r="CO459" s="1"/>
      <c r="CP459" s="1"/>
      <c r="CQ459" s="1"/>
      <c r="CR459" s="1"/>
      <c r="CS459" s="1"/>
      <c r="CT459" s="1"/>
      <c r="CU459" s="1"/>
      <c r="CV459" s="1"/>
      <c r="CW459" s="1"/>
    </row>
    <row r="460" spans="2:101" ht="15" hidden="1" customHeight="1" x14ac:dyDescent="0.25"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30"/>
      <c r="AQ460" s="30"/>
      <c r="AR460" s="30"/>
      <c r="AS460" s="30"/>
      <c r="AT460" s="30"/>
      <c r="AU460" s="30"/>
      <c r="AV460" s="30"/>
      <c r="AW460" s="30"/>
      <c r="AX460" s="30"/>
      <c r="AY460" s="30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30"/>
      <c r="BK460" s="30"/>
      <c r="BL460" s="30"/>
      <c r="BM460" s="30"/>
      <c r="BN460" s="30"/>
      <c r="BO460" s="30"/>
      <c r="BP460" s="30"/>
      <c r="BQ460" s="30"/>
      <c r="BR460" s="30"/>
      <c r="BS460" s="30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1"/>
      <c r="CO460" s="1"/>
      <c r="CP460" s="1"/>
      <c r="CQ460" s="1"/>
      <c r="CR460" s="1"/>
      <c r="CS460" s="1"/>
      <c r="CT460" s="1"/>
      <c r="CU460" s="1"/>
      <c r="CV460" s="1"/>
      <c r="CW460" s="1"/>
    </row>
    <row r="461" spans="2:101" ht="15" hidden="1" customHeight="1" x14ac:dyDescent="0.25"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30"/>
      <c r="W461" s="30"/>
      <c r="X461" s="30"/>
      <c r="Y461" s="30"/>
      <c r="Z461" s="30"/>
      <c r="AA461" s="30"/>
      <c r="AB461" s="30"/>
      <c r="AC461" s="30"/>
      <c r="AD461" s="30"/>
      <c r="AE461" s="30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30"/>
      <c r="AQ461" s="30"/>
      <c r="AR461" s="30"/>
      <c r="AS461" s="30"/>
      <c r="AT461" s="30"/>
      <c r="AU461" s="30"/>
      <c r="AV461" s="30"/>
      <c r="AW461" s="30"/>
      <c r="AX461" s="30"/>
      <c r="AY461" s="30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30"/>
      <c r="BK461" s="30"/>
      <c r="BL461" s="30"/>
      <c r="BM461" s="30"/>
      <c r="BN461" s="30"/>
      <c r="BO461" s="30"/>
      <c r="BP461" s="30"/>
      <c r="BQ461" s="30"/>
      <c r="BR461" s="30"/>
      <c r="BS461" s="30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1"/>
      <c r="CO461" s="1"/>
      <c r="CP461" s="1"/>
      <c r="CQ461" s="1"/>
      <c r="CR461" s="1"/>
      <c r="CS461" s="1"/>
      <c r="CT461" s="1"/>
      <c r="CU461" s="1"/>
      <c r="CV461" s="1"/>
      <c r="CW461" s="1"/>
    </row>
    <row r="462" spans="2:101" ht="15" hidden="1" customHeight="1" x14ac:dyDescent="0.25"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30"/>
      <c r="AQ462" s="30"/>
      <c r="AR462" s="30"/>
      <c r="AS462" s="30"/>
      <c r="AT462" s="30"/>
      <c r="AU462" s="30"/>
      <c r="AV462" s="30"/>
      <c r="AW462" s="30"/>
      <c r="AX462" s="30"/>
      <c r="AY462" s="30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30"/>
      <c r="BK462" s="30"/>
      <c r="BL462" s="30"/>
      <c r="BM462" s="30"/>
      <c r="BN462" s="30"/>
      <c r="BO462" s="30"/>
      <c r="BP462" s="30"/>
      <c r="BQ462" s="30"/>
      <c r="BR462" s="30"/>
      <c r="BS462" s="30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1"/>
      <c r="CO462" s="1"/>
      <c r="CP462" s="1"/>
      <c r="CQ462" s="1"/>
      <c r="CR462" s="1"/>
      <c r="CS462" s="1"/>
      <c r="CT462" s="1"/>
      <c r="CU462" s="1"/>
      <c r="CV462" s="1"/>
      <c r="CW462" s="1"/>
    </row>
    <row r="463" spans="2:101" ht="15" hidden="1" customHeight="1" x14ac:dyDescent="0.25"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30"/>
      <c r="AQ463" s="30"/>
      <c r="AR463" s="30"/>
      <c r="AS463" s="30"/>
      <c r="AT463" s="30"/>
      <c r="AU463" s="30"/>
      <c r="AV463" s="30"/>
      <c r="AW463" s="30"/>
      <c r="AX463" s="30"/>
      <c r="AY463" s="30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30"/>
      <c r="BK463" s="30"/>
      <c r="BL463" s="30"/>
      <c r="BM463" s="30"/>
      <c r="BN463" s="30"/>
      <c r="BO463" s="30"/>
      <c r="BP463" s="30"/>
      <c r="BQ463" s="30"/>
      <c r="BR463" s="30"/>
      <c r="BS463" s="30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1"/>
      <c r="CO463" s="1"/>
      <c r="CP463" s="1"/>
      <c r="CQ463" s="1"/>
      <c r="CR463" s="1"/>
      <c r="CS463" s="1"/>
      <c r="CT463" s="1"/>
      <c r="CU463" s="1"/>
      <c r="CV463" s="1"/>
      <c r="CW463" s="1"/>
    </row>
    <row r="464" spans="2:101" ht="15" hidden="1" customHeight="1" x14ac:dyDescent="0.25"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30"/>
      <c r="W464" s="30"/>
      <c r="X464" s="30"/>
      <c r="Y464" s="30"/>
      <c r="Z464" s="30"/>
      <c r="AA464" s="30"/>
      <c r="AB464" s="30"/>
      <c r="AC464" s="30"/>
      <c r="AD464" s="30"/>
      <c r="AE464" s="30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30"/>
      <c r="AQ464" s="30"/>
      <c r="AR464" s="30"/>
      <c r="AS464" s="30"/>
      <c r="AT464" s="30"/>
      <c r="AU464" s="30"/>
      <c r="AV464" s="30"/>
      <c r="AW464" s="30"/>
      <c r="AX464" s="30"/>
      <c r="AY464" s="30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30"/>
      <c r="BK464" s="30"/>
      <c r="BL464" s="30"/>
      <c r="BM464" s="30"/>
      <c r="BN464" s="30"/>
      <c r="BO464" s="30"/>
      <c r="BP464" s="30"/>
      <c r="BQ464" s="30"/>
      <c r="BR464" s="30"/>
      <c r="BS464" s="30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1"/>
      <c r="CO464" s="1"/>
      <c r="CP464" s="1"/>
      <c r="CQ464" s="1"/>
      <c r="CR464" s="1"/>
      <c r="CS464" s="1"/>
      <c r="CT464" s="1"/>
      <c r="CU464" s="1"/>
      <c r="CV464" s="1"/>
      <c r="CW464" s="1"/>
    </row>
    <row r="465" spans="2:101" ht="15" hidden="1" customHeight="1" x14ac:dyDescent="0.25"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30"/>
      <c r="W465" s="30"/>
      <c r="X465" s="30"/>
      <c r="Y465" s="30"/>
      <c r="Z465" s="30"/>
      <c r="AA465" s="30"/>
      <c r="AB465" s="30"/>
      <c r="AC465" s="30"/>
      <c r="AD465" s="30"/>
      <c r="AE465" s="30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30"/>
      <c r="AQ465" s="30"/>
      <c r="AR465" s="30"/>
      <c r="AS465" s="30"/>
      <c r="AT465" s="30"/>
      <c r="AU465" s="30"/>
      <c r="AV465" s="30"/>
      <c r="AW465" s="30"/>
      <c r="AX465" s="30"/>
      <c r="AY465" s="30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30"/>
      <c r="BK465" s="30"/>
      <c r="BL465" s="30"/>
      <c r="BM465" s="30"/>
      <c r="BN465" s="30"/>
      <c r="BO465" s="30"/>
      <c r="BP465" s="30"/>
      <c r="BQ465" s="30"/>
      <c r="BR465" s="30"/>
      <c r="BS465" s="30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1"/>
      <c r="CO465" s="1"/>
      <c r="CP465" s="1"/>
      <c r="CQ465" s="1"/>
      <c r="CR465" s="1"/>
      <c r="CS465" s="1"/>
      <c r="CT465" s="1"/>
      <c r="CU465" s="1"/>
      <c r="CV465" s="1"/>
      <c r="CW465" s="1"/>
    </row>
    <row r="466" spans="2:101" ht="15" hidden="1" customHeight="1" x14ac:dyDescent="0.25"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30"/>
      <c r="AQ466" s="30"/>
      <c r="AR466" s="30"/>
      <c r="AS466" s="30"/>
      <c r="AT466" s="30"/>
      <c r="AU466" s="30"/>
      <c r="AV466" s="30"/>
      <c r="AW466" s="30"/>
      <c r="AX466" s="30"/>
      <c r="AY466" s="30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30"/>
      <c r="BK466" s="30"/>
      <c r="BL466" s="30"/>
      <c r="BM466" s="30"/>
      <c r="BN466" s="30"/>
      <c r="BO466" s="30"/>
      <c r="BP466" s="30"/>
      <c r="BQ466" s="30"/>
      <c r="BR466" s="30"/>
      <c r="BS466" s="30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1"/>
      <c r="CO466" s="1"/>
      <c r="CP466" s="1"/>
      <c r="CQ466" s="1"/>
      <c r="CR466" s="1"/>
      <c r="CS466" s="1"/>
      <c r="CT466" s="1"/>
      <c r="CU466" s="1"/>
      <c r="CV466" s="1"/>
      <c r="CW466" s="1"/>
    </row>
    <row r="467" spans="2:101" ht="15" hidden="1" customHeight="1" x14ac:dyDescent="0.25"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30"/>
      <c r="AQ467" s="30"/>
      <c r="AR467" s="30"/>
      <c r="AS467" s="30"/>
      <c r="AT467" s="30"/>
      <c r="AU467" s="30"/>
      <c r="AV467" s="30"/>
      <c r="AW467" s="30"/>
      <c r="AX467" s="30"/>
      <c r="AY467" s="30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30"/>
      <c r="BK467" s="30"/>
      <c r="BL467" s="30"/>
      <c r="BM467" s="30"/>
      <c r="BN467" s="30"/>
      <c r="BO467" s="30"/>
      <c r="BP467" s="30"/>
      <c r="BQ467" s="30"/>
      <c r="BR467" s="30"/>
      <c r="BS467" s="30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1"/>
      <c r="CO467" s="1"/>
      <c r="CP467" s="1"/>
      <c r="CQ467" s="1"/>
      <c r="CR467" s="1"/>
      <c r="CS467" s="1"/>
      <c r="CT467" s="1"/>
      <c r="CU467" s="1"/>
      <c r="CV467" s="1"/>
      <c r="CW467" s="1"/>
    </row>
    <row r="468" spans="2:101" ht="15" hidden="1" customHeight="1" x14ac:dyDescent="0.25"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30"/>
      <c r="W468" s="30"/>
      <c r="X468" s="30"/>
      <c r="Y468" s="30"/>
      <c r="Z468" s="30"/>
      <c r="AA468" s="30"/>
      <c r="AB468" s="30"/>
      <c r="AC468" s="30"/>
      <c r="AD468" s="30"/>
      <c r="AE468" s="30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30"/>
      <c r="AQ468" s="30"/>
      <c r="AR468" s="30"/>
      <c r="AS468" s="30"/>
      <c r="AT468" s="30"/>
      <c r="AU468" s="30"/>
      <c r="AV468" s="30"/>
      <c r="AW468" s="30"/>
      <c r="AX468" s="30"/>
      <c r="AY468" s="30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30"/>
      <c r="BK468" s="30"/>
      <c r="BL468" s="30"/>
      <c r="BM468" s="30"/>
      <c r="BN468" s="30"/>
      <c r="BO468" s="30"/>
      <c r="BP468" s="30"/>
      <c r="BQ468" s="30"/>
      <c r="BR468" s="30"/>
      <c r="BS468" s="30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1"/>
      <c r="CO468" s="1"/>
      <c r="CP468" s="1"/>
      <c r="CQ468" s="1"/>
      <c r="CR468" s="1"/>
      <c r="CS468" s="1"/>
      <c r="CT468" s="1"/>
      <c r="CU468" s="1"/>
      <c r="CV468" s="1"/>
      <c r="CW468" s="1"/>
    </row>
    <row r="469" spans="2:101" ht="15" hidden="1" customHeight="1" x14ac:dyDescent="0.25"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30"/>
      <c r="W469" s="30"/>
      <c r="X469" s="30"/>
      <c r="Y469" s="30"/>
      <c r="Z469" s="30"/>
      <c r="AA469" s="30"/>
      <c r="AB469" s="30"/>
      <c r="AC469" s="30"/>
      <c r="AD469" s="30"/>
      <c r="AE469" s="30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30"/>
      <c r="AQ469" s="30"/>
      <c r="AR469" s="30"/>
      <c r="AS469" s="30"/>
      <c r="AT469" s="30"/>
      <c r="AU469" s="30"/>
      <c r="AV469" s="30"/>
      <c r="AW469" s="30"/>
      <c r="AX469" s="30"/>
      <c r="AY469" s="30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30"/>
      <c r="BK469" s="30"/>
      <c r="BL469" s="30"/>
      <c r="BM469" s="30"/>
      <c r="BN469" s="30"/>
      <c r="BO469" s="30"/>
      <c r="BP469" s="30"/>
      <c r="BQ469" s="30"/>
      <c r="BR469" s="30"/>
      <c r="BS469" s="30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1"/>
      <c r="CO469" s="1"/>
      <c r="CP469" s="1"/>
      <c r="CQ469" s="1"/>
      <c r="CR469" s="1"/>
      <c r="CS469" s="1"/>
      <c r="CT469" s="1"/>
      <c r="CU469" s="1"/>
      <c r="CV469" s="1"/>
      <c r="CW469" s="1"/>
    </row>
    <row r="470" spans="2:101" ht="15" hidden="1" customHeight="1" x14ac:dyDescent="0.25"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30"/>
      <c r="AQ470" s="30"/>
      <c r="AR470" s="30"/>
      <c r="AS470" s="30"/>
      <c r="AT470" s="30"/>
      <c r="AU470" s="30"/>
      <c r="AV470" s="30"/>
      <c r="AW470" s="30"/>
      <c r="AX470" s="30"/>
      <c r="AY470" s="30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30"/>
      <c r="BK470" s="30"/>
      <c r="BL470" s="30"/>
      <c r="BM470" s="30"/>
      <c r="BN470" s="30"/>
      <c r="BO470" s="30"/>
      <c r="BP470" s="30"/>
      <c r="BQ470" s="30"/>
      <c r="BR470" s="30"/>
      <c r="BS470" s="30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1"/>
      <c r="CO470" s="1"/>
      <c r="CP470" s="1"/>
      <c r="CQ470" s="1"/>
      <c r="CR470" s="1"/>
      <c r="CS470" s="1"/>
      <c r="CT470" s="1"/>
      <c r="CU470" s="1"/>
      <c r="CV470" s="1"/>
      <c r="CW470" s="1"/>
    </row>
    <row r="471" spans="2:101" ht="15" hidden="1" customHeight="1" x14ac:dyDescent="0.25"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30"/>
      <c r="AQ471" s="30"/>
      <c r="AR471" s="30"/>
      <c r="AS471" s="30"/>
      <c r="AT471" s="30"/>
      <c r="AU471" s="30"/>
      <c r="AV471" s="30"/>
      <c r="AW471" s="30"/>
      <c r="AX471" s="30"/>
      <c r="AY471" s="30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30"/>
      <c r="BK471" s="30"/>
      <c r="BL471" s="30"/>
      <c r="BM471" s="30"/>
      <c r="BN471" s="30"/>
      <c r="BO471" s="30"/>
      <c r="BP471" s="30"/>
      <c r="BQ471" s="30"/>
      <c r="BR471" s="30"/>
      <c r="BS471" s="30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1"/>
      <c r="CO471" s="1"/>
      <c r="CP471" s="1"/>
      <c r="CQ471" s="1"/>
      <c r="CR471" s="1"/>
      <c r="CS471" s="1"/>
      <c r="CT471" s="1"/>
      <c r="CU471" s="1"/>
      <c r="CV471" s="1"/>
      <c r="CW471" s="1"/>
    </row>
    <row r="472" spans="2:101" ht="15" hidden="1" customHeight="1" x14ac:dyDescent="0.25"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30"/>
      <c r="AQ472" s="30"/>
      <c r="AR472" s="30"/>
      <c r="AS472" s="30"/>
      <c r="AT472" s="30"/>
      <c r="AU472" s="30"/>
      <c r="AV472" s="30"/>
      <c r="AW472" s="30"/>
      <c r="AX472" s="30"/>
      <c r="AY472" s="30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30"/>
      <c r="BK472" s="30"/>
      <c r="BL472" s="30"/>
      <c r="BM472" s="30"/>
      <c r="BN472" s="30"/>
      <c r="BO472" s="30"/>
      <c r="BP472" s="30"/>
      <c r="BQ472" s="30"/>
      <c r="BR472" s="30"/>
      <c r="BS472" s="30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1"/>
      <c r="CO472" s="1"/>
      <c r="CP472" s="1"/>
      <c r="CQ472" s="1"/>
      <c r="CR472" s="1"/>
      <c r="CS472" s="1"/>
      <c r="CT472" s="1"/>
      <c r="CU472" s="1"/>
      <c r="CV472" s="1"/>
      <c r="CW472" s="1"/>
    </row>
    <row r="473" spans="2:101" ht="15" hidden="1" customHeight="1" x14ac:dyDescent="0.25"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30"/>
      <c r="AQ473" s="30"/>
      <c r="AR473" s="30"/>
      <c r="AS473" s="30"/>
      <c r="AT473" s="30"/>
      <c r="AU473" s="30"/>
      <c r="AV473" s="30"/>
      <c r="AW473" s="30"/>
      <c r="AX473" s="30"/>
      <c r="AY473" s="30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30"/>
      <c r="BK473" s="30"/>
      <c r="BL473" s="30"/>
      <c r="BM473" s="30"/>
      <c r="BN473" s="30"/>
      <c r="BO473" s="30"/>
      <c r="BP473" s="30"/>
      <c r="BQ473" s="30"/>
      <c r="BR473" s="30"/>
      <c r="BS473" s="30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1"/>
      <c r="CO473" s="1"/>
      <c r="CP473" s="1"/>
      <c r="CQ473" s="1"/>
      <c r="CR473" s="1"/>
      <c r="CS473" s="1"/>
      <c r="CT473" s="1"/>
      <c r="CU473" s="1"/>
      <c r="CV473" s="1"/>
      <c r="CW473" s="1"/>
    </row>
    <row r="474" spans="2:101" ht="15" hidden="1" customHeight="1" x14ac:dyDescent="0.25"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30"/>
      <c r="W474" s="30"/>
      <c r="X474" s="30"/>
      <c r="Y474" s="30"/>
      <c r="Z474" s="30"/>
      <c r="AA474" s="30"/>
      <c r="AB474" s="30"/>
      <c r="AC474" s="30"/>
      <c r="AD474" s="30"/>
      <c r="AE474" s="30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30"/>
      <c r="AQ474" s="30"/>
      <c r="AR474" s="30"/>
      <c r="AS474" s="30"/>
      <c r="AT474" s="30"/>
      <c r="AU474" s="30"/>
      <c r="AV474" s="30"/>
      <c r="AW474" s="30"/>
      <c r="AX474" s="30"/>
      <c r="AY474" s="30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30"/>
      <c r="BK474" s="30"/>
      <c r="BL474" s="30"/>
      <c r="BM474" s="30"/>
      <c r="BN474" s="30"/>
      <c r="BO474" s="30"/>
      <c r="BP474" s="30"/>
      <c r="BQ474" s="30"/>
      <c r="BR474" s="30"/>
      <c r="BS474" s="30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1"/>
      <c r="CO474" s="1"/>
      <c r="CP474" s="1"/>
      <c r="CQ474" s="1"/>
      <c r="CR474" s="1"/>
      <c r="CS474" s="1"/>
      <c r="CT474" s="1"/>
      <c r="CU474" s="1"/>
      <c r="CV474" s="1"/>
      <c r="CW474" s="1"/>
    </row>
    <row r="475" spans="2:101" ht="15" hidden="1" customHeight="1" x14ac:dyDescent="0.25"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30"/>
      <c r="W475" s="30"/>
      <c r="X475" s="30"/>
      <c r="Y475" s="30"/>
      <c r="Z475" s="30"/>
      <c r="AA475" s="30"/>
      <c r="AB475" s="30"/>
      <c r="AC475" s="30"/>
      <c r="AD475" s="30"/>
      <c r="AE475" s="30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30"/>
      <c r="AQ475" s="30"/>
      <c r="AR475" s="30"/>
      <c r="AS475" s="30"/>
      <c r="AT475" s="30"/>
      <c r="AU475" s="30"/>
      <c r="AV475" s="30"/>
      <c r="AW475" s="30"/>
      <c r="AX475" s="30"/>
      <c r="AY475" s="30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30"/>
      <c r="BK475" s="30"/>
      <c r="BL475" s="30"/>
      <c r="BM475" s="30"/>
      <c r="BN475" s="30"/>
      <c r="BO475" s="30"/>
      <c r="BP475" s="30"/>
      <c r="BQ475" s="30"/>
      <c r="BR475" s="30"/>
      <c r="BS475" s="30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1"/>
      <c r="CO475" s="1"/>
      <c r="CP475" s="1"/>
      <c r="CQ475" s="1"/>
      <c r="CR475" s="1"/>
      <c r="CS475" s="1"/>
      <c r="CT475" s="1"/>
      <c r="CU475" s="1"/>
      <c r="CV475" s="1"/>
      <c r="CW475" s="1"/>
    </row>
    <row r="476" spans="2:101" ht="15" hidden="1" customHeight="1" x14ac:dyDescent="0.25"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30"/>
      <c r="W476" s="30"/>
      <c r="X476" s="30"/>
      <c r="Y476" s="30"/>
      <c r="Z476" s="30"/>
      <c r="AA476" s="30"/>
      <c r="AB476" s="30"/>
      <c r="AC476" s="30"/>
      <c r="AD476" s="30"/>
      <c r="AE476" s="30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30"/>
      <c r="AQ476" s="30"/>
      <c r="AR476" s="30"/>
      <c r="AS476" s="30"/>
      <c r="AT476" s="30"/>
      <c r="AU476" s="30"/>
      <c r="AV476" s="30"/>
      <c r="AW476" s="30"/>
      <c r="AX476" s="30"/>
      <c r="AY476" s="30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30"/>
      <c r="BK476" s="30"/>
      <c r="BL476" s="30"/>
      <c r="BM476" s="30"/>
      <c r="BN476" s="30"/>
      <c r="BO476" s="30"/>
      <c r="BP476" s="30"/>
      <c r="BQ476" s="30"/>
      <c r="BR476" s="30"/>
      <c r="BS476" s="30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1"/>
      <c r="CO476" s="1"/>
      <c r="CP476" s="1"/>
      <c r="CQ476" s="1"/>
      <c r="CR476" s="1"/>
      <c r="CS476" s="1"/>
      <c r="CT476" s="1"/>
      <c r="CU476" s="1"/>
      <c r="CV476" s="1"/>
      <c r="CW476" s="1"/>
    </row>
    <row r="477" spans="2:101" ht="15" hidden="1" customHeight="1" x14ac:dyDescent="0.25"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30"/>
      <c r="AQ477" s="30"/>
      <c r="AR477" s="30"/>
      <c r="AS477" s="30"/>
      <c r="AT477" s="30"/>
      <c r="AU477" s="30"/>
      <c r="AV477" s="30"/>
      <c r="AW477" s="30"/>
      <c r="AX477" s="30"/>
      <c r="AY477" s="30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30"/>
      <c r="BK477" s="30"/>
      <c r="BL477" s="30"/>
      <c r="BM477" s="30"/>
      <c r="BN477" s="30"/>
      <c r="BO477" s="30"/>
      <c r="BP477" s="30"/>
      <c r="BQ477" s="30"/>
      <c r="BR477" s="30"/>
      <c r="BS477" s="30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1"/>
      <c r="CO477" s="1"/>
      <c r="CP477" s="1"/>
      <c r="CQ477" s="1"/>
      <c r="CR477" s="1"/>
      <c r="CS477" s="1"/>
      <c r="CT477" s="1"/>
      <c r="CU477" s="1"/>
      <c r="CV477" s="1"/>
      <c r="CW477" s="1"/>
    </row>
    <row r="478" spans="2:101" ht="15" hidden="1" customHeight="1" x14ac:dyDescent="0.25"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30"/>
      <c r="W478" s="30"/>
      <c r="X478" s="30"/>
      <c r="Y478" s="30"/>
      <c r="Z478" s="30"/>
      <c r="AA478" s="30"/>
      <c r="AB478" s="30"/>
      <c r="AC478" s="30"/>
      <c r="AD478" s="30"/>
      <c r="AE478" s="30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30"/>
      <c r="AQ478" s="30"/>
      <c r="AR478" s="30"/>
      <c r="AS478" s="30"/>
      <c r="AT478" s="30"/>
      <c r="AU478" s="30"/>
      <c r="AV478" s="30"/>
      <c r="AW478" s="30"/>
      <c r="AX478" s="30"/>
      <c r="AY478" s="30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30"/>
      <c r="BK478" s="30"/>
      <c r="BL478" s="30"/>
      <c r="BM478" s="30"/>
      <c r="BN478" s="30"/>
      <c r="BO478" s="30"/>
      <c r="BP478" s="30"/>
      <c r="BQ478" s="30"/>
      <c r="BR478" s="30"/>
      <c r="BS478" s="30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1"/>
      <c r="CO478" s="1"/>
      <c r="CP478" s="1"/>
      <c r="CQ478" s="1"/>
      <c r="CR478" s="1"/>
      <c r="CS478" s="1"/>
      <c r="CT478" s="1"/>
      <c r="CU478" s="1"/>
      <c r="CV478" s="1"/>
      <c r="CW478" s="1"/>
    </row>
    <row r="479" spans="2:101" ht="15" hidden="1" customHeight="1" x14ac:dyDescent="0.25"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30"/>
      <c r="W479" s="30"/>
      <c r="X479" s="30"/>
      <c r="Y479" s="30"/>
      <c r="Z479" s="30"/>
      <c r="AA479" s="30"/>
      <c r="AB479" s="30"/>
      <c r="AC479" s="30"/>
      <c r="AD479" s="30"/>
      <c r="AE479" s="30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30"/>
      <c r="AQ479" s="30"/>
      <c r="AR479" s="30"/>
      <c r="AS479" s="30"/>
      <c r="AT479" s="30"/>
      <c r="AU479" s="30"/>
      <c r="AV479" s="30"/>
      <c r="AW479" s="30"/>
      <c r="AX479" s="30"/>
      <c r="AY479" s="30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30"/>
      <c r="BK479" s="30"/>
      <c r="BL479" s="30"/>
      <c r="BM479" s="30"/>
      <c r="BN479" s="30"/>
      <c r="BO479" s="30"/>
      <c r="BP479" s="30"/>
      <c r="BQ479" s="30"/>
      <c r="BR479" s="30"/>
      <c r="BS479" s="30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1"/>
      <c r="CO479" s="1"/>
      <c r="CP479" s="1"/>
      <c r="CQ479" s="1"/>
      <c r="CR479" s="1"/>
      <c r="CS479" s="1"/>
      <c r="CT479" s="1"/>
      <c r="CU479" s="1"/>
      <c r="CV479" s="1"/>
      <c r="CW479" s="1"/>
    </row>
    <row r="480" spans="2:101" ht="15" hidden="1" customHeight="1" x14ac:dyDescent="0.25"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30"/>
      <c r="W480" s="30"/>
      <c r="X480" s="30"/>
      <c r="Y480" s="30"/>
      <c r="Z480" s="30"/>
      <c r="AA480" s="30"/>
      <c r="AB480" s="30"/>
      <c r="AC480" s="30"/>
      <c r="AD480" s="30"/>
      <c r="AE480" s="30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30"/>
      <c r="AQ480" s="30"/>
      <c r="AR480" s="30"/>
      <c r="AS480" s="30"/>
      <c r="AT480" s="30"/>
      <c r="AU480" s="30"/>
      <c r="AV480" s="30"/>
      <c r="AW480" s="30"/>
      <c r="AX480" s="30"/>
      <c r="AY480" s="30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30"/>
      <c r="BK480" s="30"/>
      <c r="BL480" s="30"/>
      <c r="BM480" s="30"/>
      <c r="BN480" s="30"/>
      <c r="BO480" s="30"/>
      <c r="BP480" s="30"/>
      <c r="BQ480" s="30"/>
      <c r="BR480" s="30"/>
      <c r="BS480" s="30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1"/>
      <c r="CO480" s="1"/>
      <c r="CP480" s="1"/>
      <c r="CQ480" s="1"/>
      <c r="CR480" s="1"/>
      <c r="CS480" s="1"/>
      <c r="CT480" s="1"/>
      <c r="CU480" s="1"/>
      <c r="CV480" s="1"/>
      <c r="CW480" s="1"/>
    </row>
    <row r="481" spans="2:101" ht="15" hidden="1" customHeight="1" x14ac:dyDescent="0.25"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30"/>
      <c r="W481" s="30"/>
      <c r="X481" s="30"/>
      <c r="Y481" s="30"/>
      <c r="Z481" s="30"/>
      <c r="AA481" s="30"/>
      <c r="AB481" s="30"/>
      <c r="AC481" s="30"/>
      <c r="AD481" s="30"/>
      <c r="AE481" s="30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30"/>
      <c r="AQ481" s="30"/>
      <c r="AR481" s="30"/>
      <c r="AS481" s="30"/>
      <c r="AT481" s="30"/>
      <c r="AU481" s="30"/>
      <c r="AV481" s="30"/>
      <c r="AW481" s="30"/>
      <c r="AX481" s="30"/>
      <c r="AY481" s="30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30"/>
      <c r="BK481" s="30"/>
      <c r="BL481" s="30"/>
      <c r="BM481" s="30"/>
      <c r="BN481" s="30"/>
      <c r="BO481" s="30"/>
      <c r="BP481" s="30"/>
      <c r="BQ481" s="30"/>
      <c r="BR481" s="30"/>
      <c r="BS481" s="30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1"/>
      <c r="CO481" s="1"/>
      <c r="CP481" s="1"/>
      <c r="CQ481" s="1"/>
      <c r="CR481" s="1"/>
      <c r="CS481" s="1"/>
      <c r="CT481" s="1"/>
      <c r="CU481" s="1"/>
      <c r="CV481" s="1"/>
      <c r="CW481" s="1"/>
    </row>
    <row r="482" spans="2:101" ht="15" hidden="1" customHeight="1" x14ac:dyDescent="0.25"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30"/>
      <c r="W482" s="30"/>
      <c r="X482" s="30"/>
      <c r="Y482" s="30"/>
      <c r="Z482" s="30"/>
      <c r="AA482" s="30"/>
      <c r="AB482" s="30"/>
      <c r="AC482" s="30"/>
      <c r="AD482" s="30"/>
      <c r="AE482" s="30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30"/>
      <c r="AQ482" s="30"/>
      <c r="AR482" s="30"/>
      <c r="AS482" s="30"/>
      <c r="AT482" s="30"/>
      <c r="AU482" s="30"/>
      <c r="AV482" s="30"/>
      <c r="AW482" s="30"/>
      <c r="AX482" s="30"/>
      <c r="AY482" s="30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30"/>
      <c r="BK482" s="30"/>
      <c r="BL482" s="30"/>
      <c r="BM482" s="30"/>
      <c r="BN482" s="30"/>
      <c r="BO482" s="30"/>
      <c r="BP482" s="30"/>
      <c r="BQ482" s="30"/>
      <c r="BR482" s="30"/>
      <c r="BS482" s="30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1"/>
      <c r="CO482" s="1"/>
      <c r="CP482" s="1"/>
      <c r="CQ482" s="1"/>
      <c r="CR482" s="1"/>
      <c r="CS482" s="1"/>
      <c r="CT482" s="1"/>
      <c r="CU482" s="1"/>
      <c r="CV482" s="1"/>
      <c r="CW482" s="1"/>
    </row>
    <row r="483" spans="2:101" ht="15" hidden="1" customHeight="1" x14ac:dyDescent="0.25"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30"/>
      <c r="W483" s="30"/>
      <c r="X483" s="30"/>
      <c r="Y483" s="30"/>
      <c r="Z483" s="30"/>
      <c r="AA483" s="30"/>
      <c r="AB483" s="30"/>
      <c r="AC483" s="30"/>
      <c r="AD483" s="30"/>
      <c r="AE483" s="30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30"/>
      <c r="AQ483" s="30"/>
      <c r="AR483" s="30"/>
      <c r="AS483" s="30"/>
      <c r="AT483" s="30"/>
      <c r="AU483" s="30"/>
      <c r="AV483" s="30"/>
      <c r="AW483" s="30"/>
      <c r="AX483" s="30"/>
      <c r="AY483" s="30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30"/>
      <c r="BK483" s="30"/>
      <c r="BL483" s="30"/>
      <c r="BM483" s="30"/>
      <c r="BN483" s="30"/>
      <c r="BO483" s="30"/>
      <c r="BP483" s="30"/>
      <c r="BQ483" s="30"/>
      <c r="BR483" s="30"/>
      <c r="BS483" s="30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1"/>
      <c r="CO483" s="1"/>
      <c r="CP483" s="1"/>
      <c r="CQ483" s="1"/>
      <c r="CR483" s="1"/>
      <c r="CS483" s="1"/>
      <c r="CT483" s="1"/>
      <c r="CU483" s="1"/>
      <c r="CV483" s="1"/>
      <c r="CW483" s="1"/>
    </row>
    <row r="484" spans="2:101" ht="15" hidden="1" customHeight="1" x14ac:dyDescent="0.25"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30"/>
      <c r="AQ484" s="30"/>
      <c r="AR484" s="30"/>
      <c r="AS484" s="30"/>
      <c r="AT484" s="30"/>
      <c r="AU484" s="30"/>
      <c r="AV484" s="30"/>
      <c r="AW484" s="30"/>
      <c r="AX484" s="30"/>
      <c r="AY484" s="30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30"/>
      <c r="BK484" s="30"/>
      <c r="BL484" s="30"/>
      <c r="BM484" s="30"/>
      <c r="BN484" s="30"/>
      <c r="BO484" s="30"/>
      <c r="BP484" s="30"/>
      <c r="BQ484" s="30"/>
      <c r="BR484" s="30"/>
      <c r="BS484" s="30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1"/>
      <c r="CO484" s="1"/>
      <c r="CP484" s="1"/>
      <c r="CQ484" s="1"/>
      <c r="CR484" s="1"/>
      <c r="CS484" s="1"/>
      <c r="CT484" s="1"/>
      <c r="CU484" s="1"/>
      <c r="CV484" s="1"/>
      <c r="CW484" s="1"/>
    </row>
    <row r="485" spans="2:101" ht="15" hidden="1" customHeight="1" x14ac:dyDescent="0.25"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30"/>
      <c r="AQ485" s="30"/>
      <c r="AR485" s="30"/>
      <c r="AS485" s="30"/>
      <c r="AT485" s="30"/>
      <c r="AU485" s="30"/>
      <c r="AV485" s="30"/>
      <c r="AW485" s="30"/>
      <c r="AX485" s="30"/>
      <c r="AY485" s="30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30"/>
      <c r="BK485" s="30"/>
      <c r="BL485" s="30"/>
      <c r="BM485" s="30"/>
      <c r="BN485" s="30"/>
      <c r="BO485" s="30"/>
      <c r="BP485" s="30"/>
      <c r="BQ485" s="30"/>
      <c r="BR485" s="30"/>
      <c r="BS485" s="30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1"/>
      <c r="CO485" s="1"/>
      <c r="CP485" s="1"/>
      <c r="CQ485" s="1"/>
      <c r="CR485" s="1"/>
      <c r="CS485" s="1"/>
      <c r="CT485" s="1"/>
      <c r="CU485" s="1"/>
      <c r="CV485" s="1"/>
      <c r="CW485" s="1"/>
    </row>
    <row r="486" spans="2:101" ht="15" hidden="1" customHeight="1" x14ac:dyDescent="0.25"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30"/>
      <c r="W486" s="30"/>
      <c r="X486" s="30"/>
      <c r="Y486" s="30"/>
      <c r="Z486" s="30"/>
      <c r="AA486" s="30"/>
      <c r="AB486" s="30"/>
      <c r="AC486" s="30"/>
      <c r="AD486" s="30"/>
      <c r="AE486" s="30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30"/>
      <c r="AQ486" s="30"/>
      <c r="AR486" s="30"/>
      <c r="AS486" s="30"/>
      <c r="AT486" s="30"/>
      <c r="AU486" s="30"/>
      <c r="AV486" s="30"/>
      <c r="AW486" s="30"/>
      <c r="AX486" s="30"/>
      <c r="AY486" s="30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30"/>
      <c r="BK486" s="30"/>
      <c r="BL486" s="30"/>
      <c r="BM486" s="30"/>
      <c r="BN486" s="30"/>
      <c r="BO486" s="30"/>
      <c r="BP486" s="30"/>
      <c r="BQ486" s="30"/>
      <c r="BR486" s="30"/>
      <c r="BS486" s="30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1"/>
      <c r="CO486" s="1"/>
      <c r="CP486" s="1"/>
      <c r="CQ486" s="1"/>
      <c r="CR486" s="1"/>
      <c r="CS486" s="1"/>
      <c r="CT486" s="1"/>
      <c r="CU486" s="1"/>
      <c r="CV486" s="1"/>
      <c r="CW486" s="1"/>
    </row>
    <row r="487" spans="2:101" ht="15" hidden="1" customHeight="1" x14ac:dyDescent="0.25"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30"/>
      <c r="AQ487" s="30"/>
      <c r="AR487" s="30"/>
      <c r="AS487" s="30"/>
      <c r="AT487" s="30"/>
      <c r="AU487" s="30"/>
      <c r="AV487" s="30"/>
      <c r="AW487" s="30"/>
      <c r="AX487" s="30"/>
      <c r="AY487" s="30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30"/>
      <c r="BK487" s="30"/>
      <c r="BL487" s="30"/>
      <c r="BM487" s="30"/>
      <c r="BN487" s="30"/>
      <c r="BO487" s="30"/>
      <c r="BP487" s="30"/>
      <c r="BQ487" s="30"/>
      <c r="BR487" s="30"/>
      <c r="BS487" s="30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1"/>
      <c r="CO487" s="1"/>
      <c r="CP487" s="1"/>
      <c r="CQ487" s="1"/>
      <c r="CR487" s="1"/>
      <c r="CS487" s="1"/>
      <c r="CT487" s="1"/>
      <c r="CU487" s="1"/>
      <c r="CV487" s="1"/>
      <c r="CW487" s="1"/>
    </row>
    <row r="488" spans="2:101" ht="15" hidden="1" customHeight="1" x14ac:dyDescent="0.25"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30"/>
      <c r="AQ488" s="30"/>
      <c r="AR488" s="30"/>
      <c r="AS488" s="30"/>
      <c r="AT488" s="30"/>
      <c r="AU488" s="30"/>
      <c r="AV488" s="30"/>
      <c r="AW488" s="30"/>
      <c r="AX488" s="30"/>
      <c r="AY488" s="30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30"/>
      <c r="BK488" s="30"/>
      <c r="BL488" s="30"/>
      <c r="BM488" s="30"/>
      <c r="BN488" s="30"/>
      <c r="BO488" s="30"/>
      <c r="BP488" s="30"/>
      <c r="BQ488" s="30"/>
      <c r="BR488" s="30"/>
      <c r="BS488" s="30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1"/>
      <c r="CO488" s="1"/>
      <c r="CP488" s="1"/>
      <c r="CQ488" s="1"/>
      <c r="CR488" s="1"/>
      <c r="CS488" s="1"/>
      <c r="CT488" s="1"/>
      <c r="CU488" s="1"/>
      <c r="CV488" s="1"/>
      <c r="CW488" s="1"/>
    </row>
    <row r="489" spans="2:101" ht="15" hidden="1" customHeight="1" x14ac:dyDescent="0.25"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30"/>
      <c r="W489" s="30"/>
      <c r="X489" s="30"/>
      <c r="Y489" s="30"/>
      <c r="Z489" s="30"/>
      <c r="AA489" s="30"/>
      <c r="AB489" s="30"/>
      <c r="AC489" s="30"/>
      <c r="AD489" s="30"/>
      <c r="AE489" s="30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30"/>
      <c r="AQ489" s="30"/>
      <c r="AR489" s="30"/>
      <c r="AS489" s="30"/>
      <c r="AT489" s="30"/>
      <c r="AU489" s="30"/>
      <c r="AV489" s="30"/>
      <c r="AW489" s="30"/>
      <c r="AX489" s="30"/>
      <c r="AY489" s="30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30"/>
      <c r="BK489" s="30"/>
      <c r="BL489" s="30"/>
      <c r="BM489" s="30"/>
      <c r="BN489" s="30"/>
      <c r="BO489" s="30"/>
      <c r="BP489" s="30"/>
      <c r="BQ489" s="30"/>
      <c r="BR489" s="30"/>
      <c r="BS489" s="30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1"/>
      <c r="CO489" s="1"/>
      <c r="CP489" s="1"/>
      <c r="CQ489" s="1"/>
      <c r="CR489" s="1"/>
      <c r="CS489" s="1"/>
      <c r="CT489" s="1"/>
      <c r="CU489" s="1"/>
      <c r="CV489" s="1"/>
      <c r="CW489" s="1"/>
    </row>
    <row r="490" spans="2:101" ht="15" hidden="1" customHeight="1" x14ac:dyDescent="0.25"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30"/>
      <c r="AQ490" s="30"/>
      <c r="AR490" s="30"/>
      <c r="AS490" s="30"/>
      <c r="AT490" s="30"/>
      <c r="AU490" s="30"/>
      <c r="AV490" s="30"/>
      <c r="AW490" s="30"/>
      <c r="AX490" s="30"/>
      <c r="AY490" s="30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30"/>
      <c r="BK490" s="30"/>
      <c r="BL490" s="30"/>
      <c r="BM490" s="30"/>
      <c r="BN490" s="30"/>
      <c r="BO490" s="30"/>
      <c r="BP490" s="30"/>
      <c r="BQ490" s="30"/>
      <c r="BR490" s="30"/>
      <c r="BS490" s="30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1"/>
      <c r="CO490" s="1"/>
      <c r="CP490" s="1"/>
      <c r="CQ490" s="1"/>
      <c r="CR490" s="1"/>
      <c r="CS490" s="1"/>
      <c r="CT490" s="1"/>
      <c r="CU490" s="1"/>
      <c r="CV490" s="1"/>
      <c r="CW490" s="1"/>
    </row>
    <row r="491" spans="2:101" ht="15" hidden="1" customHeight="1" x14ac:dyDescent="0.25"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30"/>
      <c r="AQ491" s="30"/>
      <c r="AR491" s="30"/>
      <c r="AS491" s="30"/>
      <c r="AT491" s="30"/>
      <c r="AU491" s="30"/>
      <c r="AV491" s="30"/>
      <c r="AW491" s="30"/>
      <c r="AX491" s="30"/>
      <c r="AY491" s="30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30"/>
      <c r="BK491" s="30"/>
      <c r="BL491" s="30"/>
      <c r="BM491" s="30"/>
      <c r="BN491" s="30"/>
      <c r="BO491" s="30"/>
      <c r="BP491" s="30"/>
      <c r="BQ491" s="30"/>
      <c r="BR491" s="30"/>
      <c r="BS491" s="30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1"/>
      <c r="CO491" s="1"/>
      <c r="CP491" s="1"/>
      <c r="CQ491" s="1"/>
      <c r="CR491" s="1"/>
      <c r="CS491" s="1"/>
      <c r="CT491" s="1"/>
      <c r="CU491" s="1"/>
      <c r="CV491" s="1"/>
      <c r="CW491" s="1"/>
    </row>
    <row r="492" spans="2:101" ht="15" hidden="1" customHeight="1" x14ac:dyDescent="0.25"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30"/>
      <c r="W492" s="30"/>
      <c r="X492" s="30"/>
      <c r="Y492" s="30"/>
      <c r="Z492" s="30"/>
      <c r="AA492" s="30"/>
      <c r="AB492" s="30"/>
      <c r="AC492" s="30"/>
      <c r="AD492" s="30"/>
      <c r="AE492" s="30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30"/>
      <c r="AQ492" s="30"/>
      <c r="AR492" s="30"/>
      <c r="AS492" s="30"/>
      <c r="AT492" s="30"/>
      <c r="AU492" s="30"/>
      <c r="AV492" s="30"/>
      <c r="AW492" s="30"/>
      <c r="AX492" s="30"/>
      <c r="AY492" s="30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30"/>
      <c r="BK492" s="30"/>
      <c r="BL492" s="30"/>
      <c r="BM492" s="30"/>
      <c r="BN492" s="30"/>
      <c r="BO492" s="30"/>
      <c r="BP492" s="30"/>
      <c r="BQ492" s="30"/>
      <c r="BR492" s="30"/>
      <c r="BS492" s="30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1"/>
      <c r="CO492" s="1"/>
      <c r="CP492" s="1"/>
      <c r="CQ492" s="1"/>
      <c r="CR492" s="1"/>
      <c r="CS492" s="1"/>
      <c r="CT492" s="1"/>
      <c r="CU492" s="1"/>
      <c r="CV492" s="1"/>
      <c r="CW492" s="1"/>
    </row>
    <row r="493" spans="2:101" ht="15" hidden="1" customHeight="1" x14ac:dyDescent="0.25"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30"/>
      <c r="W493" s="30"/>
      <c r="X493" s="30"/>
      <c r="Y493" s="30"/>
      <c r="Z493" s="30"/>
      <c r="AA493" s="30"/>
      <c r="AB493" s="30"/>
      <c r="AC493" s="30"/>
      <c r="AD493" s="30"/>
      <c r="AE493" s="30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30"/>
      <c r="AQ493" s="30"/>
      <c r="AR493" s="30"/>
      <c r="AS493" s="30"/>
      <c r="AT493" s="30"/>
      <c r="AU493" s="30"/>
      <c r="AV493" s="30"/>
      <c r="AW493" s="30"/>
      <c r="AX493" s="30"/>
      <c r="AY493" s="30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30"/>
      <c r="BK493" s="30"/>
      <c r="BL493" s="30"/>
      <c r="BM493" s="30"/>
      <c r="BN493" s="30"/>
      <c r="BO493" s="30"/>
      <c r="BP493" s="30"/>
      <c r="BQ493" s="30"/>
      <c r="BR493" s="30"/>
      <c r="BS493" s="30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1"/>
      <c r="CO493" s="1"/>
      <c r="CP493" s="1"/>
      <c r="CQ493" s="1"/>
      <c r="CR493" s="1"/>
      <c r="CS493" s="1"/>
      <c r="CT493" s="1"/>
      <c r="CU493" s="1"/>
      <c r="CV493" s="1"/>
      <c r="CW493" s="1"/>
    </row>
    <row r="494" spans="2:101" ht="15" hidden="1" customHeight="1" x14ac:dyDescent="0.25"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30"/>
      <c r="AQ494" s="30"/>
      <c r="AR494" s="30"/>
      <c r="AS494" s="30"/>
      <c r="AT494" s="30"/>
      <c r="AU494" s="30"/>
      <c r="AV494" s="30"/>
      <c r="AW494" s="30"/>
      <c r="AX494" s="30"/>
      <c r="AY494" s="30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30"/>
      <c r="BK494" s="30"/>
      <c r="BL494" s="30"/>
      <c r="BM494" s="30"/>
      <c r="BN494" s="30"/>
      <c r="BO494" s="30"/>
      <c r="BP494" s="30"/>
      <c r="BQ494" s="30"/>
      <c r="BR494" s="30"/>
      <c r="BS494" s="30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1"/>
      <c r="CO494" s="1"/>
      <c r="CP494" s="1"/>
      <c r="CQ494" s="1"/>
      <c r="CR494" s="1"/>
      <c r="CS494" s="1"/>
      <c r="CT494" s="1"/>
      <c r="CU494" s="1"/>
      <c r="CV494" s="1"/>
      <c r="CW494" s="1"/>
    </row>
    <row r="495" spans="2:101" ht="15" hidden="1" customHeight="1" x14ac:dyDescent="0.25"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30"/>
      <c r="AQ495" s="30"/>
      <c r="AR495" s="30"/>
      <c r="AS495" s="30"/>
      <c r="AT495" s="30"/>
      <c r="AU495" s="30"/>
      <c r="AV495" s="30"/>
      <c r="AW495" s="30"/>
      <c r="AX495" s="30"/>
      <c r="AY495" s="30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30"/>
      <c r="BK495" s="30"/>
      <c r="BL495" s="30"/>
      <c r="BM495" s="30"/>
      <c r="BN495" s="30"/>
      <c r="BO495" s="30"/>
      <c r="BP495" s="30"/>
      <c r="BQ495" s="30"/>
      <c r="BR495" s="30"/>
      <c r="BS495" s="30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1"/>
      <c r="CO495" s="1"/>
      <c r="CP495" s="1"/>
      <c r="CQ495" s="1"/>
      <c r="CR495" s="1"/>
      <c r="CS495" s="1"/>
      <c r="CT495" s="1"/>
      <c r="CU495" s="1"/>
      <c r="CV495" s="1"/>
      <c r="CW495" s="1"/>
    </row>
    <row r="496" spans="2:101" ht="15" hidden="1" customHeight="1" x14ac:dyDescent="0.25"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30"/>
      <c r="W496" s="30"/>
      <c r="X496" s="30"/>
      <c r="Y496" s="30"/>
      <c r="Z496" s="30"/>
      <c r="AA496" s="30"/>
      <c r="AB496" s="30"/>
      <c r="AC496" s="30"/>
      <c r="AD496" s="30"/>
      <c r="AE496" s="30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30"/>
      <c r="AQ496" s="30"/>
      <c r="AR496" s="30"/>
      <c r="AS496" s="30"/>
      <c r="AT496" s="30"/>
      <c r="AU496" s="30"/>
      <c r="AV496" s="30"/>
      <c r="AW496" s="30"/>
      <c r="AX496" s="30"/>
      <c r="AY496" s="30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30"/>
      <c r="BK496" s="30"/>
      <c r="BL496" s="30"/>
      <c r="BM496" s="30"/>
      <c r="BN496" s="30"/>
      <c r="BO496" s="30"/>
      <c r="BP496" s="30"/>
      <c r="BQ496" s="30"/>
      <c r="BR496" s="30"/>
      <c r="BS496" s="30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1"/>
      <c r="CO496" s="1"/>
      <c r="CP496" s="1"/>
      <c r="CQ496" s="1"/>
      <c r="CR496" s="1"/>
      <c r="CS496" s="1"/>
      <c r="CT496" s="1"/>
      <c r="CU496" s="1"/>
      <c r="CV496" s="1"/>
      <c r="CW496" s="1"/>
    </row>
    <row r="497" spans="2:101" ht="15" hidden="1" customHeight="1" x14ac:dyDescent="0.25"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30"/>
      <c r="AQ497" s="30"/>
      <c r="AR497" s="30"/>
      <c r="AS497" s="30"/>
      <c r="AT497" s="30"/>
      <c r="AU497" s="30"/>
      <c r="AV497" s="30"/>
      <c r="AW497" s="30"/>
      <c r="AX497" s="30"/>
      <c r="AY497" s="30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30"/>
      <c r="BK497" s="30"/>
      <c r="BL497" s="30"/>
      <c r="BM497" s="30"/>
      <c r="BN497" s="30"/>
      <c r="BO497" s="30"/>
      <c r="BP497" s="30"/>
      <c r="BQ497" s="30"/>
      <c r="BR497" s="30"/>
      <c r="BS497" s="30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1"/>
      <c r="CO497" s="1"/>
      <c r="CP497" s="1"/>
      <c r="CQ497" s="1"/>
      <c r="CR497" s="1"/>
      <c r="CS497" s="1"/>
      <c r="CT497" s="1"/>
      <c r="CU497" s="1"/>
      <c r="CV497" s="1"/>
      <c r="CW497" s="1"/>
    </row>
    <row r="498" spans="2:101" ht="15" hidden="1" customHeight="1" x14ac:dyDescent="0.25"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30"/>
      <c r="AQ498" s="30"/>
      <c r="AR498" s="30"/>
      <c r="AS498" s="30"/>
      <c r="AT498" s="30"/>
      <c r="AU498" s="30"/>
      <c r="AV498" s="30"/>
      <c r="AW498" s="30"/>
      <c r="AX498" s="30"/>
      <c r="AY498" s="30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30"/>
      <c r="BK498" s="30"/>
      <c r="BL498" s="30"/>
      <c r="BM498" s="30"/>
      <c r="BN498" s="30"/>
      <c r="BO498" s="30"/>
      <c r="BP498" s="30"/>
      <c r="BQ498" s="30"/>
      <c r="BR498" s="30"/>
      <c r="BS498" s="30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1"/>
      <c r="CO498" s="1"/>
      <c r="CP498" s="1"/>
      <c r="CQ498" s="1"/>
      <c r="CR498" s="1"/>
      <c r="CS498" s="1"/>
      <c r="CT498" s="1"/>
      <c r="CU498" s="1"/>
      <c r="CV498" s="1"/>
      <c r="CW498" s="1"/>
    </row>
    <row r="499" spans="2:101" ht="15" hidden="1" customHeight="1" x14ac:dyDescent="0.25"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30"/>
      <c r="W499" s="30"/>
      <c r="X499" s="30"/>
      <c r="Y499" s="30"/>
      <c r="Z499" s="30"/>
      <c r="AA499" s="30"/>
      <c r="AB499" s="30"/>
      <c r="AC499" s="30"/>
      <c r="AD499" s="30"/>
      <c r="AE499" s="30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30"/>
      <c r="AQ499" s="30"/>
      <c r="AR499" s="30"/>
      <c r="AS499" s="30"/>
      <c r="AT499" s="30"/>
      <c r="AU499" s="30"/>
      <c r="AV499" s="30"/>
      <c r="AW499" s="30"/>
      <c r="AX499" s="30"/>
      <c r="AY499" s="30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30"/>
      <c r="BK499" s="30"/>
      <c r="BL499" s="30"/>
      <c r="BM499" s="30"/>
      <c r="BN499" s="30"/>
      <c r="BO499" s="30"/>
      <c r="BP499" s="30"/>
      <c r="BQ499" s="30"/>
      <c r="BR499" s="30"/>
      <c r="BS499" s="30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1"/>
      <c r="CO499" s="1"/>
      <c r="CP499" s="1"/>
      <c r="CQ499" s="1"/>
      <c r="CR499" s="1"/>
      <c r="CS499" s="1"/>
      <c r="CT499" s="1"/>
      <c r="CU499" s="1"/>
      <c r="CV499" s="1"/>
      <c r="CW499" s="1"/>
    </row>
    <row r="500" spans="2:101" ht="15" hidden="1" customHeight="1" x14ac:dyDescent="0.25"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30"/>
      <c r="AQ500" s="30"/>
      <c r="AR500" s="30"/>
      <c r="AS500" s="30"/>
      <c r="AT500" s="30"/>
      <c r="AU500" s="30"/>
      <c r="AV500" s="30"/>
      <c r="AW500" s="30"/>
      <c r="AX500" s="30"/>
      <c r="AY500" s="30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30"/>
      <c r="BK500" s="30"/>
      <c r="BL500" s="30"/>
      <c r="BM500" s="30"/>
      <c r="BN500" s="30"/>
      <c r="BO500" s="30"/>
      <c r="BP500" s="30"/>
      <c r="BQ500" s="30"/>
      <c r="BR500" s="30"/>
      <c r="BS500" s="30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1"/>
      <c r="CO500" s="1"/>
      <c r="CP500" s="1"/>
      <c r="CQ500" s="1"/>
      <c r="CR500" s="1"/>
      <c r="CS500" s="1"/>
      <c r="CT500" s="1"/>
      <c r="CU500" s="1"/>
      <c r="CV500" s="1"/>
      <c r="CW500" s="1"/>
    </row>
    <row r="501" spans="2:101" ht="15" hidden="1" customHeight="1" x14ac:dyDescent="0.25"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30"/>
      <c r="AQ501" s="30"/>
      <c r="AR501" s="30"/>
      <c r="AS501" s="30"/>
      <c r="AT501" s="30"/>
      <c r="AU501" s="30"/>
      <c r="AV501" s="30"/>
      <c r="AW501" s="30"/>
      <c r="AX501" s="30"/>
      <c r="AY501" s="30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30"/>
      <c r="BK501" s="30"/>
      <c r="BL501" s="30"/>
      <c r="BM501" s="30"/>
      <c r="BN501" s="30"/>
      <c r="BO501" s="30"/>
      <c r="BP501" s="30"/>
      <c r="BQ501" s="30"/>
      <c r="BR501" s="30"/>
      <c r="BS501" s="30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1"/>
      <c r="CO501" s="1"/>
      <c r="CP501" s="1"/>
      <c r="CQ501" s="1"/>
      <c r="CR501" s="1"/>
      <c r="CS501" s="1"/>
      <c r="CT501" s="1"/>
      <c r="CU501" s="1"/>
      <c r="CV501" s="1"/>
      <c r="CW501" s="1"/>
    </row>
    <row r="502" spans="2:101" ht="15" hidden="1" customHeight="1" x14ac:dyDescent="0.25"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30"/>
      <c r="W502" s="30"/>
      <c r="X502" s="30"/>
      <c r="Y502" s="30"/>
      <c r="Z502" s="30"/>
      <c r="AA502" s="30"/>
      <c r="AB502" s="30"/>
      <c r="AC502" s="30"/>
      <c r="AD502" s="30"/>
      <c r="AE502" s="30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30"/>
      <c r="AQ502" s="30"/>
      <c r="AR502" s="30"/>
      <c r="AS502" s="30"/>
      <c r="AT502" s="30"/>
      <c r="AU502" s="30"/>
      <c r="AV502" s="30"/>
      <c r="AW502" s="30"/>
      <c r="AX502" s="30"/>
      <c r="AY502" s="30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30"/>
      <c r="BK502" s="30"/>
      <c r="BL502" s="30"/>
      <c r="BM502" s="30"/>
      <c r="BN502" s="30"/>
      <c r="BO502" s="30"/>
      <c r="BP502" s="30"/>
      <c r="BQ502" s="30"/>
      <c r="BR502" s="30"/>
      <c r="BS502" s="30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1"/>
      <c r="CO502" s="1"/>
      <c r="CP502" s="1"/>
      <c r="CQ502" s="1"/>
      <c r="CR502" s="1"/>
      <c r="CS502" s="1"/>
      <c r="CT502" s="1"/>
      <c r="CU502" s="1"/>
      <c r="CV502" s="1"/>
      <c r="CW502" s="1"/>
    </row>
    <row r="503" spans="2:101" ht="15" hidden="1" customHeight="1" x14ac:dyDescent="0.25"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30"/>
      <c r="W503" s="30"/>
      <c r="X503" s="30"/>
      <c r="Y503" s="30"/>
      <c r="Z503" s="30"/>
      <c r="AA503" s="30"/>
      <c r="AB503" s="30"/>
      <c r="AC503" s="30"/>
      <c r="AD503" s="30"/>
      <c r="AE503" s="30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30"/>
      <c r="AQ503" s="30"/>
      <c r="AR503" s="30"/>
      <c r="AS503" s="30"/>
      <c r="AT503" s="30"/>
      <c r="AU503" s="30"/>
      <c r="AV503" s="30"/>
      <c r="AW503" s="30"/>
      <c r="AX503" s="30"/>
      <c r="AY503" s="30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30"/>
      <c r="BK503" s="30"/>
      <c r="BL503" s="30"/>
      <c r="BM503" s="30"/>
      <c r="BN503" s="30"/>
      <c r="BO503" s="30"/>
      <c r="BP503" s="30"/>
      <c r="BQ503" s="30"/>
      <c r="BR503" s="30"/>
      <c r="BS503" s="30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1"/>
      <c r="CO503" s="1"/>
      <c r="CP503" s="1"/>
      <c r="CQ503" s="1"/>
      <c r="CR503" s="1"/>
      <c r="CS503" s="1"/>
      <c r="CT503" s="1"/>
      <c r="CU503" s="1"/>
      <c r="CV503" s="1"/>
      <c r="CW503" s="1"/>
    </row>
    <row r="504" spans="2:101" ht="15" hidden="1" customHeight="1" x14ac:dyDescent="0.25"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30"/>
      <c r="W504" s="30"/>
      <c r="X504" s="30"/>
      <c r="Y504" s="30"/>
      <c r="Z504" s="30"/>
      <c r="AA504" s="30"/>
      <c r="AB504" s="30"/>
      <c r="AC504" s="30"/>
      <c r="AD504" s="30"/>
      <c r="AE504" s="30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30"/>
      <c r="AQ504" s="30"/>
      <c r="AR504" s="30"/>
      <c r="AS504" s="30"/>
      <c r="AT504" s="30"/>
      <c r="AU504" s="30"/>
      <c r="AV504" s="30"/>
      <c r="AW504" s="30"/>
      <c r="AX504" s="30"/>
      <c r="AY504" s="30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30"/>
      <c r="BK504" s="30"/>
      <c r="BL504" s="30"/>
      <c r="BM504" s="30"/>
      <c r="BN504" s="30"/>
      <c r="BO504" s="30"/>
      <c r="BP504" s="30"/>
      <c r="BQ504" s="30"/>
      <c r="BR504" s="30"/>
      <c r="BS504" s="30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1"/>
      <c r="CO504" s="1"/>
      <c r="CP504" s="1"/>
      <c r="CQ504" s="1"/>
      <c r="CR504" s="1"/>
      <c r="CS504" s="1"/>
      <c r="CT504" s="1"/>
      <c r="CU504" s="1"/>
      <c r="CV504" s="1"/>
      <c r="CW504" s="1"/>
    </row>
    <row r="505" spans="2:101" ht="15" hidden="1" customHeight="1" x14ac:dyDescent="0.25"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30"/>
      <c r="W505" s="30"/>
      <c r="X505" s="30"/>
      <c r="Y505" s="30"/>
      <c r="Z505" s="30"/>
      <c r="AA505" s="30"/>
      <c r="AB505" s="30"/>
      <c r="AC505" s="30"/>
      <c r="AD505" s="30"/>
      <c r="AE505" s="30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30"/>
      <c r="AQ505" s="30"/>
      <c r="AR505" s="30"/>
      <c r="AS505" s="30"/>
      <c r="AT505" s="30"/>
      <c r="AU505" s="30"/>
      <c r="AV505" s="30"/>
      <c r="AW505" s="30"/>
      <c r="AX505" s="30"/>
      <c r="AY505" s="30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30"/>
      <c r="BK505" s="30"/>
      <c r="BL505" s="30"/>
      <c r="BM505" s="30"/>
      <c r="BN505" s="30"/>
      <c r="BO505" s="30"/>
      <c r="BP505" s="30"/>
      <c r="BQ505" s="30"/>
      <c r="BR505" s="30"/>
      <c r="BS505" s="30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1"/>
      <c r="CO505" s="1"/>
      <c r="CP505" s="1"/>
      <c r="CQ505" s="1"/>
      <c r="CR505" s="1"/>
      <c r="CS505" s="1"/>
      <c r="CT505" s="1"/>
      <c r="CU505" s="1"/>
      <c r="CV505" s="1"/>
      <c r="CW505" s="1"/>
    </row>
    <row r="506" spans="2:101" ht="15" hidden="1" customHeight="1" x14ac:dyDescent="0.25"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30"/>
      <c r="AQ506" s="30"/>
      <c r="AR506" s="30"/>
      <c r="AS506" s="30"/>
      <c r="AT506" s="30"/>
      <c r="AU506" s="30"/>
      <c r="AV506" s="30"/>
      <c r="AW506" s="30"/>
      <c r="AX506" s="30"/>
      <c r="AY506" s="30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30"/>
      <c r="BK506" s="30"/>
      <c r="BL506" s="30"/>
      <c r="BM506" s="30"/>
      <c r="BN506" s="30"/>
      <c r="BO506" s="30"/>
      <c r="BP506" s="30"/>
      <c r="BQ506" s="30"/>
      <c r="BR506" s="30"/>
      <c r="BS506" s="30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1"/>
      <c r="CO506" s="1"/>
      <c r="CP506" s="1"/>
      <c r="CQ506" s="1"/>
      <c r="CR506" s="1"/>
      <c r="CS506" s="1"/>
      <c r="CT506" s="1"/>
      <c r="CU506" s="1"/>
      <c r="CV506" s="1"/>
      <c r="CW506" s="1"/>
    </row>
    <row r="507" spans="2:101" ht="15" hidden="1" customHeight="1" x14ac:dyDescent="0.25"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30"/>
      <c r="AQ507" s="30"/>
      <c r="AR507" s="30"/>
      <c r="AS507" s="30"/>
      <c r="AT507" s="30"/>
      <c r="AU507" s="30"/>
      <c r="AV507" s="30"/>
      <c r="AW507" s="30"/>
      <c r="AX507" s="30"/>
      <c r="AY507" s="30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30"/>
      <c r="BK507" s="30"/>
      <c r="BL507" s="30"/>
      <c r="BM507" s="30"/>
      <c r="BN507" s="30"/>
      <c r="BO507" s="30"/>
      <c r="BP507" s="30"/>
      <c r="BQ507" s="30"/>
      <c r="BR507" s="30"/>
      <c r="BS507" s="30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1"/>
      <c r="CO507" s="1"/>
      <c r="CP507" s="1"/>
      <c r="CQ507" s="1"/>
      <c r="CR507" s="1"/>
      <c r="CS507" s="1"/>
      <c r="CT507" s="1"/>
      <c r="CU507" s="1"/>
      <c r="CV507" s="1"/>
      <c r="CW507" s="1"/>
    </row>
    <row r="508" spans="2:101" ht="15" hidden="1" customHeight="1" x14ac:dyDescent="0.25"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30"/>
      <c r="AQ508" s="30"/>
      <c r="AR508" s="30"/>
      <c r="AS508" s="30"/>
      <c r="AT508" s="30"/>
      <c r="AU508" s="30"/>
      <c r="AV508" s="30"/>
      <c r="AW508" s="30"/>
      <c r="AX508" s="30"/>
      <c r="AY508" s="30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30"/>
      <c r="BK508" s="30"/>
      <c r="BL508" s="30"/>
      <c r="BM508" s="30"/>
      <c r="BN508" s="30"/>
      <c r="BO508" s="30"/>
      <c r="BP508" s="30"/>
      <c r="BQ508" s="30"/>
      <c r="BR508" s="30"/>
      <c r="BS508" s="30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1"/>
      <c r="CO508" s="1"/>
      <c r="CP508" s="1"/>
      <c r="CQ508" s="1"/>
      <c r="CR508" s="1"/>
      <c r="CS508" s="1"/>
      <c r="CT508" s="1"/>
      <c r="CU508" s="1"/>
      <c r="CV508" s="1"/>
      <c r="CW508" s="1"/>
    </row>
    <row r="509" spans="2:101" ht="15" hidden="1" customHeight="1" x14ac:dyDescent="0.25"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30"/>
      <c r="AQ509" s="30"/>
      <c r="AR509" s="30"/>
      <c r="AS509" s="30"/>
      <c r="AT509" s="30"/>
      <c r="AU509" s="30"/>
      <c r="AV509" s="30"/>
      <c r="AW509" s="30"/>
      <c r="AX509" s="30"/>
      <c r="AY509" s="30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30"/>
      <c r="BK509" s="30"/>
      <c r="BL509" s="30"/>
      <c r="BM509" s="30"/>
      <c r="BN509" s="30"/>
      <c r="BO509" s="30"/>
      <c r="BP509" s="30"/>
      <c r="BQ509" s="30"/>
      <c r="BR509" s="30"/>
      <c r="BS509" s="30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1"/>
      <c r="CO509" s="1"/>
      <c r="CP509" s="1"/>
      <c r="CQ509" s="1"/>
      <c r="CR509" s="1"/>
      <c r="CS509" s="1"/>
      <c r="CT509" s="1"/>
      <c r="CU509" s="1"/>
      <c r="CV509" s="1"/>
      <c r="CW509" s="1"/>
    </row>
    <row r="510" spans="2:101" ht="15" hidden="1" customHeight="1" x14ac:dyDescent="0.25"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30"/>
      <c r="AQ510" s="30"/>
      <c r="AR510" s="30"/>
      <c r="AS510" s="30"/>
      <c r="AT510" s="30"/>
      <c r="AU510" s="30"/>
      <c r="AV510" s="30"/>
      <c r="AW510" s="30"/>
      <c r="AX510" s="30"/>
      <c r="AY510" s="30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30"/>
      <c r="BK510" s="30"/>
      <c r="BL510" s="30"/>
      <c r="BM510" s="30"/>
      <c r="BN510" s="30"/>
      <c r="BO510" s="30"/>
      <c r="BP510" s="30"/>
      <c r="BQ510" s="30"/>
      <c r="BR510" s="30"/>
      <c r="BS510" s="30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1"/>
      <c r="CO510" s="1"/>
      <c r="CP510" s="1"/>
      <c r="CQ510" s="1"/>
      <c r="CR510" s="1"/>
      <c r="CS510" s="1"/>
      <c r="CT510" s="1"/>
      <c r="CU510" s="1"/>
      <c r="CV510" s="1"/>
      <c r="CW510" s="1"/>
    </row>
    <row r="511" spans="2:101" ht="15" hidden="1" customHeight="1" x14ac:dyDescent="0.25"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30"/>
      <c r="AQ511" s="30"/>
      <c r="AR511" s="30"/>
      <c r="AS511" s="30"/>
      <c r="AT511" s="30"/>
      <c r="AU511" s="30"/>
      <c r="AV511" s="30"/>
      <c r="AW511" s="30"/>
      <c r="AX511" s="30"/>
      <c r="AY511" s="30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30"/>
      <c r="BK511" s="30"/>
      <c r="BL511" s="30"/>
      <c r="BM511" s="30"/>
      <c r="BN511" s="30"/>
      <c r="BO511" s="30"/>
      <c r="BP511" s="30"/>
      <c r="BQ511" s="30"/>
      <c r="BR511" s="30"/>
      <c r="BS511" s="30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1"/>
      <c r="CO511" s="1"/>
      <c r="CP511" s="1"/>
      <c r="CQ511" s="1"/>
      <c r="CR511" s="1"/>
      <c r="CS511" s="1"/>
      <c r="CT511" s="1"/>
      <c r="CU511" s="1"/>
      <c r="CV511" s="1"/>
      <c r="CW511" s="1"/>
    </row>
    <row r="512" spans="2:101" ht="15" hidden="1" customHeight="1" x14ac:dyDescent="0.25"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30"/>
      <c r="AQ512" s="30"/>
      <c r="AR512" s="30"/>
      <c r="AS512" s="30"/>
      <c r="AT512" s="30"/>
      <c r="AU512" s="30"/>
      <c r="AV512" s="30"/>
      <c r="AW512" s="30"/>
      <c r="AX512" s="30"/>
      <c r="AY512" s="30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30"/>
      <c r="BK512" s="30"/>
      <c r="BL512" s="30"/>
      <c r="BM512" s="30"/>
      <c r="BN512" s="30"/>
      <c r="BO512" s="30"/>
      <c r="BP512" s="30"/>
      <c r="BQ512" s="30"/>
      <c r="BR512" s="30"/>
      <c r="BS512" s="30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1"/>
      <c r="CO512" s="1"/>
      <c r="CP512" s="1"/>
      <c r="CQ512" s="1"/>
      <c r="CR512" s="1"/>
      <c r="CS512" s="1"/>
      <c r="CT512" s="1"/>
      <c r="CU512" s="1"/>
      <c r="CV512" s="1"/>
      <c r="CW512" s="1"/>
    </row>
    <row r="513" spans="2:101" ht="15" hidden="1" customHeight="1" x14ac:dyDescent="0.25"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30"/>
      <c r="AQ513" s="30"/>
      <c r="AR513" s="30"/>
      <c r="AS513" s="30"/>
      <c r="AT513" s="30"/>
      <c r="AU513" s="30"/>
      <c r="AV513" s="30"/>
      <c r="AW513" s="30"/>
      <c r="AX513" s="30"/>
      <c r="AY513" s="30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30"/>
      <c r="BK513" s="30"/>
      <c r="BL513" s="30"/>
      <c r="BM513" s="30"/>
      <c r="BN513" s="30"/>
      <c r="BO513" s="30"/>
      <c r="BP513" s="30"/>
      <c r="BQ513" s="30"/>
      <c r="BR513" s="30"/>
      <c r="BS513" s="30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1"/>
      <c r="CO513" s="1"/>
      <c r="CP513" s="1"/>
      <c r="CQ513" s="1"/>
      <c r="CR513" s="1"/>
      <c r="CS513" s="1"/>
      <c r="CT513" s="1"/>
      <c r="CU513" s="1"/>
      <c r="CV513" s="1"/>
      <c r="CW513" s="1"/>
    </row>
    <row r="514" spans="2:101" ht="15" hidden="1" customHeight="1" x14ac:dyDescent="0.25"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30"/>
      <c r="AQ514" s="30"/>
      <c r="AR514" s="30"/>
      <c r="AS514" s="30"/>
      <c r="AT514" s="30"/>
      <c r="AU514" s="30"/>
      <c r="AV514" s="30"/>
      <c r="AW514" s="30"/>
      <c r="AX514" s="30"/>
      <c r="AY514" s="30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30"/>
      <c r="BK514" s="30"/>
      <c r="BL514" s="30"/>
      <c r="BM514" s="30"/>
      <c r="BN514" s="30"/>
      <c r="BO514" s="30"/>
      <c r="BP514" s="30"/>
      <c r="BQ514" s="30"/>
      <c r="BR514" s="30"/>
      <c r="BS514" s="30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1"/>
      <c r="CO514" s="1"/>
      <c r="CP514" s="1"/>
      <c r="CQ514" s="1"/>
      <c r="CR514" s="1"/>
      <c r="CS514" s="1"/>
      <c r="CT514" s="1"/>
      <c r="CU514" s="1"/>
      <c r="CV514" s="1"/>
      <c r="CW514" s="1"/>
    </row>
    <row r="515" spans="2:101" ht="15" hidden="1" customHeight="1" x14ac:dyDescent="0.25"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30"/>
      <c r="AQ515" s="30"/>
      <c r="AR515" s="30"/>
      <c r="AS515" s="30"/>
      <c r="AT515" s="30"/>
      <c r="AU515" s="30"/>
      <c r="AV515" s="30"/>
      <c r="AW515" s="30"/>
      <c r="AX515" s="30"/>
      <c r="AY515" s="30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30"/>
      <c r="BK515" s="30"/>
      <c r="BL515" s="30"/>
      <c r="BM515" s="30"/>
      <c r="BN515" s="30"/>
      <c r="BO515" s="30"/>
      <c r="BP515" s="30"/>
      <c r="BQ515" s="30"/>
      <c r="BR515" s="30"/>
      <c r="BS515" s="30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1"/>
      <c r="CO515" s="1"/>
      <c r="CP515" s="1"/>
      <c r="CQ515" s="1"/>
      <c r="CR515" s="1"/>
      <c r="CS515" s="1"/>
      <c r="CT515" s="1"/>
      <c r="CU515" s="1"/>
      <c r="CV515" s="1"/>
      <c r="CW515" s="1"/>
    </row>
    <row r="516" spans="2:101" ht="15" hidden="1" customHeight="1" x14ac:dyDescent="0.25"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30"/>
      <c r="BK516" s="30"/>
      <c r="BL516" s="30"/>
      <c r="BM516" s="30"/>
      <c r="BN516" s="30"/>
      <c r="BO516" s="30"/>
      <c r="BP516" s="30"/>
      <c r="BQ516" s="30"/>
      <c r="BR516" s="30"/>
      <c r="BS516" s="30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1"/>
      <c r="CO516" s="1"/>
      <c r="CP516" s="1"/>
      <c r="CQ516" s="1"/>
      <c r="CR516" s="1"/>
      <c r="CS516" s="1"/>
      <c r="CT516" s="1"/>
      <c r="CU516" s="1"/>
      <c r="CV516" s="1"/>
      <c r="CW516" s="1"/>
    </row>
    <row r="517" spans="2:101" ht="15" hidden="1" customHeight="1" x14ac:dyDescent="0.25"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30"/>
      <c r="AQ517" s="30"/>
      <c r="AR517" s="30"/>
      <c r="AS517" s="30"/>
      <c r="AT517" s="30"/>
      <c r="AU517" s="30"/>
      <c r="AV517" s="30"/>
      <c r="AW517" s="30"/>
      <c r="AX517" s="30"/>
      <c r="AY517" s="30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30"/>
      <c r="BK517" s="30"/>
      <c r="BL517" s="30"/>
      <c r="BM517" s="30"/>
      <c r="BN517" s="30"/>
      <c r="BO517" s="30"/>
      <c r="BP517" s="30"/>
      <c r="BQ517" s="30"/>
      <c r="BR517" s="30"/>
      <c r="BS517" s="30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1"/>
      <c r="CO517" s="1"/>
      <c r="CP517" s="1"/>
      <c r="CQ517" s="1"/>
      <c r="CR517" s="1"/>
      <c r="CS517" s="1"/>
      <c r="CT517" s="1"/>
      <c r="CU517" s="1"/>
      <c r="CV517" s="1"/>
      <c r="CW517" s="1"/>
    </row>
    <row r="518" spans="2:101" ht="15" hidden="1" customHeight="1" x14ac:dyDescent="0.25"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30"/>
      <c r="AQ518" s="30"/>
      <c r="AR518" s="30"/>
      <c r="AS518" s="30"/>
      <c r="AT518" s="30"/>
      <c r="AU518" s="30"/>
      <c r="AV518" s="30"/>
      <c r="AW518" s="30"/>
      <c r="AX518" s="30"/>
      <c r="AY518" s="30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30"/>
      <c r="BK518" s="30"/>
      <c r="BL518" s="30"/>
      <c r="BM518" s="30"/>
      <c r="BN518" s="30"/>
      <c r="BO518" s="30"/>
      <c r="BP518" s="30"/>
      <c r="BQ518" s="30"/>
      <c r="BR518" s="30"/>
      <c r="BS518" s="30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1"/>
      <c r="CO518" s="1"/>
      <c r="CP518" s="1"/>
      <c r="CQ518" s="1"/>
      <c r="CR518" s="1"/>
      <c r="CS518" s="1"/>
      <c r="CT518" s="1"/>
      <c r="CU518" s="1"/>
      <c r="CV518" s="1"/>
      <c r="CW518" s="1"/>
    </row>
    <row r="519" spans="2:101" ht="15" hidden="1" customHeight="1" x14ac:dyDescent="0.25"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30"/>
      <c r="AQ519" s="30"/>
      <c r="AR519" s="30"/>
      <c r="AS519" s="30"/>
      <c r="AT519" s="30"/>
      <c r="AU519" s="30"/>
      <c r="AV519" s="30"/>
      <c r="AW519" s="30"/>
      <c r="AX519" s="30"/>
      <c r="AY519" s="30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30"/>
      <c r="BK519" s="30"/>
      <c r="BL519" s="30"/>
      <c r="BM519" s="30"/>
      <c r="BN519" s="30"/>
      <c r="BO519" s="30"/>
      <c r="BP519" s="30"/>
      <c r="BQ519" s="30"/>
      <c r="BR519" s="30"/>
      <c r="BS519" s="30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1"/>
      <c r="CO519" s="1"/>
      <c r="CP519" s="1"/>
      <c r="CQ519" s="1"/>
      <c r="CR519" s="1"/>
      <c r="CS519" s="1"/>
      <c r="CT519" s="1"/>
      <c r="CU519" s="1"/>
      <c r="CV519" s="1"/>
      <c r="CW519" s="1"/>
    </row>
    <row r="520" spans="2:101" ht="15" hidden="1" customHeight="1" x14ac:dyDescent="0.25"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30"/>
      <c r="AQ520" s="30"/>
      <c r="AR520" s="30"/>
      <c r="AS520" s="30"/>
      <c r="AT520" s="30"/>
      <c r="AU520" s="30"/>
      <c r="AV520" s="30"/>
      <c r="AW520" s="30"/>
      <c r="AX520" s="30"/>
      <c r="AY520" s="30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30"/>
      <c r="BK520" s="30"/>
      <c r="BL520" s="30"/>
      <c r="BM520" s="30"/>
      <c r="BN520" s="30"/>
      <c r="BO520" s="30"/>
      <c r="BP520" s="30"/>
      <c r="BQ520" s="30"/>
      <c r="BR520" s="30"/>
      <c r="BS520" s="30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1"/>
      <c r="CO520" s="1"/>
      <c r="CP520" s="1"/>
      <c r="CQ520" s="1"/>
      <c r="CR520" s="1"/>
      <c r="CS520" s="1"/>
      <c r="CT520" s="1"/>
      <c r="CU520" s="1"/>
      <c r="CV520" s="1"/>
      <c r="CW520" s="1"/>
    </row>
    <row r="521" spans="2:101" ht="15" hidden="1" customHeight="1" x14ac:dyDescent="0.25"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30"/>
      <c r="BK521" s="30"/>
      <c r="BL521" s="30"/>
      <c r="BM521" s="30"/>
      <c r="BN521" s="30"/>
      <c r="BO521" s="30"/>
      <c r="BP521" s="30"/>
      <c r="BQ521" s="30"/>
      <c r="BR521" s="30"/>
      <c r="BS521" s="30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1"/>
      <c r="CO521" s="1"/>
      <c r="CP521" s="1"/>
      <c r="CQ521" s="1"/>
      <c r="CR521" s="1"/>
      <c r="CS521" s="1"/>
      <c r="CT521" s="1"/>
      <c r="CU521" s="1"/>
      <c r="CV521" s="1"/>
      <c r="CW521" s="1"/>
    </row>
    <row r="522" spans="2:101" ht="15" hidden="1" customHeight="1" x14ac:dyDescent="0.25"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30"/>
      <c r="BK522" s="30"/>
      <c r="BL522" s="30"/>
      <c r="BM522" s="30"/>
      <c r="BN522" s="30"/>
      <c r="BO522" s="30"/>
      <c r="BP522" s="30"/>
      <c r="BQ522" s="30"/>
      <c r="BR522" s="30"/>
      <c r="BS522" s="30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1"/>
      <c r="CO522" s="1"/>
      <c r="CP522" s="1"/>
      <c r="CQ522" s="1"/>
      <c r="CR522" s="1"/>
      <c r="CS522" s="1"/>
      <c r="CT522" s="1"/>
      <c r="CU522" s="1"/>
      <c r="CV522" s="1"/>
      <c r="CW522" s="1"/>
    </row>
    <row r="523" spans="2:101" ht="15" hidden="1" customHeight="1" x14ac:dyDescent="0.25"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30"/>
      <c r="BK523" s="30"/>
      <c r="BL523" s="30"/>
      <c r="BM523" s="30"/>
      <c r="BN523" s="30"/>
      <c r="BO523" s="30"/>
      <c r="BP523" s="30"/>
      <c r="BQ523" s="30"/>
      <c r="BR523" s="30"/>
      <c r="BS523" s="30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1"/>
      <c r="CO523" s="1"/>
      <c r="CP523" s="1"/>
      <c r="CQ523" s="1"/>
      <c r="CR523" s="1"/>
      <c r="CS523" s="1"/>
      <c r="CT523" s="1"/>
      <c r="CU523" s="1"/>
      <c r="CV523" s="1"/>
      <c r="CW523" s="1"/>
    </row>
    <row r="524" spans="2:101" ht="15" hidden="1" customHeight="1" x14ac:dyDescent="0.25"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30"/>
      <c r="BK524" s="30"/>
      <c r="BL524" s="30"/>
      <c r="BM524" s="30"/>
      <c r="BN524" s="30"/>
      <c r="BO524" s="30"/>
      <c r="BP524" s="30"/>
      <c r="BQ524" s="30"/>
      <c r="BR524" s="30"/>
      <c r="BS524" s="30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1"/>
      <c r="CO524" s="1"/>
      <c r="CP524" s="1"/>
      <c r="CQ524" s="1"/>
      <c r="CR524" s="1"/>
      <c r="CS524" s="1"/>
      <c r="CT524" s="1"/>
      <c r="CU524" s="1"/>
      <c r="CV524" s="1"/>
      <c r="CW524" s="1"/>
    </row>
    <row r="525" spans="2:101" ht="15" hidden="1" customHeight="1" x14ac:dyDescent="0.25"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30"/>
      <c r="BK525" s="30"/>
      <c r="BL525" s="30"/>
      <c r="BM525" s="30"/>
      <c r="BN525" s="30"/>
      <c r="BO525" s="30"/>
      <c r="BP525" s="30"/>
      <c r="BQ525" s="30"/>
      <c r="BR525" s="30"/>
      <c r="BS525" s="30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1"/>
      <c r="CO525" s="1"/>
      <c r="CP525" s="1"/>
      <c r="CQ525" s="1"/>
      <c r="CR525" s="1"/>
      <c r="CS525" s="1"/>
      <c r="CT525" s="1"/>
      <c r="CU525" s="1"/>
      <c r="CV525" s="1"/>
      <c r="CW525" s="1"/>
    </row>
    <row r="526" spans="2:101" ht="15" hidden="1" customHeight="1" x14ac:dyDescent="0.25"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30"/>
      <c r="BK526" s="30"/>
      <c r="BL526" s="30"/>
      <c r="BM526" s="30"/>
      <c r="BN526" s="30"/>
      <c r="BO526" s="30"/>
      <c r="BP526" s="30"/>
      <c r="BQ526" s="30"/>
      <c r="BR526" s="30"/>
      <c r="BS526" s="30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1"/>
      <c r="CO526" s="1"/>
      <c r="CP526" s="1"/>
      <c r="CQ526" s="1"/>
      <c r="CR526" s="1"/>
      <c r="CS526" s="1"/>
      <c r="CT526" s="1"/>
      <c r="CU526" s="1"/>
      <c r="CV526" s="1"/>
      <c r="CW526" s="1"/>
    </row>
    <row r="527" spans="2:101" ht="15" hidden="1" customHeight="1" x14ac:dyDescent="0.25"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30"/>
      <c r="BK527" s="30"/>
      <c r="BL527" s="30"/>
      <c r="BM527" s="30"/>
      <c r="BN527" s="30"/>
      <c r="BO527" s="30"/>
      <c r="BP527" s="30"/>
      <c r="BQ527" s="30"/>
      <c r="BR527" s="30"/>
      <c r="BS527" s="30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1"/>
      <c r="CO527" s="1"/>
      <c r="CP527" s="1"/>
      <c r="CQ527" s="1"/>
      <c r="CR527" s="1"/>
      <c r="CS527" s="1"/>
      <c r="CT527" s="1"/>
      <c r="CU527" s="1"/>
      <c r="CV527" s="1"/>
      <c r="CW527" s="1"/>
    </row>
    <row r="528" spans="2:101" ht="15" hidden="1" customHeight="1" x14ac:dyDescent="0.25"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30"/>
      <c r="BK528" s="30"/>
      <c r="BL528" s="30"/>
      <c r="BM528" s="30"/>
      <c r="BN528" s="30"/>
      <c r="BO528" s="30"/>
      <c r="BP528" s="30"/>
      <c r="BQ528" s="30"/>
      <c r="BR528" s="30"/>
      <c r="BS528" s="30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1"/>
      <c r="CO528" s="1"/>
      <c r="CP528" s="1"/>
      <c r="CQ528" s="1"/>
      <c r="CR528" s="1"/>
      <c r="CS528" s="1"/>
      <c r="CT528" s="1"/>
      <c r="CU528" s="1"/>
      <c r="CV528" s="1"/>
      <c r="CW528" s="1"/>
    </row>
    <row r="529" spans="2:101" ht="15" hidden="1" customHeight="1" x14ac:dyDescent="0.25"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30"/>
      <c r="BK529" s="30"/>
      <c r="BL529" s="30"/>
      <c r="BM529" s="30"/>
      <c r="BN529" s="30"/>
      <c r="BO529" s="30"/>
      <c r="BP529" s="30"/>
      <c r="BQ529" s="30"/>
      <c r="BR529" s="30"/>
      <c r="BS529" s="30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1"/>
      <c r="CO529" s="1"/>
      <c r="CP529" s="1"/>
      <c r="CQ529" s="1"/>
      <c r="CR529" s="1"/>
      <c r="CS529" s="1"/>
      <c r="CT529" s="1"/>
      <c r="CU529" s="1"/>
      <c r="CV529" s="1"/>
      <c r="CW529" s="1"/>
    </row>
    <row r="530" spans="2:101" ht="15" hidden="1" customHeight="1" x14ac:dyDescent="0.25"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30"/>
      <c r="BK530" s="30"/>
      <c r="BL530" s="30"/>
      <c r="BM530" s="30"/>
      <c r="BN530" s="30"/>
      <c r="BO530" s="30"/>
      <c r="BP530" s="30"/>
      <c r="BQ530" s="30"/>
      <c r="BR530" s="30"/>
      <c r="BS530" s="30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1"/>
      <c r="CO530" s="1"/>
      <c r="CP530" s="1"/>
      <c r="CQ530" s="1"/>
      <c r="CR530" s="1"/>
      <c r="CS530" s="1"/>
      <c r="CT530" s="1"/>
      <c r="CU530" s="1"/>
      <c r="CV530" s="1"/>
      <c r="CW530" s="1"/>
    </row>
    <row r="531" spans="2:101" ht="15" hidden="1" customHeight="1" x14ac:dyDescent="0.25"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30"/>
      <c r="BK531" s="30"/>
      <c r="BL531" s="30"/>
      <c r="BM531" s="30"/>
      <c r="BN531" s="30"/>
      <c r="BO531" s="30"/>
      <c r="BP531" s="30"/>
      <c r="BQ531" s="30"/>
      <c r="BR531" s="30"/>
      <c r="BS531" s="30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1"/>
      <c r="CO531" s="1"/>
      <c r="CP531" s="1"/>
      <c r="CQ531" s="1"/>
      <c r="CR531" s="1"/>
      <c r="CS531" s="1"/>
      <c r="CT531" s="1"/>
      <c r="CU531" s="1"/>
      <c r="CV531" s="1"/>
      <c r="CW531" s="1"/>
    </row>
    <row r="532" spans="2:101" ht="15" hidden="1" customHeight="1" x14ac:dyDescent="0.25"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30"/>
      <c r="BK532" s="30"/>
      <c r="BL532" s="30"/>
      <c r="BM532" s="30"/>
      <c r="BN532" s="30"/>
      <c r="BO532" s="30"/>
      <c r="BP532" s="30"/>
      <c r="BQ532" s="30"/>
      <c r="BR532" s="30"/>
      <c r="BS532" s="30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1"/>
      <c r="CO532" s="1"/>
      <c r="CP532" s="1"/>
      <c r="CQ532" s="1"/>
      <c r="CR532" s="1"/>
      <c r="CS532" s="1"/>
      <c r="CT532" s="1"/>
      <c r="CU532" s="1"/>
      <c r="CV532" s="1"/>
      <c r="CW532" s="1"/>
    </row>
    <row r="533" spans="2:101" ht="15" hidden="1" customHeight="1" x14ac:dyDescent="0.25"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30"/>
      <c r="BK533" s="30"/>
      <c r="BL533" s="30"/>
      <c r="BM533" s="30"/>
      <c r="BN533" s="30"/>
      <c r="BO533" s="30"/>
      <c r="BP533" s="30"/>
      <c r="BQ533" s="30"/>
      <c r="BR533" s="30"/>
      <c r="BS533" s="30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1"/>
      <c r="CO533" s="1"/>
      <c r="CP533" s="1"/>
      <c r="CQ533" s="1"/>
      <c r="CR533" s="1"/>
      <c r="CS533" s="1"/>
      <c r="CT533" s="1"/>
      <c r="CU533" s="1"/>
      <c r="CV533" s="1"/>
      <c r="CW533" s="1"/>
    </row>
    <row r="534" spans="2:101" ht="15" hidden="1" customHeight="1" x14ac:dyDescent="0.25"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30"/>
      <c r="BK534" s="30"/>
      <c r="BL534" s="30"/>
      <c r="BM534" s="30"/>
      <c r="BN534" s="30"/>
      <c r="BO534" s="30"/>
      <c r="BP534" s="30"/>
      <c r="BQ534" s="30"/>
      <c r="BR534" s="30"/>
      <c r="BS534" s="30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1"/>
      <c r="CO534" s="1"/>
      <c r="CP534" s="1"/>
      <c r="CQ534" s="1"/>
      <c r="CR534" s="1"/>
      <c r="CS534" s="1"/>
      <c r="CT534" s="1"/>
      <c r="CU534" s="1"/>
      <c r="CV534" s="1"/>
      <c r="CW534" s="1"/>
    </row>
    <row r="535" spans="2:101" ht="15" hidden="1" customHeight="1" x14ac:dyDescent="0.25"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30"/>
      <c r="BK535" s="30"/>
      <c r="BL535" s="30"/>
      <c r="BM535" s="30"/>
      <c r="BN535" s="30"/>
      <c r="BO535" s="30"/>
      <c r="BP535" s="30"/>
      <c r="BQ535" s="30"/>
      <c r="BR535" s="30"/>
      <c r="BS535" s="30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1"/>
      <c r="CO535" s="1"/>
      <c r="CP535" s="1"/>
      <c r="CQ535" s="1"/>
      <c r="CR535" s="1"/>
      <c r="CS535" s="1"/>
      <c r="CT535" s="1"/>
      <c r="CU535" s="1"/>
      <c r="CV535" s="1"/>
      <c r="CW535" s="1"/>
    </row>
    <row r="536" spans="2:101" ht="15" hidden="1" customHeight="1" x14ac:dyDescent="0.25"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30"/>
      <c r="BK536" s="30"/>
      <c r="BL536" s="30"/>
      <c r="BM536" s="30"/>
      <c r="BN536" s="30"/>
      <c r="BO536" s="30"/>
      <c r="BP536" s="30"/>
      <c r="BQ536" s="30"/>
      <c r="BR536" s="30"/>
      <c r="BS536" s="30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1"/>
      <c r="CO536" s="1"/>
      <c r="CP536" s="1"/>
      <c r="CQ536" s="1"/>
      <c r="CR536" s="1"/>
      <c r="CS536" s="1"/>
      <c r="CT536" s="1"/>
      <c r="CU536" s="1"/>
      <c r="CV536" s="1"/>
      <c r="CW536" s="1"/>
    </row>
    <row r="537" spans="2:101" ht="15" hidden="1" customHeight="1" x14ac:dyDescent="0.25"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30"/>
      <c r="BK537" s="30"/>
      <c r="BL537" s="30"/>
      <c r="BM537" s="30"/>
      <c r="BN537" s="30"/>
      <c r="BO537" s="30"/>
      <c r="BP537" s="30"/>
      <c r="BQ537" s="30"/>
      <c r="BR537" s="30"/>
      <c r="BS537" s="30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1"/>
      <c r="CO537" s="1"/>
      <c r="CP537" s="1"/>
      <c r="CQ537" s="1"/>
      <c r="CR537" s="1"/>
      <c r="CS537" s="1"/>
      <c r="CT537" s="1"/>
      <c r="CU537" s="1"/>
      <c r="CV537" s="1"/>
      <c r="CW537" s="1"/>
    </row>
    <row r="538" spans="2:101" ht="15" hidden="1" customHeight="1" x14ac:dyDescent="0.25"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30"/>
      <c r="W538" s="30"/>
      <c r="X538" s="30"/>
      <c r="Y538" s="30"/>
      <c r="Z538" s="30"/>
      <c r="AA538" s="30"/>
      <c r="AB538" s="30"/>
      <c r="AC538" s="30"/>
      <c r="AD538" s="30"/>
      <c r="AE538" s="30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30"/>
      <c r="AQ538" s="30"/>
      <c r="AR538" s="30"/>
      <c r="AS538" s="30"/>
      <c r="AT538" s="30"/>
      <c r="AU538" s="30"/>
      <c r="AV538" s="30"/>
      <c r="AW538" s="30"/>
      <c r="AX538" s="30"/>
      <c r="AY538" s="30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30"/>
      <c r="BK538" s="30"/>
      <c r="BL538" s="30"/>
      <c r="BM538" s="30"/>
      <c r="BN538" s="30"/>
      <c r="BO538" s="30"/>
      <c r="BP538" s="30"/>
      <c r="BQ538" s="30"/>
      <c r="BR538" s="30"/>
      <c r="BS538" s="30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1"/>
      <c r="CO538" s="1"/>
      <c r="CP538" s="1"/>
      <c r="CQ538" s="1"/>
      <c r="CR538" s="1"/>
      <c r="CS538" s="1"/>
      <c r="CT538" s="1"/>
      <c r="CU538" s="1"/>
      <c r="CV538" s="1"/>
      <c r="CW538" s="1"/>
    </row>
    <row r="539" spans="2:101" ht="15" hidden="1" customHeight="1" x14ac:dyDescent="0.25"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30"/>
      <c r="W539" s="30"/>
      <c r="X539" s="30"/>
      <c r="Y539" s="30"/>
      <c r="Z539" s="30"/>
      <c r="AA539" s="30"/>
      <c r="AB539" s="30"/>
      <c r="AC539" s="30"/>
      <c r="AD539" s="30"/>
      <c r="AE539" s="30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30"/>
      <c r="AQ539" s="30"/>
      <c r="AR539" s="30"/>
      <c r="AS539" s="30"/>
      <c r="AT539" s="30"/>
      <c r="AU539" s="30"/>
      <c r="AV539" s="30"/>
      <c r="AW539" s="30"/>
      <c r="AX539" s="30"/>
      <c r="AY539" s="30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30"/>
      <c r="BK539" s="30"/>
      <c r="BL539" s="30"/>
      <c r="BM539" s="30"/>
      <c r="BN539" s="30"/>
      <c r="BO539" s="30"/>
      <c r="BP539" s="30"/>
      <c r="BQ539" s="30"/>
      <c r="BR539" s="30"/>
      <c r="BS539" s="30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1"/>
      <c r="CO539" s="1"/>
      <c r="CP539" s="1"/>
      <c r="CQ539" s="1"/>
      <c r="CR539" s="1"/>
      <c r="CS539" s="1"/>
      <c r="CT539" s="1"/>
      <c r="CU539" s="1"/>
      <c r="CV539" s="1"/>
      <c r="CW539" s="1"/>
    </row>
    <row r="540" spans="2:101" ht="15" hidden="1" customHeight="1" x14ac:dyDescent="0.25"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30"/>
      <c r="W540" s="30"/>
      <c r="X540" s="30"/>
      <c r="Y540" s="30"/>
      <c r="Z540" s="30"/>
      <c r="AA540" s="30"/>
      <c r="AB540" s="30"/>
      <c r="AC540" s="30"/>
      <c r="AD540" s="30"/>
      <c r="AE540" s="30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30"/>
      <c r="AQ540" s="30"/>
      <c r="AR540" s="30"/>
      <c r="AS540" s="30"/>
      <c r="AT540" s="30"/>
      <c r="AU540" s="30"/>
      <c r="AV540" s="30"/>
      <c r="AW540" s="30"/>
      <c r="AX540" s="30"/>
      <c r="AY540" s="30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30"/>
      <c r="BK540" s="30"/>
      <c r="BL540" s="30"/>
      <c r="BM540" s="30"/>
      <c r="BN540" s="30"/>
      <c r="BO540" s="30"/>
      <c r="BP540" s="30"/>
      <c r="BQ540" s="30"/>
      <c r="BR540" s="30"/>
      <c r="BS540" s="30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1"/>
      <c r="CO540" s="1"/>
      <c r="CP540" s="1"/>
      <c r="CQ540" s="1"/>
      <c r="CR540" s="1"/>
      <c r="CS540" s="1"/>
      <c r="CT540" s="1"/>
      <c r="CU540" s="1"/>
      <c r="CV540" s="1"/>
      <c r="CW540" s="1"/>
    </row>
    <row r="541" spans="2:101" ht="15" hidden="1" customHeight="1" x14ac:dyDescent="0.25"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30"/>
      <c r="W541" s="30"/>
      <c r="X541" s="30"/>
      <c r="Y541" s="30"/>
      <c r="Z541" s="30"/>
      <c r="AA541" s="30"/>
      <c r="AB541" s="30"/>
      <c r="AC541" s="30"/>
      <c r="AD541" s="30"/>
      <c r="AE541" s="30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30"/>
      <c r="AQ541" s="30"/>
      <c r="AR541" s="30"/>
      <c r="AS541" s="30"/>
      <c r="AT541" s="30"/>
      <c r="AU541" s="30"/>
      <c r="AV541" s="30"/>
      <c r="AW541" s="30"/>
      <c r="AX541" s="30"/>
      <c r="AY541" s="30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30"/>
      <c r="BK541" s="30"/>
      <c r="BL541" s="30"/>
      <c r="BM541" s="30"/>
      <c r="BN541" s="30"/>
      <c r="BO541" s="30"/>
      <c r="BP541" s="30"/>
      <c r="BQ541" s="30"/>
      <c r="BR541" s="30"/>
      <c r="BS541" s="30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1"/>
      <c r="CO541" s="1"/>
      <c r="CP541" s="1"/>
      <c r="CQ541" s="1"/>
      <c r="CR541" s="1"/>
      <c r="CS541" s="1"/>
      <c r="CT541" s="1"/>
      <c r="CU541" s="1"/>
      <c r="CV541" s="1"/>
      <c r="CW541" s="1"/>
    </row>
    <row r="542" spans="2:101" ht="15" hidden="1" customHeight="1" x14ac:dyDescent="0.25"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30"/>
      <c r="W542" s="30"/>
      <c r="X542" s="30"/>
      <c r="Y542" s="30"/>
      <c r="Z542" s="30"/>
      <c r="AA542" s="30"/>
      <c r="AB542" s="30"/>
      <c r="AC542" s="30"/>
      <c r="AD542" s="30"/>
      <c r="AE542" s="30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30"/>
      <c r="AQ542" s="30"/>
      <c r="AR542" s="30"/>
      <c r="AS542" s="30"/>
      <c r="AT542" s="30"/>
      <c r="AU542" s="30"/>
      <c r="AV542" s="30"/>
      <c r="AW542" s="30"/>
      <c r="AX542" s="30"/>
      <c r="AY542" s="30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30"/>
      <c r="BK542" s="30"/>
      <c r="BL542" s="30"/>
      <c r="BM542" s="30"/>
      <c r="BN542" s="30"/>
      <c r="BO542" s="30"/>
      <c r="BP542" s="30"/>
      <c r="BQ542" s="30"/>
      <c r="BR542" s="30"/>
      <c r="BS542" s="30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1"/>
      <c r="CO542" s="1"/>
      <c r="CP542" s="1"/>
      <c r="CQ542" s="1"/>
      <c r="CR542" s="1"/>
      <c r="CS542" s="1"/>
      <c r="CT542" s="1"/>
      <c r="CU542" s="1"/>
      <c r="CV542" s="1"/>
      <c r="CW542" s="1"/>
    </row>
    <row r="543" spans="2:101" ht="15" hidden="1" customHeight="1" x14ac:dyDescent="0.25"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30"/>
      <c r="W543" s="30"/>
      <c r="X543" s="30"/>
      <c r="Y543" s="30"/>
      <c r="Z543" s="30"/>
      <c r="AA543" s="30"/>
      <c r="AB543" s="30"/>
      <c r="AC543" s="30"/>
      <c r="AD543" s="30"/>
      <c r="AE543" s="30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30"/>
      <c r="AQ543" s="30"/>
      <c r="AR543" s="30"/>
      <c r="AS543" s="30"/>
      <c r="AT543" s="30"/>
      <c r="AU543" s="30"/>
      <c r="AV543" s="30"/>
      <c r="AW543" s="30"/>
      <c r="AX543" s="30"/>
      <c r="AY543" s="30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30"/>
      <c r="BK543" s="30"/>
      <c r="BL543" s="30"/>
      <c r="BM543" s="30"/>
      <c r="BN543" s="30"/>
      <c r="BO543" s="30"/>
      <c r="BP543" s="30"/>
      <c r="BQ543" s="30"/>
      <c r="BR543" s="30"/>
      <c r="BS543" s="30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1"/>
      <c r="CO543" s="1"/>
      <c r="CP543" s="1"/>
      <c r="CQ543" s="1"/>
      <c r="CR543" s="1"/>
      <c r="CS543" s="1"/>
      <c r="CT543" s="1"/>
      <c r="CU543" s="1"/>
      <c r="CV543" s="1"/>
      <c r="CW543" s="1"/>
    </row>
    <row r="544" spans="2:101" ht="15" hidden="1" customHeight="1" x14ac:dyDescent="0.25"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30"/>
      <c r="W544" s="30"/>
      <c r="X544" s="30"/>
      <c r="Y544" s="30"/>
      <c r="Z544" s="30"/>
      <c r="AA544" s="30"/>
      <c r="AB544" s="30"/>
      <c r="AC544" s="30"/>
      <c r="AD544" s="30"/>
      <c r="AE544" s="30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30"/>
      <c r="AQ544" s="30"/>
      <c r="AR544" s="30"/>
      <c r="AS544" s="30"/>
      <c r="AT544" s="30"/>
      <c r="AU544" s="30"/>
      <c r="AV544" s="30"/>
      <c r="AW544" s="30"/>
      <c r="AX544" s="30"/>
      <c r="AY544" s="30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30"/>
      <c r="BK544" s="30"/>
      <c r="BL544" s="30"/>
      <c r="BM544" s="30"/>
      <c r="BN544" s="30"/>
      <c r="BO544" s="30"/>
      <c r="BP544" s="30"/>
      <c r="BQ544" s="30"/>
      <c r="BR544" s="30"/>
      <c r="BS544" s="30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1"/>
      <c r="CO544" s="1"/>
      <c r="CP544" s="1"/>
      <c r="CQ544" s="1"/>
      <c r="CR544" s="1"/>
      <c r="CS544" s="1"/>
      <c r="CT544" s="1"/>
      <c r="CU544" s="1"/>
      <c r="CV544" s="1"/>
      <c r="CW544" s="1"/>
    </row>
    <row r="545" spans="2:101" ht="15" hidden="1" customHeight="1" x14ac:dyDescent="0.25"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30"/>
      <c r="W545" s="30"/>
      <c r="X545" s="30"/>
      <c r="Y545" s="30"/>
      <c r="Z545" s="30"/>
      <c r="AA545" s="30"/>
      <c r="AB545" s="30"/>
      <c r="AC545" s="30"/>
      <c r="AD545" s="30"/>
      <c r="AE545" s="30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30"/>
      <c r="AQ545" s="30"/>
      <c r="AR545" s="30"/>
      <c r="AS545" s="30"/>
      <c r="AT545" s="30"/>
      <c r="AU545" s="30"/>
      <c r="AV545" s="30"/>
      <c r="AW545" s="30"/>
      <c r="AX545" s="30"/>
      <c r="AY545" s="30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30"/>
      <c r="BK545" s="30"/>
      <c r="BL545" s="30"/>
      <c r="BM545" s="30"/>
      <c r="BN545" s="30"/>
      <c r="BO545" s="30"/>
      <c r="BP545" s="30"/>
      <c r="BQ545" s="30"/>
      <c r="BR545" s="30"/>
      <c r="BS545" s="30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1"/>
      <c r="CO545" s="1"/>
      <c r="CP545" s="1"/>
      <c r="CQ545" s="1"/>
      <c r="CR545" s="1"/>
      <c r="CS545" s="1"/>
      <c r="CT545" s="1"/>
      <c r="CU545" s="1"/>
      <c r="CV545" s="1"/>
      <c r="CW545" s="1"/>
    </row>
    <row r="546" spans="2:101" ht="15" hidden="1" customHeight="1" x14ac:dyDescent="0.25"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30"/>
      <c r="W546" s="30"/>
      <c r="X546" s="30"/>
      <c r="Y546" s="30"/>
      <c r="Z546" s="30"/>
      <c r="AA546" s="30"/>
      <c r="AB546" s="30"/>
      <c r="AC546" s="30"/>
      <c r="AD546" s="30"/>
      <c r="AE546" s="30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30"/>
      <c r="AQ546" s="30"/>
      <c r="AR546" s="30"/>
      <c r="AS546" s="30"/>
      <c r="AT546" s="30"/>
      <c r="AU546" s="30"/>
      <c r="AV546" s="30"/>
      <c r="AW546" s="30"/>
      <c r="AX546" s="30"/>
      <c r="AY546" s="30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30"/>
      <c r="BK546" s="30"/>
      <c r="BL546" s="30"/>
      <c r="BM546" s="30"/>
      <c r="BN546" s="30"/>
      <c r="BO546" s="30"/>
      <c r="BP546" s="30"/>
      <c r="BQ546" s="30"/>
      <c r="BR546" s="30"/>
      <c r="BS546" s="30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1"/>
      <c r="CO546" s="1"/>
      <c r="CP546" s="1"/>
      <c r="CQ546" s="1"/>
      <c r="CR546" s="1"/>
      <c r="CS546" s="1"/>
      <c r="CT546" s="1"/>
      <c r="CU546" s="1"/>
      <c r="CV546" s="1"/>
      <c r="CW546" s="1"/>
    </row>
    <row r="547" spans="2:101" ht="15" hidden="1" customHeight="1" x14ac:dyDescent="0.25"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30"/>
      <c r="W547" s="30"/>
      <c r="X547" s="30"/>
      <c r="Y547" s="30"/>
      <c r="Z547" s="30"/>
      <c r="AA547" s="30"/>
      <c r="AB547" s="30"/>
      <c r="AC547" s="30"/>
      <c r="AD547" s="30"/>
      <c r="AE547" s="30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30"/>
      <c r="AQ547" s="30"/>
      <c r="AR547" s="30"/>
      <c r="AS547" s="30"/>
      <c r="AT547" s="30"/>
      <c r="AU547" s="30"/>
      <c r="AV547" s="30"/>
      <c r="AW547" s="30"/>
      <c r="AX547" s="30"/>
      <c r="AY547" s="30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30"/>
      <c r="BK547" s="30"/>
      <c r="BL547" s="30"/>
      <c r="BM547" s="30"/>
      <c r="BN547" s="30"/>
      <c r="BO547" s="30"/>
      <c r="BP547" s="30"/>
      <c r="BQ547" s="30"/>
      <c r="BR547" s="30"/>
      <c r="BS547" s="30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1"/>
      <c r="CO547" s="1"/>
      <c r="CP547" s="1"/>
      <c r="CQ547" s="1"/>
      <c r="CR547" s="1"/>
      <c r="CS547" s="1"/>
      <c r="CT547" s="1"/>
      <c r="CU547" s="1"/>
      <c r="CV547" s="1"/>
      <c r="CW547" s="1"/>
    </row>
    <row r="548" spans="2:101" ht="15" hidden="1" customHeight="1" x14ac:dyDescent="0.25"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30"/>
      <c r="W548" s="30"/>
      <c r="X548" s="30"/>
      <c r="Y548" s="30"/>
      <c r="Z548" s="30"/>
      <c r="AA548" s="30"/>
      <c r="AB548" s="30"/>
      <c r="AC548" s="30"/>
      <c r="AD548" s="30"/>
      <c r="AE548" s="30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30"/>
      <c r="AQ548" s="30"/>
      <c r="AR548" s="30"/>
      <c r="AS548" s="30"/>
      <c r="AT548" s="30"/>
      <c r="AU548" s="30"/>
      <c r="AV548" s="30"/>
      <c r="AW548" s="30"/>
      <c r="AX548" s="30"/>
      <c r="AY548" s="30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30"/>
      <c r="BK548" s="30"/>
      <c r="BL548" s="30"/>
      <c r="BM548" s="30"/>
      <c r="BN548" s="30"/>
      <c r="BO548" s="30"/>
      <c r="BP548" s="30"/>
      <c r="BQ548" s="30"/>
      <c r="BR548" s="30"/>
      <c r="BS548" s="30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1"/>
      <c r="CO548" s="1"/>
      <c r="CP548" s="1"/>
      <c r="CQ548" s="1"/>
      <c r="CR548" s="1"/>
      <c r="CS548" s="1"/>
      <c r="CT548" s="1"/>
      <c r="CU548" s="1"/>
      <c r="CV548" s="1"/>
      <c r="CW548" s="1"/>
    </row>
    <row r="549" spans="2:101" ht="15" hidden="1" customHeight="1" x14ac:dyDescent="0.25"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30"/>
      <c r="AQ549" s="30"/>
      <c r="AR549" s="30"/>
      <c r="AS549" s="30"/>
      <c r="AT549" s="30"/>
      <c r="AU549" s="30"/>
      <c r="AV549" s="30"/>
      <c r="AW549" s="30"/>
      <c r="AX549" s="30"/>
      <c r="AY549" s="30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30"/>
      <c r="BK549" s="30"/>
      <c r="BL549" s="30"/>
      <c r="BM549" s="30"/>
      <c r="BN549" s="30"/>
      <c r="BO549" s="30"/>
      <c r="BP549" s="30"/>
      <c r="BQ549" s="30"/>
      <c r="BR549" s="30"/>
      <c r="BS549" s="30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1"/>
      <c r="CO549" s="1"/>
      <c r="CP549" s="1"/>
      <c r="CQ549" s="1"/>
      <c r="CR549" s="1"/>
      <c r="CS549" s="1"/>
      <c r="CT549" s="1"/>
      <c r="CU549" s="1"/>
      <c r="CV549" s="1"/>
      <c r="CW549" s="1"/>
    </row>
    <row r="550" spans="2:101" ht="15" hidden="1" customHeight="1" x14ac:dyDescent="0.25"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30"/>
      <c r="AQ550" s="30"/>
      <c r="AR550" s="30"/>
      <c r="AS550" s="30"/>
      <c r="AT550" s="30"/>
      <c r="AU550" s="30"/>
      <c r="AV550" s="30"/>
      <c r="AW550" s="30"/>
      <c r="AX550" s="30"/>
      <c r="AY550" s="30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30"/>
      <c r="BK550" s="30"/>
      <c r="BL550" s="30"/>
      <c r="BM550" s="30"/>
      <c r="BN550" s="30"/>
      <c r="BO550" s="30"/>
      <c r="BP550" s="30"/>
      <c r="BQ550" s="30"/>
      <c r="BR550" s="30"/>
      <c r="BS550" s="30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1"/>
      <c r="CO550" s="1"/>
      <c r="CP550" s="1"/>
      <c r="CQ550" s="1"/>
      <c r="CR550" s="1"/>
      <c r="CS550" s="1"/>
      <c r="CT550" s="1"/>
      <c r="CU550" s="1"/>
      <c r="CV550" s="1"/>
      <c r="CW550" s="1"/>
    </row>
    <row r="551" spans="2:101" ht="15" hidden="1" customHeight="1" x14ac:dyDescent="0.25"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30"/>
      <c r="W551" s="30"/>
      <c r="X551" s="30"/>
      <c r="Y551" s="30"/>
      <c r="Z551" s="30"/>
      <c r="AA551" s="30"/>
      <c r="AB551" s="30"/>
      <c r="AC551" s="30"/>
      <c r="AD551" s="30"/>
      <c r="AE551" s="30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30"/>
      <c r="AQ551" s="30"/>
      <c r="AR551" s="30"/>
      <c r="AS551" s="30"/>
      <c r="AT551" s="30"/>
      <c r="AU551" s="30"/>
      <c r="AV551" s="30"/>
      <c r="AW551" s="30"/>
      <c r="AX551" s="30"/>
      <c r="AY551" s="30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30"/>
      <c r="BK551" s="30"/>
      <c r="BL551" s="30"/>
      <c r="BM551" s="30"/>
      <c r="BN551" s="30"/>
      <c r="BO551" s="30"/>
      <c r="BP551" s="30"/>
      <c r="BQ551" s="30"/>
      <c r="BR551" s="30"/>
      <c r="BS551" s="30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1"/>
      <c r="CO551" s="1"/>
      <c r="CP551" s="1"/>
      <c r="CQ551" s="1"/>
      <c r="CR551" s="1"/>
      <c r="CS551" s="1"/>
      <c r="CT551" s="1"/>
      <c r="CU551" s="1"/>
      <c r="CV551" s="1"/>
      <c r="CW551" s="1"/>
    </row>
    <row r="552" spans="2:101" ht="15" hidden="1" customHeight="1" x14ac:dyDescent="0.25"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30"/>
      <c r="W552" s="30"/>
      <c r="X552" s="30"/>
      <c r="Y552" s="30"/>
      <c r="Z552" s="30"/>
      <c r="AA552" s="30"/>
      <c r="AB552" s="30"/>
      <c r="AC552" s="30"/>
      <c r="AD552" s="30"/>
      <c r="AE552" s="30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30"/>
      <c r="AQ552" s="30"/>
      <c r="AR552" s="30"/>
      <c r="AS552" s="30"/>
      <c r="AT552" s="30"/>
      <c r="AU552" s="30"/>
      <c r="AV552" s="30"/>
      <c r="AW552" s="30"/>
      <c r="AX552" s="30"/>
      <c r="AY552" s="30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30"/>
      <c r="BK552" s="30"/>
      <c r="BL552" s="30"/>
      <c r="BM552" s="30"/>
      <c r="BN552" s="30"/>
      <c r="BO552" s="30"/>
      <c r="BP552" s="30"/>
      <c r="BQ552" s="30"/>
      <c r="BR552" s="30"/>
      <c r="BS552" s="30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30"/>
      <c r="CE552" s="30"/>
      <c r="CF552" s="30"/>
      <c r="CG552" s="30"/>
      <c r="CH552" s="30"/>
      <c r="CI552" s="30"/>
      <c r="CJ552" s="30"/>
      <c r="CK552" s="30"/>
      <c r="CL552" s="30"/>
      <c r="CM552" s="30"/>
      <c r="CN552" s="1"/>
      <c r="CO552" s="1"/>
      <c r="CP552" s="1"/>
      <c r="CQ552" s="1"/>
      <c r="CR552" s="1"/>
      <c r="CS552" s="1"/>
      <c r="CT552" s="1"/>
      <c r="CU552" s="1"/>
      <c r="CV552" s="1"/>
      <c r="CW552" s="1"/>
    </row>
    <row r="553" spans="2:101" ht="15" hidden="1" customHeight="1" x14ac:dyDescent="0.25"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30"/>
      <c r="W553" s="30"/>
      <c r="X553" s="30"/>
      <c r="Y553" s="30"/>
      <c r="Z553" s="30"/>
      <c r="AA553" s="30"/>
      <c r="AB553" s="30"/>
      <c r="AC553" s="30"/>
      <c r="AD553" s="30"/>
      <c r="AE553" s="30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30"/>
      <c r="AQ553" s="30"/>
      <c r="AR553" s="30"/>
      <c r="AS553" s="30"/>
      <c r="AT553" s="30"/>
      <c r="AU553" s="30"/>
      <c r="AV553" s="30"/>
      <c r="AW553" s="30"/>
      <c r="AX553" s="30"/>
      <c r="AY553" s="30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30"/>
      <c r="BK553" s="30"/>
      <c r="BL553" s="30"/>
      <c r="BM553" s="30"/>
      <c r="BN553" s="30"/>
      <c r="BO553" s="30"/>
      <c r="BP553" s="30"/>
      <c r="BQ553" s="30"/>
      <c r="BR553" s="30"/>
      <c r="BS553" s="30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30"/>
      <c r="CE553" s="30"/>
      <c r="CF553" s="30"/>
      <c r="CG553" s="30"/>
      <c r="CH553" s="30"/>
      <c r="CI553" s="30"/>
      <c r="CJ553" s="30"/>
      <c r="CK553" s="30"/>
      <c r="CL553" s="30"/>
      <c r="CM553" s="30"/>
      <c r="CN553" s="1"/>
      <c r="CO553" s="1"/>
      <c r="CP553" s="1"/>
      <c r="CQ553" s="1"/>
      <c r="CR553" s="1"/>
      <c r="CS553" s="1"/>
      <c r="CT553" s="1"/>
      <c r="CU553" s="1"/>
      <c r="CV553" s="1"/>
      <c r="CW553" s="1"/>
    </row>
    <row r="554" spans="2:101" ht="15" hidden="1" customHeight="1" x14ac:dyDescent="0.25"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30"/>
      <c r="W554" s="30"/>
      <c r="X554" s="30"/>
      <c r="Y554" s="30"/>
      <c r="Z554" s="30"/>
      <c r="AA554" s="30"/>
      <c r="AB554" s="30"/>
      <c r="AC554" s="30"/>
      <c r="AD554" s="30"/>
      <c r="AE554" s="30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30"/>
      <c r="AQ554" s="30"/>
      <c r="AR554" s="30"/>
      <c r="AS554" s="30"/>
      <c r="AT554" s="30"/>
      <c r="AU554" s="30"/>
      <c r="AV554" s="30"/>
      <c r="AW554" s="30"/>
      <c r="AX554" s="30"/>
      <c r="AY554" s="30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30"/>
      <c r="BK554" s="30"/>
      <c r="BL554" s="30"/>
      <c r="BM554" s="30"/>
      <c r="BN554" s="30"/>
      <c r="BO554" s="30"/>
      <c r="BP554" s="30"/>
      <c r="BQ554" s="30"/>
      <c r="BR554" s="30"/>
      <c r="BS554" s="30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30"/>
      <c r="CE554" s="30"/>
      <c r="CF554" s="30"/>
      <c r="CG554" s="30"/>
      <c r="CH554" s="30"/>
      <c r="CI554" s="30"/>
      <c r="CJ554" s="30"/>
      <c r="CK554" s="30"/>
      <c r="CL554" s="30"/>
      <c r="CM554" s="30"/>
      <c r="CN554" s="1"/>
      <c r="CO554" s="1"/>
      <c r="CP554" s="1"/>
      <c r="CQ554" s="1"/>
      <c r="CR554" s="1"/>
      <c r="CS554" s="1"/>
      <c r="CT554" s="1"/>
      <c r="CU554" s="1"/>
      <c r="CV554" s="1"/>
      <c r="CW554" s="1"/>
    </row>
    <row r="555" spans="2:101" ht="15" hidden="1" customHeight="1" x14ac:dyDescent="0.25"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30"/>
      <c r="W555" s="30"/>
      <c r="X555" s="30"/>
      <c r="Y555" s="30"/>
      <c r="Z555" s="30"/>
      <c r="AA555" s="30"/>
      <c r="AB555" s="30"/>
      <c r="AC555" s="30"/>
      <c r="AD555" s="30"/>
      <c r="AE555" s="30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30"/>
      <c r="BK555" s="30"/>
      <c r="BL555" s="30"/>
      <c r="BM555" s="30"/>
      <c r="BN555" s="30"/>
      <c r="BO555" s="30"/>
      <c r="BP555" s="30"/>
      <c r="BQ555" s="30"/>
      <c r="BR555" s="30"/>
      <c r="BS555" s="30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30"/>
      <c r="CE555" s="30"/>
      <c r="CF555" s="30"/>
      <c r="CG555" s="30"/>
      <c r="CH555" s="30"/>
      <c r="CI555" s="30"/>
      <c r="CJ555" s="30"/>
      <c r="CK555" s="30"/>
      <c r="CL555" s="30"/>
      <c r="CM555" s="30"/>
      <c r="CN555" s="1"/>
      <c r="CO555" s="1"/>
      <c r="CP555" s="1"/>
      <c r="CQ555" s="1"/>
      <c r="CR555" s="1"/>
      <c r="CS555" s="1"/>
      <c r="CT555" s="1"/>
      <c r="CU555" s="1"/>
      <c r="CV555" s="1"/>
      <c r="CW555" s="1"/>
    </row>
    <row r="556" spans="2:101" ht="15" hidden="1" customHeight="1" x14ac:dyDescent="0.25"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30"/>
      <c r="W556" s="30"/>
      <c r="X556" s="30"/>
      <c r="Y556" s="30"/>
      <c r="Z556" s="30"/>
      <c r="AA556" s="30"/>
      <c r="AB556" s="30"/>
      <c r="AC556" s="30"/>
      <c r="AD556" s="30"/>
      <c r="AE556" s="30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30"/>
      <c r="AQ556" s="30"/>
      <c r="AR556" s="30"/>
      <c r="AS556" s="30"/>
      <c r="AT556" s="30"/>
      <c r="AU556" s="30"/>
      <c r="AV556" s="30"/>
      <c r="AW556" s="30"/>
      <c r="AX556" s="30"/>
      <c r="AY556" s="30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30"/>
      <c r="BK556" s="30"/>
      <c r="BL556" s="30"/>
      <c r="BM556" s="30"/>
      <c r="BN556" s="30"/>
      <c r="BO556" s="30"/>
      <c r="BP556" s="30"/>
      <c r="BQ556" s="30"/>
      <c r="BR556" s="30"/>
      <c r="BS556" s="30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30"/>
      <c r="CE556" s="30"/>
      <c r="CF556" s="30"/>
      <c r="CG556" s="30"/>
      <c r="CH556" s="30"/>
      <c r="CI556" s="30"/>
      <c r="CJ556" s="30"/>
      <c r="CK556" s="30"/>
      <c r="CL556" s="30"/>
      <c r="CM556" s="30"/>
      <c r="CN556" s="1"/>
      <c r="CO556" s="1"/>
      <c r="CP556" s="1"/>
      <c r="CQ556" s="1"/>
      <c r="CR556" s="1"/>
      <c r="CS556" s="1"/>
      <c r="CT556" s="1"/>
      <c r="CU556" s="1"/>
      <c r="CV556" s="1"/>
      <c r="CW556" s="1"/>
    </row>
    <row r="557" spans="2:101" ht="15" hidden="1" customHeight="1" x14ac:dyDescent="0.25"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30"/>
      <c r="W557" s="30"/>
      <c r="X557" s="30"/>
      <c r="Y557" s="30"/>
      <c r="Z557" s="30"/>
      <c r="AA557" s="30"/>
      <c r="AB557" s="30"/>
      <c r="AC557" s="30"/>
      <c r="AD557" s="30"/>
      <c r="AE557" s="30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30"/>
      <c r="AQ557" s="30"/>
      <c r="AR557" s="30"/>
      <c r="AS557" s="30"/>
      <c r="AT557" s="30"/>
      <c r="AU557" s="30"/>
      <c r="AV557" s="30"/>
      <c r="AW557" s="30"/>
      <c r="AX557" s="30"/>
      <c r="AY557" s="30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30"/>
      <c r="BK557" s="30"/>
      <c r="BL557" s="30"/>
      <c r="BM557" s="30"/>
      <c r="BN557" s="30"/>
      <c r="BO557" s="30"/>
      <c r="BP557" s="30"/>
      <c r="BQ557" s="30"/>
      <c r="BR557" s="30"/>
      <c r="BS557" s="30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30"/>
      <c r="CE557" s="30"/>
      <c r="CF557" s="30"/>
      <c r="CG557" s="30"/>
      <c r="CH557" s="30"/>
      <c r="CI557" s="30"/>
      <c r="CJ557" s="30"/>
      <c r="CK557" s="30"/>
      <c r="CL557" s="30"/>
      <c r="CM557" s="30"/>
      <c r="CN557" s="1"/>
      <c r="CO557" s="1"/>
      <c r="CP557" s="1"/>
      <c r="CQ557" s="1"/>
      <c r="CR557" s="1"/>
      <c r="CS557" s="1"/>
      <c r="CT557" s="1"/>
      <c r="CU557" s="1"/>
      <c r="CV557" s="1"/>
      <c r="CW557" s="1"/>
    </row>
    <row r="558" spans="2:101" ht="15" hidden="1" customHeight="1" x14ac:dyDescent="0.25"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30"/>
      <c r="W558" s="30"/>
      <c r="X558" s="30"/>
      <c r="Y558" s="30"/>
      <c r="Z558" s="30"/>
      <c r="AA558" s="30"/>
      <c r="AB558" s="30"/>
      <c r="AC558" s="30"/>
      <c r="AD558" s="30"/>
      <c r="AE558" s="30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30"/>
      <c r="AQ558" s="30"/>
      <c r="AR558" s="30"/>
      <c r="AS558" s="30"/>
      <c r="AT558" s="30"/>
      <c r="AU558" s="30"/>
      <c r="AV558" s="30"/>
      <c r="AW558" s="30"/>
      <c r="AX558" s="30"/>
      <c r="AY558" s="30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30"/>
      <c r="BK558" s="30"/>
      <c r="BL558" s="30"/>
      <c r="BM558" s="30"/>
      <c r="BN558" s="30"/>
      <c r="BO558" s="30"/>
      <c r="BP558" s="30"/>
      <c r="BQ558" s="30"/>
      <c r="BR558" s="30"/>
      <c r="BS558" s="30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30"/>
      <c r="CE558" s="30"/>
      <c r="CF558" s="30"/>
      <c r="CG558" s="30"/>
      <c r="CH558" s="30"/>
      <c r="CI558" s="30"/>
      <c r="CJ558" s="30"/>
      <c r="CK558" s="30"/>
      <c r="CL558" s="30"/>
      <c r="CM558" s="30"/>
      <c r="CN558" s="1"/>
      <c r="CO558" s="1"/>
      <c r="CP558" s="1"/>
      <c r="CQ558" s="1"/>
      <c r="CR558" s="1"/>
      <c r="CS558" s="1"/>
      <c r="CT558" s="1"/>
      <c r="CU558" s="1"/>
      <c r="CV558" s="1"/>
      <c r="CW558" s="1"/>
    </row>
    <row r="559" spans="2:101" ht="15" hidden="1" customHeight="1" x14ac:dyDescent="0.25"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30"/>
      <c r="W559" s="30"/>
      <c r="X559" s="30"/>
      <c r="Y559" s="30"/>
      <c r="Z559" s="30"/>
      <c r="AA559" s="30"/>
      <c r="AB559" s="30"/>
      <c r="AC559" s="30"/>
      <c r="AD559" s="30"/>
      <c r="AE559" s="30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30"/>
      <c r="AQ559" s="30"/>
      <c r="AR559" s="30"/>
      <c r="AS559" s="30"/>
      <c r="AT559" s="30"/>
      <c r="AU559" s="30"/>
      <c r="AV559" s="30"/>
      <c r="AW559" s="30"/>
      <c r="AX559" s="30"/>
      <c r="AY559" s="30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30"/>
      <c r="BK559" s="30"/>
      <c r="BL559" s="30"/>
      <c r="BM559" s="30"/>
      <c r="BN559" s="30"/>
      <c r="BO559" s="30"/>
      <c r="BP559" s="30"/>
      <c r="BQ559" s="30"/>
      <c r="BR559" s="30"/>
      <c r="BS559" s="30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30"/>
      <c r="CE559" s="30"/>
      <c r="CF559" s="30"/>
      <c r="CG559" s="30"/>
      <c r="CH559" s="30"/>
      <c r="CI559" s="30"/>
      <c r="CJ559" s="30"/>
      <c r="CK559" s="30"/>
      <c r="CL559" s="30"/>
      <c r="CM559" s="30"/>
      <c r="CN559" s="1"/>
      <c r="CO559" s="1"/>
      <c r="CP559" s="1"/>
      <c r="CQ559" s="1"/>
      <c r="CR559" s="1"/>
      <c r="CS559" s="1"/>
      <c r="CT559" s="1"/>
      <c r="CU559" s="1"/>
      <c r="CV559" s="1"/>
      <c r="CW559" s="1"/>
    </row>
    <row r="560" spans="2:101" ht="15" hidden="1" customHeight="1" x14ac:dyDescent="0.25"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30"/>
      <c r="W560" s="30"/>
      <c r="X560" s="30"/>
      <c r="Y560" s="30"/>
      <c r="Z560" s="30"/>
      <c r="AA560" s="30"/>
      <c r="AB560" s="30"/>
      <c r="AC560" s="30"/>
      <c r="AD560" s="30"/>
      <c r="AE560" s="30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30"/>
      <c r="AQ560" s="30"/>
      <c r="AR560" s="30"/>
      <c r="AS560" s="30"/>
      <c r="AT560" s="30"/>
      <c r="AU560" s="30"/>
      <c r="AV560" s="30"/>
      <c r="AW560" s="30"/>
      <c r="AX560" s="30"/>
      <c r="AY560" s="30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30"/>
      <c r="BK560" s="30"/>
      <c r="BL560" s="30"/>
      <c r="BM560" s="30"/>
      <c r="BN560" s="30"/>
      <c r="BO560" s="30"/>
      <c r="BP560" s="30"/>
      <c r="BQ560" s="30"/>
      <c r="BR560" s="30"/>
      <c r="BS560" s="30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30"/>
      <c r="CE560" s="30"/>
      <c r="CF560" s="30"/>
      <c r="CG560" s="30"/>
      <c r="CH560" s="30"/>
      <c r="CI560" s="30"/>
      <c r="CJ560" s="30"/>
      <c r="CK560" s="30"/>
      <c r="CL560" s="30"/>
      <c r="CM560" s="30"/>
      <c r="CN560" s="1"/>
      <c r="CO560" s="1"/>
      <c r="CP560" s="1"/>
      <c r="CQ560" s="1"/>
      <c r="CR560" s="1"/>
      <c r="CS560" s="1"/>
      <c r="CT560" s="1"/>
      <c r="CU560" s="1"/>
      <c r="CV560" s="1"/>
      <c r="CW560" s="1"/>
    </row>
    <row r="561" spans="2:101" ht="15" hidden="1" customHeight="1" x14ac:dyDescent="0.25"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30"/>
      <c r="W561" s="30"/>
      <c r="X561" s="30"/>
      <c r="Y561" s="30"/>
      <c r="Z561" s="30"/>
      <c r="AA561" s="30"/>
      <c r="AB561" s="30"/>
      <c r="AC561" s="30"/>
      <c r="AD561" s="30"/>
      <c r="AE561" s="30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30"/>
      <c r="AQ561" s="30"/>
      <c r="AR561" s="30"/>
      <c r="AS561" s="30"/>
      <c r="AT561" s="30"/>
      <c r="AU561" s="30"/>
      <c r="AV561" s="30"/>
      <c r="AW561" s="30"/>
      <c r="AX561" s="30"/>
      <c r="AY561" s="30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30"/>
      <c r="BK561" s="30"/>
      <c r="BL561" s="30"/>
      <c r="BM561" s="30"/>
      <c r="BN561" s="30"/>
      <c r="BO561" s="30"/>
      <c r="BP561" s="30"/>
      <c r="BQ561" s="30"/>
      <c r="BR561" s="30"/>
      <c r="BS561" s="30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30"/>
      <c r="CE561" s="30"/>
      <c r="CF561" s="30"/>
      <c r="CG561" s="30"/>
      <c r="CH561" s="30"/>
      <c r="CI561" s="30"/>
      <c r="CJ561" s="30"/>
      <c r="CK561" s="30"/>
      <c r="CL561" s="30"/>
      <c r="CM561" s="30"/>
      <c r="CN561" s="1"/>
      <c r="CO561" s="1"/>
      <c r="CP561" s="1"/>
      <c r="CQ561" s="1"/>
      <c r="CR561" s="1"/>
      <c r="CS561" s="1"/>
      <c r="CT561" s="1"/>
      <c r="CU561" s="1"/>
      <c r="CV561" s="1"/>
      <c r="CW561" s="1"/>
    </row>
    <row r="562" spans="2:101" ht="15" hidden="1" customHeight="1" x14ac:dyDescent="0.25"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30"/>
      <c r="W562" s="30"/>
      <c r="X562" s="30"/>
      <c r="Y562" s="30"/>
      <c r="Z562" s="30"/>
      <c r="AA562" s="30"/>
      <c r="AB562" s="30"/>
      <c r="AC562" s="30"/>
      <c r="AD562" s="30"/>
      <c r="AE562" s="30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30"/>
      <c r="AQ562" s="30"/>
      <c r="AR562" s="30"/>
      <c r="AS562" s="30"/>
      <c r="AT562" s="30"/>
      <c r="AU562" s="30"/>
      <c r="AV562" s="30"/>
      <c r="AW562" s="30"/>
      <c r="AX562" s="30"/>
      <c r="AY562" s="30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30"/>
      <c r="BK562" s="30"/>
      <c r="BL562" s="30"/>
      <c r="BM562" s="30"/>
      <c r="BN562" s="30"/>
      <c r="BO562" s="30"/>
      <c r="BP562" s="30"/>
      <c r="BQ562" s="30"/>
      <c r="BR562" s="30"/>
      <c r="BS562" s="30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30"/>
      <c r="CE562" s="30"/>
      <c r="CF562" s="30"/>
      <c r="CG562" s="30"/>
      <c r="CH562" s="30"/>
      <c r="CI562" s="30"/>
      <c r="CJ562" s="30"/>
      <c r="CK562" s="30"/>
      <c r="CL562" s="30"/>
      <c r="CM562" s="30"/>
      <c r="CN562" s="1"/>
      <c r="CO562" s="1"/>
      <c r="CP562" s="1"/>
      <c r="CQ562" s="1"/>
      <c r="CR562" s="1"/>
      <c r="CS562" s="1"/>
      <c r="CT562" s="1"/>
      <c r="CU562" s="1"/>
      <c r="CV562" s="1"/>
      <c r="CW562" s="1"/>
    </row>
    <row r="563" spans="2:101" ht="15" hidden="1" customHeight="1" x14ac:dyDescent="0.25"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30"/>
      <c r="W563" s="30"/>
      <c r="X563" s="30"/>
      <c r="Y563" s="30"/>
      <c r="Z563" s="30"/>
      <c r="AA563" s="30"/>
      <c r="AB563" s="30"/>
      <c r="AC563" s="30"/>
      <c r="AD563" s="30"/>
      <c r="AE563" s="30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30"/>
      <c r="AQ563" s="30"/>
      <c r="AR563" s="30"/>
      <c r="AS563" s="30"/>
      <c r="AT563" s="30"/>
      <c r="AU563" s="30"/>
      <c r="AV563" s="30"/>
      <c r="AW563" s="30"/>
      <c r="AX563" s="30"/>
      <c r="AY563" s="30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30"/>
      <c r="BK563" s="30"/>
      <c r="BL563" s="30"/>
      <c r="BM563" s="30"/>
      <c r="BN563" s="30"/>
      <c r="BO563" s="30"/>
      <c r="BP563" s="30"/>
      <c r="BQ563" s="30"/>
      <c r="BR563" s="30"/>
      <c r="BS563" s="30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30"/>
      <c r="CE563" s="30"/>
      <c r="CF563" s="30"/>
      <c r="CG563" s="30"/>
      <c r="CH563" s="30"/>
      <c r="CI563" s="30"/>
      <c r="CJ563" s="30"/>
      <c r="CK563" s="30"/>
      <c r="CL563" s="30"/>
      <c r="CM563" s="30"/>
      <c r="CN563" s="1"/>
      <c r="CO563" s="1"/>
      <c r="CP563" s="1"/>
      <c r="CQ563" s="1"/>
      <c r="CR563" s="1"/>
      <c r="CS563" s="1"/>
      <c r="CT563" s="1"/>
      <c r="CU563" s="1"/>
      <c r="CV563" s="1"/>
      <c r="CW563" s="1"/>
    </row>
    <row r="564" spans="2:101" ht="15" hidden="1" customHeight="1" x14ac:dyDescent="0.25"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30"/>
      <c r="W564" s="30"/>
      <c r="X564" s="30"/>
      <c r="Y564" s="30"/>
      <c r="Z564" s="30"/>
      <c r="AA564" s="30"/>
      <c r="AB564" s="30"/>
      <c r="AC564" s="30"/>
      <c r="AD564" s="30"/>
      <c r="AE564" s="30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30"/>
      <c r="AQ564" s="30"/>
      <c r="AR564" s="30"/>
      <c r="AS564" s="30"/>
      <c r="AT564" s="30"/>
      <c r="AU564" s="30"/>
      <c r="AV564" s="30"/>
      <c r="AW564" s="30"/>
      <c r="AX564" s="30"/>
      <c r="AY564" s="30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30"/>
      <c r="BK564" s="30"/>
      <c r="BL564" s="30"/>
      <c r="BM564" s="30"/>
      <c r="BN564" s="30"/>
      <c r="BO564" s="30"/>
      <c r="BP564" s="30"/>
      <c r="BQ564" s="30"/>
      <c r="BR564" s="30"/>
      <c r="BS564" s="30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30"/>
      <c r="CE564" s="30"/>
      <c r="CF564" s="30"/>
      <c r="CG564" s="30"/>
      <c r="CH564" s="30"/>
      <c r="CI564" s="30"/>
      <c r="CJ564" s="30"/>
      <c r="CK564" s="30"/>
      <c r="CL564" s="30"/>
      <c r="CM564" s="30"/>
      <c r="CN564" s="1"/>
      <c r="CO564" s="1"/>
      <c r="CP564" s="1"/>
      <c r="CQ564" s="1"/>
      <c r="CR564" s="1"/>
      <c r="CS564" s="1"/>
      <c r="CT564" s="1"/>
      <c r="CU564" s="1"/>
      <c r="CV564" s="1"/>
      <c r="CW564" s="1"/>
    </row>
    <row r="565" spans="2:101" ht="15" hidden="1" customHeight="1" x14ac:dyDescent="0.25"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30"/>
      <c r="W565" s="30"/>
      <c r="X565" s="30"/>
      <c r="Y565" s="30"/>
      <c r="Z565" s="30"/>
      <c r="AA565" s="30"/>
      <c r="AB565" s="30"/>
      <c r="AC565" s="30"/>
      <c r="AD565" s="30"/>
      <c r="AE565" s="30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30"/>
      <c r="AQ565" s="30"/>
      <c r="AR565" s="30"/>
      <c r="AS565" s="30"/>
      <c r="AT565" s="30"/>
      <c r="AU565" s="30"/>
      <c r="AV565" s="30"/>
      <c r="AW565" s="30"/>
      <c r="AX565" s="30"/>
      <c r="AY565" s="30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30"/>
      <c r="BK565" s="30"/>
      <c r="BL565" s="30"/>
      <c r="BM565" s="30"/>
      <c r="BN565" s="30"/>
      <c r="BO565" s="30"/>
      <c r="BP565" s="30"/>
      <c r="BQ565" s="30"/>
      <c r="BR565" s="30"/>
      <c r="BS565" s="30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30"/>
      <c r="CE565" s="30"/>
      <c r="CF565" s="30"/>
      <c r="CG565" s="30"/>
      <c r="CH565" s="30"/>
      <c r="CI565" s="30"/>
      <c r="CJ565" s="30"/>
      <c r="CK565" s="30"/>
      <c r="CL565" s="30"/>
      <c r="CM565" s="30"/>
      <c r="CN565" s="1"/>
      <c r="CO565" s="1"/>
      <c r="CP565" s="1"/>
      <c r="CQ565" s="1"/>
      <c r="CR565" s="1"/>
      <c r="CS565" s="1"/>
      <c r="CT565" s="1"/>
      <c r="CU565" s="1"/>
      <c r="CV565" s="1"/>
      <c r="CW565" s="1"/>
    </row>
    <row r="566" spans="2:101" ht="15" hidden="1" customHeight="1" x14ac:dyDescent="0.25"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30"/>
      <c r="W566" s="30"/>
      <c r="X566" s="30"/>
      <c r="Y566" s="30"/>
      <c r="Z566" s="30"/>
      <c r="AA566" s="30"/>
      <c r="AB566" s="30"/>
      <c r="AC566" s="30"/>
      <c r="AD566" s="30"/>
      <c r="AE566" s="30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30"/>
      <c r="AQ566" s="30"/>
      <c r="AR566" s="30"/>
      <c r="AS566" s="30"/>
      <c r="AT566" s="30"/>
      <c r="AU566" s="30"/>
      <c r="AV566" s="30"/>
      <c r="AW566" s="30"/>
      <c r="AX566" s="30"/>
      <c r="AY566" s="30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30"/>
      <c r="BK566" s="30"/>
      <c r="BL566" s="30"/>
      <c r="BM566" s="30"/>
      <c r="BN566" s="30"/>
      <c r="BO566" s="30"/>
      <c r="BP566" s="30"/>
      <c r="BQ566" s="30"/>
      <c r="BR566" s="30"/>
      <c r="BS566" s="30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30"/>
      <c r="CE566" s="30"/>
      <c r="CF566" s="30"/>
      <c r="CG566" s="30"/>
      <c r="CH566" s="30"/>
      <c r="CI566" s="30"/>
      <c r="CJ566" s="30"/>
      <c r="CK566" s="30"/>
      <c r="CL566" s="30"/>
      <c r="CM566" s="30"/>
      <c r="CN566" s="1"/>
      <c r="CO566" s="1"/>
      <c r="CP566" s="1"/>
      <c r="CQ566" s="1"/>
      <c r="CR566" s="1"/>
      <c r="CS566" s="1"/>
      <c r="CT566" s="1"/>
      <c r="CU566" s="1"/>
      <c r="CV566" s="1"/>
      <c r="CW566" s="1"/>
    </row>
    <row r="567" spans="2:101" ht="15" hidden="1" customHeight="1" x14ac:dyDescent="0.25"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30"/>
      <c r="W567" s="30"/>
      <c r="X567" s="30"/>
      <c r="Y567" s="30"/>
      <c r="Z567" s="30"/>
      <c r="AA567" s="30"/>
      <c r="AB567" s="30"/>
      <c r="AC567" s="30"/>
      <c r="AD567" s="30"/>
      <c r="AE567" s="30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30"/>
      <c r="AQ567" s="30"/>
      <c r="AR567" s="30"/>
      <c r="AS567" s="30"/>
      <c r="AT567" s="30"/>
      <c r="AU567" s="30"/>
      <c r="AV567" s="30"/>
      <c r="AW567" s="30"/>
      <c r="AX567" s="30"/>
      <c r="AY567" s="30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30"/>
      <c r="BK567" s="30"/>
      <c r="BL567" s="30"/>
      <c r="BM567" s="30"/>
      <c r="BN567" s="30"/>
      <c r="BO567" s="30"/>
      <c r="BP567" s="30"/>
      <c r="BQ567" s="30"/>
      <c r="BR567" s="30"/>
      <c r="BS567" s="30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30"/>
      <c r="CE567" s="30"/>
      <c r="CF567" s="30"/>
      <c r="CG567" s="30"/>
      <c r="CH567" s="30"/>
      <c r="CI567" s="30"/>
      <c r="CJ567" s="30"/>
      <c r="CK567" s="30"/>
      <c r="CL567" s="30"/>
      <c r="CM567" s="30"/>
      <c r="CN567" s="1"/>
      <c r="CO567" s="1"/>
      <c r="CP567" s="1"/>
      <c r="CQ567" s="1"/>
      <c r="CR567" s="1"/>
      <c r="CS567" s="1"/>
      <c r="CT567" s="1"/>
      <c r="CU567" s="1"/>
      <c r="CV567" s="1"/>
      <c r="CW567" s="1"/>
    </row>
    <row r="568" spans="2:101" ht="15" hidden="1" customHeight="1" x14ac:dyDescent="0.25"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30"/>
      <c r="W568" s="30"/>
      <c r="X568" s="30"/>
      <c r="Y568" s="30"/>
      <c r="Z568" s="30"/>
      <c r="AA568" s="30"/>
      <c r="AB568" s="30"/>
      <c r="AC568" s="30"/>
      <c r="AD568" s="30"/>
      <c r="AE568" s="30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30"/>
      <c r="AQ568" s="30"/>
      <c r="AR568" s="30"/>
      <c r="AS568" s="30"/>
      <c r="AT568" s="30"/>
      <c r="AU568" s="30"/>
      <c r="AV568" s="30"/>
      <c r="AW568" s="30"/>
      <c r="AX568" s="30"/>
      <c r="AY568" s="30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30"/>
      <c r="BK568" s="30"/>
      <c r="BL568" s="30"/>
      <c r="BM568" s="30"/>
      <c r="BN568" s="30"/>
      <c r="BO568" s="30"/>
      <c r="BP568" s="30"/>
      <c r="BQ568" s="30"/>
      <c r="BR568" s="30"/>
      <c r="BS568" s="30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30"/>
      <c r="CE568" s="30"/>
      <c r="CF568" s="30"/>
      <c r="CG568" s="30"/>
      <c r="CH568" s="30"/>
      <c r="CI568" s="30"/>
      <c r="CJ568" s="30"/>
      <c r="CK568" s="30"/>
      <c r="CL568" s="30"/>
      <c r="CM568" s="30"/>
      <c r="CN568" s="1"/>
      <c r="CO568" s="1"/>
      <c r="CP568" s="1"/>
      <c r="CQ568" s="1"/>
      <c r="CR568" s="1"/>
      <c r="CS568" s="1"/>
      <c r="CT568" s="1"/>
      <c r="CU568" s="1"/>
      <c r="CV568" s="1"/>
      <c r="CW568" s="1"/>
    </row>
    <row r="569" spans="2:101" ht="15" hidden="1" customHeight="1" x14ac:dyDescent="0.25"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30"/>
      <c r="W569" s="30"/>
      <c r="X569" s="30"/>
      <c r="Y569" s="30"/>
      <c r="Z569" s="30"/>
      <c r="AA569" s="30"/>
      <c r="AB569" s="30"/>
      <c r="AC569" s="30"/>
      <c r="AD569" s="30"/>
      <c r="AE569" s="30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30"/>
      <c r="AQ569" s="30"/>
      <c r="AR569" s="30"/>
      <c r="AS569" s="30"/>
      <c r="AT569" s="30"/>
      <c r="AU569" s="30"/>
      <c r="AV569" s="30"/>
      <c r="AW569" s="30"/>
      <c r="AX569" s="30"/>
      <c r="AY569" s="30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30"/>
      <c r="BK569" s="30"/>
      <c r="BL569" s="30"/>
      <c r="BM569" s="30"/>
      <c r="BN569" s="30"/>
      <c r="BO569" s="30"/>
      <c r="BP569" s="30"/>
      <c r="BQ569" s="30"/>
      <c r="BR569" s="30"/>
      <c r="BS569" s="30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30"/>
      <c r="CE569" s="30"/>
      <c r="CF569" s="30"/>
      <c r="CG569" s="30"/>
      <c r="CH569" s="30"/>
      <c r="CI569" s="30"/>
      <c r="CJ569" s="30"/>
      <c r="CK569" s="30"/>
      <c r="CL569" s="30"/>
      <c r="CM569" s="30"/>
      <c r="CN569" s="1"/>
      <c r="CO569" s="1"/>
      <c r="CP569" s="1"/>
      <c r="CQ569" s="1"/>
      <c r="CR569" s="1"/>
      <c r="CS569" s="1"/>
      <c r="CT569" s="1"/>
      <c r="CU569" s="1"/>
      <c r="CV569" s="1"/>
      <c r="CW569" s="1"/>
    </row>
    <row r="570" spans="2:101" ht="15" hidden="1" customHeight="1" x14ac:dyDescent="0.25"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30"/>
      <c r="W570" s="30"/>
      <c r="X570" s="30"/>
      <c r="Y570" s="30"/>
      <c r="Z570" s="30"/>
      <c r="AA570" s="30"/>
      <c r="AB570" s="30"/>
      <c r="AC570" s="30"/>
      <c r="AD570" s="30"/>
      <c r="AE570" s="30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30"/>
      <c r="AQ570" s="30"/>
      <c r="AR570" s="30"/>
      <c r="AS570" s="30"/>
      <c r="AT570" s="30"/>
      <c r="AU570" s="30"/>
      <c r="AV570" s="30"/>
      <c r="AW570" s="30"/>
      <c r="AX570" s="30"/>
      <c r="AY570" s="30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30"/>
      <c r="BK570" s="30"/>
      <c r="BL570" s="30"/>
      <c r="BM570" s="30"/>
      <c r="BN570" s="30"/>
      <c r="BO570" s="30"/>
      <c r="BP570" s="30"/>
      <c r="BQ570" s="30"/>
      <c r="BR570" s="30"/>
      <c r="BS570" s="30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30"/>
      <c r="CE570" s="30"/>
      <c r="CF570" s="30"/>
      <c r="CG570" s="30"/>
      <c r="CH570" s="30"/>
      <c r="CI570" s="30"/>
      <c r="CJ570" s="30"/>
      <c r="CK570" s="30"/>
      <c r="CL570" s="30"/>
      <c r="CM570" s="30"/>
      <c r="CN570" s="1"/>
      <c r="CO570" s="1"/>
      <c r="CP570" s="1"/>
      <c r="CQ570" s="1"/>
      <c r="CR570" s="1"/>
      <c r="CS570" s="1"/>
      <c r="CT570" s="1"/>
      <c r="CU570" s="1"/>
      <c r="CV570" s="1"/>
      <c r="CW570" s="1"/>
    </row>
    <row r="571" spans="2:101" ht="15" hidden="1" customHeight="1" x14ac:dyDescent="0.25"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30"/>
      <c r="W571" s="30"/>
      <c r="X571" s="30"/>
      <c r="Y571" s="30"/>
      <c r="Z571" s="30"/>
      <c r="AA571" s="30"/>
      <c r="AB571" s="30"/>
      <c r="AC571" s="30"/>
      <c r="AD571" s="30"/>
      <c r="AE571" s="30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30"/>
      <c r="AQ571" s="30"/>
      <c r="AR571" s="30"/>
      <c r="AS571" s="30"/>
      <c r="AT571" s="30"/>
      <c r="AU571" s="30"/>
      <c r="AV571" s="30"/>
      <c r="AW571" s="30"/>
      <c r="AX571" s="30"/>
      <c r="AY571" s="30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30"/>
      <c r="BK571" s="30"/>
      <c r="BL571" s="30"/>
      <c r="BM571" s="30"/>
      <c r="BN571" s="30"/>
      <c r="BO571" s="30"/>
      <c r="BP571" s="30"/>
      <c r="BQ571" s="30"/>
      <c r="BR571" s="30"/>
      <c r="BS571" s="30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30"/>
      <c r="CE571" s="30"/>
      <c r="CF571" s="30"/>
      <c r="CG571" s="30"/>
      <c r="CH571" s="30"/>
      <c r="CI571" s="30"/>
      <c r="CJ571" s="30"/>
      <c r="CK571" s="30"/>
      <c r="CL571" s="30"/>
      <c r="CM571" s="30"/>
      <c r="CN571" s="1"/>
      <c r="CO571" s="1"/>
      <c r="CP571" s="1"/>
      <c r="CQ571" s="1"/>
      <c r="CR571" s="1"/>
      <c r="CS571" s="1"/>
      <c r="CT571" s="1"/>
      <c r="CU571" s="1"/>
      <c r="CV571" s="1"/>
      <c r="CW571" s="1"/>
    </row>
    <row r="572" spans="2:101" ht="15" hidden="1" customHeight="1" x14ac:dyDescent="0.25"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30"/>
      <c r="W572" s="30"/>
      <c r="X572" s="30"/>
      <c r="Y572" s="30"/>
      <c r="Z572" s="30"/>
      <c r="AA572" s="30"/>
      <c r="AB572" s="30"/>
      <c r="AC572" s="30"/>
      <c r="AD572" s="30"/>
      <c r="AE572" s="30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30"/>
      <c r="AQ572" s="30"/>
      <c r="AR572" s="30"/>
      <c r="AS572" s="30"/>
      <c r="AT572" s="30"/>
      <c r="AU572" s="30"/>
      <c r="AV572" s="30"/>
      <c r="AW572" s="30"/>
      <c r="AX572" s="30"/>
      <c r="AY572" s="30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30"/>
      <c r="BK572" s="30"/>
      <c r="BL572" s="30"/>
      <c r="BM572" s="30"/>
      <c r="BN572" s="30"/>
      <c r="BO572" s="30"/>
      <c r="BP572" s="30"/>
      <c r="BQ572" s="30"/>
      <c r="BR572" s="30"/>
      <c r="BS572" s="30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30"/>
      <c r="CE572" s="30"/>
      <c r="CF572" s="30"/>
      <c r="CG572" s="30"/>
      <c r="CH572" s="30"/>
      <c r="CI572" s="30"/>
      <c r="CJ572" s="30"/>
      <c r="CK572" s="30"/>
      <c r="CL572" s="30"/>
      <c r="CM572" s="30"/>
      <c r="CN572" s="1"/>
      <c r="CO572" s="1"/>
      <c r="CP572" s="1"/>
      <c r="CQ572" s="1"/>
      <c r="CR572" s="1"/>
      <c r="CS572" s="1"/>
      <c r="CT572" s="1"/>
      <c r="CU572" s="1"/>
      <c r="CV572" s="1"/>
      <c r="CW572" s="1"/>
    </row>
    <row r="573" spans="2:101" ht="15" hidden="1" customHeight="1" x14ac:dyDescent="0.25"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30"/>
      <c r="W573" s="30"/>
      <c r="X573" s="30"/>
      <c r="Y573" s="30"/>
      <c r="Z573" s="30"/>
      <c r="AA573" s="30"/>
      <c r="AB573" s="30"/>
      <c r="AC573" s="30"/>
      <c r="AD573" s="30"/>
      <c r="AE573" s="30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30"/>
      <c r="AQ573" s="30"/>
      <c r="AR573" s="30"/>
      <c r="AS573" s="30"/>
      <c r="AT573" s="30"/>
      <c r="AU573" s="30"/>
      <c r="AV573" s="30"/>
      <c r="AW573" s="30"/>
      <c r="AX573" s="30"/>
      <c r="AY573" s="30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30"/>
      <c r="BK573" s="30"/>
      <c r="BL573" s="30"/>
      <c r="BM573" s="30"/>
      <c r="BN573" s="30"/>
      <c r="BO573" s="30"/>
      <c r="BP573" s="30"/>
      <c r="BQ573" s="30"/>
      <c r="BR573" s="30"/>
      <c r="BS573" s="30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30"/>
      <c r="CE573" s="30"/>
      <c r="CF573" s="30"/>
      <c r="CG573" s="30"/>
      <c r="CH573" s="30"/>
      <c r="CI573" s="30"/>
      <c r="CJ573" s="30"/>
      <c r="CK573" s="30"/>
      <c r="CL573" s="30"/>
      <c r="CM573" s="30"/>
      <c r="CN573" s="1"/>
      <c r="CO573" s="1"/>
      <c r="CP573" s="1"/>
      <c r="CQ573" s="1"/>
      <c r="CR573" s="1"/>
      <c r="CS573" s="1"/>
      <c r="CT573" s="1"/>
      <c r="CU573" s="1"/>
      <c r="CV573" s="1"/>
      <c r="CW573" s="1"/>
    </row>
    <row r="574" spans="2:101" ht="15" hidden="1" customHeight="1" x14ac:dyDescent="0.25"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30"/>
      <c r="W574" s="30"/>
      <c r="X574" s="30"/>
      <c r="Y574" s="30"/>
      <c r="Z574" s="30"/>
      <c r="AA574" s="30"/>
      <c r="AB574" s="30"/>
      <c r="AC574" s="30"/>
      <c r="AD574" s="30"/>
      <c r="AE574" s="30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30"/>
      <c r="AQ574" s="30"/>
      <c r="AR574" s="30"/>
      <c r="AS574" s="30"/>
      <c r="AT574" s="30"/>
      <c r="AU574" s="30"/>
      <c r="AV574" s="30"/>
      <c r="AW574" s="30"/>
      <c r="AX574" s="30"/>
      <c r="AY574" s="30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30"/>
      <c r="BK574" s="30"/>
      <c r="BL574" s="30"/>
      <c r="BM574" s="30"/>
      <c r="BN574" s="30"/>
      <c r="BO574" s="30"/>
      <c r="BP574" s="30"/>
      <c r="BQ574" s="30"/>
      <c r="BR574" s="30"/>
      <c r="BS574" s="30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30"/>
      <c r="CE574" s="30"/>
      <c r="CF574" s="30"/>
      <c r="CG574" s="30"/>
      <c r="CH574" s="30"/>
      <c r="CI574" s="30"/>
      <c r="CJ574" s="30"/>
      <c r="CK574" s="30"/>
      <c r="CL574" s="30"/>
      <c r="CM574" s="30"/>
      <c r="CN574" s="1"/>
      <c r="CO574" s="1"/>
      <c r="CP574" s="1"/>
      <c r="CQ574" s="1"/>
      <c r="CR574" s="1"/>
      <c r="CS574" s="1"/>
      <c r="CT574" s="1"/>
      <c r="CU574" s="1"/>
      <c r="CV574" s="1"/>
      <c r="CW574" s="1"/>
    </row>
    <row r="575" spans="2:101" ht="15" hidden="1" customHeight="1" x14ac:dyDescent="0.25"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30"/>
      <c r="W575" s="30"/>
      <c r="X575" s="30"/>
      <c r="Y575" s="30"/>
      <c r="Z575" s="30"/>
      <c r="AA575" s="30"/>
      <c r="AB575" s="30"/>
      <c r="AC575" s="30"/>
      <c r="AD575" s="30"/>
      <c r="AE575" s="30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30"/>
      <c r="AQ575" s="30"/>
      <c r="AR575" s="30"/>
      <c r="AS575" s="30"/>
      <c r="AT575" s="30"/>
      <c r="AU575" s="30"/>
      <c r="AV575" s="30"/>
      <c r="AW575" s="30"/>
      <c r="AX575" s="30"/>
      <c r="AY575" s="30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30"/>
      <c r="BK575" s="30"/>
      <c r="BL575" s="30"/>
      <c r="BM575" s="30"/>
      <c r="BN575" s="30"/>
      <c r="BO575" s="30"/>
      <c r="BP575" s="30"/>
      <c r="BQ575" s="30"/>
      <c r="BR575" s="30"/>
      <c r="BS575" s="30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30"/>
      <c r="CE575" s="30"/>
      <c r="CF575" s="30"/>
      <c r="CG575" s="30"/>
      <c r="CH575" s="30"/>
      <c r="CI575" s="30"/>
      <c r="CJ575" s="30"/>
      <c r="CK575" s="30"/>
      <c r="CL575" s="30"/>
      <c r="CM575" s="30"/>
      <c r="CN575" s="1"/>
      <c r="CO575" s="1"/>
      <c r="CP575" s="1"/>
      <c r="CQ575" s="1"/>
      <c r="CR575" s="1"/>
      <c r="CS575" s="1"/>
      <c r="CT575" s="1"/>
      <c r="CU575" s="1"/>
      <c r="CV575" s="1"/>
      <c r="CW575" s="1"/>
    </row>
    <row r="576" spans="2:101" ht="15" hidden="1" customHeight="1" x14ac:dyDescent="0.25"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30"/>
      <c r="W576" s="30"/>
      <c r="X576" s="30"/>
      <c r="Y576" s="30"/>
      <c r="Z576" s="30"/>
      <c r="AA576" s="30"/>
      <c r="AB576" s="30"/>
      <c r="AC576" s="30"/>
      <c r="AD576" s="30"/>
      <c r="AE576" s="30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30"/>
      <c r="AQ576" s="30"/>
      <c r="AR576" s="30"/>
      <c r="AS576" s="30"/>
      <c r="AT576" s="30"/>
      <c r="AU576" s="30"/>
      <c r="AV576" s="30"/>
      <c r="AW576" s="30"/>
      <c r="AX576" s="30"/>
      <c r="AY576" s="30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30"/>
      <c r="BK576" s="30"/>
      <c r="BL576" s="30"/>
      <c r="BM576" s="30"/>
      <c r="BN576" s="30"/>
      <c r="BO576" s="30"/>
      <c r="BP576" s="30"/>
      <c r="BQ576" s="30"/>
      <c r="BR576" s="30"/>
      <c r="BS576" s="30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30"/>
      <c r="CE576" s="30"/>
      <c r="CF576" s="30"/>
      <c r="CG576" s="30"/>
      <c r="CH576" s="30"/>
      <c r="CI576" s="30"/>
      <c r="CJ576" s="30"/>
      <c r="CK576" s="30"/>
      <c r="CL576" s="30"/>
      <c r="CM576" s="30"/>
      <c r="CN576" s="1"/>
      <c r="CO576" s="1"/>
      <c r="CP576" s="1"/>
      <c r="CQ576" s="1"/>
      <c r="CR576" s="1"/>
      <c r="CS576" s="1"/>
      <c r="CT576" s="1"/>
      <c r="CU576" s="1"/>
      <c r="CV576" s="1"/>
      <c r="CW576" s="1"/>
    </row>
    <row r="577" spans="2:101" ht="15" hidden="1" customHeight="1" x14ac:dyDescent="0.25"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30"/>
      <c r="W577" s="30"/>
      <c r="X577" s="30"/>
      <c r="Y577" s="30"/>
      <c r="Z577" s="30"/>
      <c r="AA577" s="30"/>
      <c r="AB577" s="30"/>
      <c r="AC577" s="30"/>
      <c r="AD577" s="30"/>
      <c r="AE577" s="30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30"/>
      <c r="AQ577" s="30"/>
      <c r="AR577" s="30"/>
      <c r="AS577" s="30"/>
      <c r="AT577" s="30"/>
      <c r="AU577" s="30"/>
      <c r="AV577" s="30"/>
      <c r="AW577" s="30"/>
      <c r="AX577" s="30"/>
      <c r="AY577" s="30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30"/>
      <c r="BK577" s="30"/>
      <c r="BL577" s="30"/>
      <c r="BM577" s="30"/>
      <c r="BN577" s="30"/>
      <c r="BO577" s="30"/>
      <c r="BP577" s="30"/>
      <c r="BQ577" s="30"/>
      <c r="BR577" s="30"/>
      <c r="BS577" s="30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30"/>
      <c r="CE577" s="30"/>
      <c r="CF577" s="30"/>
      <c r="CG577" s="30"/>
      <c r="CH577" s="30"/>
      <c r="CI577" s="30"/>
      <c r="CJ577" s="30"/>
      <c r="CK577" s="30"/>
      <c r="CL577" s="30"/>
      <c r="CM577" s="30"/>
      <c r="CN577" s="1"/>
      <c r="CO577" s="1"/>
      <c r="CP577" s="1"/>
      <c r="CQ577" s="1"/>
      <c r="CR577" s="1"/>
      <c r="CS577" s="1"/>
      <c r="CT577" s="1"/>
      <c r="CU577" s="1"/>
      <c r="CV577" s="1"/>
      <c r="CW577" s="1"/>
    </row>
    <row r="578" spans="2:101" ht="15" hidden="1" customHeight="1" x14ac:dyDescent="0.25"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30"/>
      <c r="AQ578" s="30"/>
      <c r="AR578" s="30"/>
      <c r="AS578" s="30"/>
      <c r="AT578" s="30"/>
      <c r="AU578" s="30"/>
      <c r="AV578" s="30"/>
      <c r="AW578" s="30"/>
      <c r="AX578" s="30"/>
      <c r="AY578" s="30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30"/>
      <c r="BK578" s="30"/>
      <c r="BL578" s="30"/>
      <c r="BM578" s="30"/>
      <c r="BN578" s="30"/>
      <c r="BO578" s="30"/>
      <c r="BP578" s="30"/>
      <c r="BQ578" s="30"/>
      <c r="BR578" s="30"/>
      <c r="BS578" s="30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30"/>
      <c r="CE578" s="30"/>
      <c r="CF578" s="30"/>
      <c r="CG578" s="30"/>
      <c r="CH578" s="30"/>
      <c r="CI578" s="30"/>
      <c r="CJ578" s="30"/>
      <c r="CK578" s="30"/>
      <c r="CL578" s="30"/>
      <c r="CM578" s="30"/>
      <c r="CN578" s="1"/>
      <c r="CO578" s="1"/>
      <c r="CP578" s="1"/>
      <c r="CQ578" s="1"/>
      <c r="CR578" s="1"/>
      <c r="CS578" s="1"/>
      <c r="CT578" s="1"/>
      <c r="CU578" s="1"/>
      <c r="CV578" s="1"/>
      <c r="CW578" s="1"/>
    </row>
    <row r="579" spans="2:101" ht="15" hidden="1" customHeight="1" x14ac:dyDescent="0.25"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30"/>
      <c r="W579" s="30"/>
      <c r="X579" s="30"/>
      <c r="Y579" s="30"/>
      <c r="Z579" s="30"/>
      <c r="AA579" s="30"/>
      <c r="AB579" s="30"/>
      <c r="AC579" s="30"/>
      <c r="AD579" s="30"/>
      <c r="AE579" s="30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30"/>
      <c r="AQ579" s="30"/>
      <c r="AR579" s="30"/>
      <c r="AS579" s="30"/>
      <c r="AT579" s="30"/>
      <c r="AU579" s="30"/>
      <c r="AV579" s="30"/>
      <c r="AW579" s="30"/>
      <c r="AX579" s="30"/>
      <c r="AY579" s="30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30"/>
      <c r="BK579" s="30"/>
      <c r="BL579" s="30"/>
      <c r="BM579" s="30"/>
      <c r="BN579" s="30"/>
      <c r="BO579" s="30"/>
      <c r="BP579" s="30"/>
      <c r="BQ579" s="30"/>
      <c r="BR579" s="30"/>
      <c r="BS579" s="30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30"/>
      <c r="CE579" s="30"/>
      <c r="CF579" s="30"/>
      <c r="CG579" s="30"/>
      <c r="CH579" s="30"/>
      <c r="CI579" s="30"/>
      <c r="CJ579" s="30"/>
      <c r="CK579" s="30"/>
      <c r="CL579" s="30"/>
      <c r="CM579" s="30"/>
      <c r="CN579" s="1"/>
      <c r="CO579" s="1"/>
      <c r="CP579" s="1"/>
      <c r="CQ579" s="1"/>
      <c r="CR579" s="1"/>
      <c r="CS579" s="1"/>
      <c r="CT579" s="1"/>
      <c r="CU579" s="1"/>
      <c r="CV579" s="1"/>
      <c r="CW579" s="1"/>
    </row>
    <row r="580" spans="2:101" ht="15" hidden="1" customHeight="1" x14ac:dyDescent="0.25"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30"/>
      <c r="AQ580" s="30"/>
      <c r="AR580" s="30"/>
      <c r="AS580" s="30"/>
      <c r="AT580" s="30"/>
      <c r="AU580" s="30"/>
      <c r="AV580" s="30"/>
      <c r="AW580" s="30"/>
      <c r="AX580" s="30"/>
      <c r="AY580" s="30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30"/>
      <c r="BK580" s="30"/>
      <c r="BL580" s="30"/>
      <c r="BM580" s="30"/>
      <c r="BN580" s="30"/>
      <c r="BO580" s="30"/>
      <c r="BP580" s="30"/>
      <c r="BQ580" s="30"/>
      <c r="BR580" s="30"/>
      <c r="BS580" s="30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30"/>
      <c r="CE580" s="30"/>
      <c r="CF580" s="30"/>
      <c r="CG580" s="30"/>
      <c r="CH580" s="30"/>
      <c r="CI580" s="30"/>
      <c r="CJ580" s="30"/>
      <c r="CK580" s="30"/>
      <c r="CL580" s="30"/>
      <c r="CM580" s="30"/>
      <c r="CN580" s="1"/>
      <c r="CO580" s="1"/>
      <c r="CP580" s="1"/>
      <c r="CQ580" s="1"/>
      <c r="CR580" s="1"/>
      <c r="CS580" s="1"/>
      <c r="CT580" s="1"/>
      <c r="CU580" s="1"/>
      <c r="CV580" s="1"/>
      <c r="CW580" s="1"/>
    </row>
    <row r="581" spans="2:101" ht="15" hidden="1" customHeight="1" x14ac:dyDescent="0.25"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30"/>
      <c r="AQ581" s="30"/>
      <c r="AR581" s="30"/>
      <c r="AS581" s="30"/>
      <c r="AT581" s="30"/>
      <c r="AU581" s="30"/>
      <c r="AV581" s="30"/>
      <c r="AW581" s="30"/>
      <c r="AX581" s="30"/>
      <c r="AY581" s="30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30"/>
      <c r="BK581" s="30"/>
      <c r="BL581" s="30"/>
      <c r="BM581" s="30"/>
      <c r="BN581" s="30"/>
      <c r="BO581" s="30"/>
      <c r="BP581" s="30"/>
      <c r="BQ581" s="30"/>
      <c r="BR581" s="30"/>
      <c r="BS581" s="30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30"/>
      <c r="CE581" s="30"/>
      <c r="CF581" s="30"/>
      <c r="CG581" s="30"/>
      <c r="CH581" s="30"/>
      <c r="CI581" s="30"/>
      <c r="CJ581" s="30"/>
      <c r="CK581" s="30"/>
      <c r="CL581" s="30"/>
      <c r="CM581" s="30"/>
      <c r="CN581" s="1"/>
      <c r="CO581" s="1"/>
      <c r="CP581" s="1"/>
      <c r="CQ581" s="1"/>
      <c r="CR581" s="1"/>
      <c r="CS581" s="1"/>
      <c r="CT581" s="1"/>
      <c r="CU581" s="1"/>
      <c r="CV581" s="1"/>
      <c r="CW581" s="1"/>
    </row>
    <row r="582" spans="2:101" ht="15" hidden="1" customHeight="1" x14ac:dyDescent="0.25"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30"/>
      <c r="AQ582" s="30"/>
      <c r="AR582" s="30"/>
      <c r="AS582" s="30"/>
      <c r="AT582" s="30"/>
      <c r="AU582" s="30"/>
      <c r="AV582" s="30"/>
      <c r="AW582" s="30"/>
      <c r="AX582" s="30"/>
      <c r="AY582" s="30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30"/>
      <c r="BK582" s="30"/>
      <c r="BL582" s="30"/>
      <c r="BM582" s="30"/>
      <c r="BN582" s="30"/>
      <c r="BO582" s="30"/>
      <c r="BP582" s="30"/>
      <c r="BQ582" s="30"/>
      <c r="BR582" s="30"/>
      <c r="BS582" s="30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30"/>
      <c r="CE582" s="30"/>
      <c r="CF582" s="30"/>
      <c r="CG582" s="30"/>
      <c r="CH582" s="30"/>
      <c r="CI582" s="30"/>
      <c r="CJ582" s="30"/>
      <c r="CK582" s="30"/>
      <c r="CL582" s="30"/>
      <c r="CM582" s="30"/>
      <c r="CN582" s="1"/>
      <c r="CO582" s="1"/>
      <c r="CP582" s="1"/>
      <c r="CQ582" s="1"/>
      <c r="CR582" s="1"/>
      <c r="CS582" s="1"/>
      <c r="CT582" s="1"/>
      <c r="CU582" s="1"/>
      <c r="CV582" s="1"/>
      <c r="CW582" s="1"/>
    </row>
    <row r="583" spans="2:101" ht="15" hidden="1" customHeight="1" x14ac:dyDescent="0.25"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30"/>
      <c r="AQ583" s="30"/>
      <c r="AR583" s="30"/>
      <c r="AS583" s="30"/>
      <c r="AT583" s="30"/>
      <c r="AU583" s="30"/>
      <c r="AV583" s="30"/>
      <c r="AW583" s="30"/>
      <c r="AX583" s="30"/>
      <c r="AY583" s="30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30"/>
      <c r="BK583" s="30"/>
      <c r="BL583" s="30"/>
      <c r="BM583" s="30"/>
      <c r="BN583" s="30"/>
      <c r="BO583" s="30"/>
      <c r="BP583" s="30"/>
      <c r="BQ583" s="30"/>
      <c r="BR583" s="30"/>
      <c r="BS583" s="30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30"/>
      <c r="CE583" s="30"/>
      <c r="CF583" s="30"/>
      <c r="CG583" s="30"/>
      <c r="CH583" s="30"/>
      <c r="CI583" s="30"/>
      <c r="CJ583" s="30"/>
      <c r="CK583" s="30"/>
      <c r="CL583" s="30"/>
      <c r="CM583" s="30"/>
      <c r="CN583" s="1"/>
      <c r="CO583" s="1"/>
      <c r="CP583" s="1"/>
      <c r="CQ583" s="1"/>
      <c r="CR583" s="1"/>
      <c r="CS583" s="1"/>
      <c r="CT583" s="1"/>
      <c r="CU583" s="1"/>
      <c r="CV583" s="1"/>
      <c r="CW583" s="1"/>
    </row>
    <row r="584" spans="2:101" ht="15" hidden="1" customHeight="1" x14ac:dyDescent="0.25"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30"/>
      <c r="AQ584" s="30"/>
      <c r="AR584" s="30"/>
      <c r="AS584" s="30"/>
      <c r="AT584" s="30"/>
      <c r="AU584" s="30"/>
      <c r="AV584" s="30"/>
      <c r="AW584" s="30"/>
      <c r="AX584" s="30"/>
      <c r="AY584" s="30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30"/>
      <c r="BK584" s="30"/>
      <c r="BL584" s="30"/>
      <c r="BM584" s="30"/>
      <c r="BN584" s="30"/>
      <c r="BO584" s="30"/>
      <c r="BP584" s="30"/>
      <c r="BQ584" s="30"/>
      <c r="BR584" s="30"/>
      <c r="BS584" s="30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30"/>
      <c r="CE584" s="30"/>
      <c r="CF584" s="30"/>
      <c r="CG584" s="30"/>
      <c r="CH584" s="30"/>
      <c r="CI584" s="30"/>
      <c r="CJ584" s="30"/>
      <c r="CK584" s="30"/>
      <c r="CL584" s="30"/>
      <c r="CM584" s="30"/>
      <c r="CN584" s="1"/>
      <c r="CO584" s="1"/>
      <c r="CP584" s="1"/>
      <c r="CQ584" s="1"/>
      <c r="CR584" s="1"/>
      <c r="CS584" s="1"/>
      <c r="CT584" s="1"/>
      <c r="CU584" s="1"/>
      <c r="CV584" s="1"/>
      <c r="CW584" s="1"/>
    </row>
    <row r="585" spans="2:101" ht="15" hidden="1" customHeight="1" x14ac:dyDescent="0.25"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30"/>
      <c r="W585" s="30"/>
      <c r="X585" s="30"/>
      <c r="Y585" s="30"/>
      <c r="Z585" s="30"/>
      <c r="AA585" s="30"/>
      <c r="AB585" s="30"/>
      <c r="AC585" s="30"/>
      <c r="AD585" s="30"/>
      <c r="AE585" s="30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30"/>
      <c r="AQ585" s="30"/>
      <c r="AR585" s="30"/>
      <c r="AS585" s="30"/>
      <c r="AT585" s="30"/>
      <c r="AU585" s="30"/>
      <c r="AV585" s="30"/>
      <c r="AW585" s="30"/>
      <c r="AX585" s="30"/>
      <c r="AY585" s="30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30"/>
      <c r="BK585" s="30"/>
      <c r="BL585" s="30"/>
      <c r="BM585" s="30"/>
      <c r="BN585" s="30"/>
      <c r="BO585" s="30"/>
      <c r="BP585" s="30"/>
      <c r="BQ585" s="30"/>
      <c r="BR585" s="30"/>
      <c r="BS585" s="30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30"/>
      <c r="CE585" s="30"/>
      <c r="CF585" s="30"/>
      <c r="CG585" s="30"/>
      <c r="CH585" s="30"/>
      <c r="CI585" s="30"/>
      <c r="CJ585" s="30"/>
      <c r="CK585" s="30"/>
      <c r="CL585" s="30"/>
      <c r="CM585" s="30"/>
      <c r="CN585" s="1"/>
      <c r="CO585" s="1"/>
      <c r="CP585" s="1"/>
      <c r="CQ585" s="1"/>
      <c r="CR585" s="1"/>
      <c r="CS585" s="1"/>
      <c r="CT585" s="1"/>
      <c r="CU585" s="1"/>
      <c r="CV585" s="1"/>
      <c r="CW585" s="1"/>
    </row>
    <row r="586" spans="2:101" ht="15" hidden="1" customHeight="1" x14ac:dyDescent="0.25"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30"/>
      <c r="W586" s="30"/>
      <c r="X586" s="30"/>
      <c r="Y586" s="30"/>
      <c r="Z586" s="30"/>
      <c r="AA586" s="30"/>
      <c r="AB586" s="30"/>
      <c r="AC586" s="30"/>
      <c r="AD586" s="30"/>
      <c r="AE586" s="30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30"/>
      <c r="AQ586" s="30"/>
      <c r="AR586" s="30"/>
      <c r="AS586" s="30"/>
      <c r="AT586" s="30"/>
      <c r="AU586" s="30"/>
      <c r="AV586" s="30"/>
      <c r="AW586" s="30"/>
      <c r="AX586" s="30"/>
      <c r="AY586" s="30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30"/>
      <c r="BK586" s="30"/>
      <c r="BL586" s="30"/>
      <c r="BM586" s="30"/>
      <c r="BN586" s="30"/>
      <c r="BO586" s="30"/>
      <c r="BP586" s="30"/>
      <c r="BQ586" s="30"/>
      <c r="BR586" s="30"/>
      <c r="BS586" s="30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30"/>
      <c r="CE586" s="30"/>
      <c r="CF586" s="30"/>
      <c r="CG586" s="30"/>
      <c r="CH586" s="30"/>
      <c r="CI586" s="30"/>
      <c r="CJ586" s="30"/>
      <c r="CK586" s="30"/>
      <c r="CL586" s="30"/>
      <c r="CM586" s="30"/>
      <c r="CN586" s="1"/>
      <c r="CO586" s="1"/>
      <c r="CP586" s="1"/>
      <c r="CQ586" s="1"/>
      <c r="CR586" s="1"/>
      <c r="CS586" s="1"/>
      <c r="CT586" s="1"/>
      <c r="CU586" s="1"/>
      <c r="CV586" s="1"/>
      <c r="CW586" s="1"/>
    </row>
    <row r="587" spans="2:101" ht="15" hidden="1" customHeight="1" x14ac:dyDescent="0.25"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30"/>
      <c r="W587" s="30"/>
      <c r="X587" s="30"/>
      <c r="Y587" s="30"/>
      <c r="Z587" s="30"/>
      <c r="AA587" s="30"/>
      <c r="AB587" s="30"/>
      <c r="AC587" s="30"/>
      <c r="AD587" s="30"/>
      <c r="AE587" s="30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30"/>
      <c r="AQ587" s="30"/>
      <c r="AR587" s="30"/>
      <c r="AS587" s="30"/>
      <c r="AT587" s="30"/>
      <c r="AU587" s="30"/>
      <c r="AV587" s="30"/>
      <c r="AW587" s="30"/>
      <c r="AX587" s="30"/>
      <c r="AY587" s="30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30"/>
      <c r="BK587" s="30"/>
      <c r="BL587" s="30"/>
      <c r="BM587" s="30"/>
      <c r="BN587" s="30"/>
      <c r="BO587" s="30"/>
      <c r="BP587" s="30"/>
      <c r="BQ587" s="30"/>
      <c r="BR587" s="30"/>
      <c r="BS587" s="30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30"/>
      <c r="CE587" s="30"/>
      <c r="CF587" s="30"/>
      <c r="CG587" s="30"/>
      <c r="CH587" s="30"/>
      <c r="CI587" s="30"/>
      <c r="CJ587" s="30"/>
      <c r="CK587" s="30"/>
      <c r="CL587" s="30"/>
      <c r="CM587" s="30"/>
      <c r="CN587" s="1"/>
      <c r="CO587" s="1"/>
      <c r="CP587" s="1"/>
      <c r="CQ587" s="1"/>
      <c r="CR587" s="1"/>
      <c r="CS587" s="1"/>
      <c r="CT587" s="1"/>
      <c r="CU587" s="1"/>
      <c r="CV587" s="1"/>
      <c r="CW587" s="1"/>
    </row>
    <row r="588" spans="2:101" ht="15" hidden="1" customHeight="1" x14ac:dyDescent="0.25"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30"/>
      <c r="W588" s="30"/>
      <c r="X588" s="30"/>
      <c r="Y588" s="30"/>
      <c r="Z588" s="30"/>
      <c r="AA588" s="30"/>
      <c r="AB588" s="30"/>
      <c r="AC588" s="30"/>
      <c r="AD588" s="30"/>
      <c r="AE588" s="30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30"/>
      <c r="AQ588" s="30"/>
      <c r="AR588" s="30"/>
      <c r="AS588" s="30"/>
      <c r="AT588" s="30"/>
      <c r="AU588" s="30"/>
      <c r="AV588" s="30"/>
      <c r="AW588" s="30"/>
      <c r="AX588" s="30"/>
      <c r="AY588" s="30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30"/>
      <c r="BK588" s="30"/>
      <c r="BL588" s="30"/>
      <c r="BM588" s="30"/>
      <c r="BN588" s="30"/>
      <c r="BO588" s="30"/>
      <c r="BP588" s="30"/>
      <c r="BQ588" s="30"/>
      <c r="BR588" s="30"/>
      <c r="BS588" s="30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30"/>
      <c r="CE588" s="30"/>
      <c r="CF588" s="30"/>
      <c r="CG588" s="30"/>
      <c r="CH588" s="30"/>
      <c r="CI588" s="30"/>
      <c r="CJ588" s="30"/>
      <c r="CK588" s="30"/>
      <c r="CL588" s="30"/>
      <c r="CM588" s="30"/>
      <c r="CN588" s="1"/>
      <c r="CO588" s="1"/>
      <c r="CP588" s="1"/>
      <c r="CQ588" s="1"/>
      <c r="CR588" s="1"/>
      <c r="CS588" s="1"/>
      <c r="CT588" s="1"/>
      <c r="CU588" s="1"/>
      <c r="CV588" s="1"/>
      <c r="CW588" s="1"/>
    </row>
    <row r="589" spans="2:101" ht="15" hidden="1" customHeight="1" x14ac:dyDescent="0.25"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30"/>
      <c r="W589" s="30"/>
      <c r="X589" s="30"/>
      <c r="Y589" s="30"/>
      <c r="Z589" s="30"/>
      <c r="AA589" s="30"/>
      <c r="AB589" s="30"/>
      <c r="AC589" s="30"/>
      <c r="AD589" s="30"/>
      <c r="AE589" s="30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30"/>
      <c r="AQ589" s="30"/>
      <c r="AR589" s="30"/>
      <c r="AS589" s="30"/>
      <c r="AT589" s="30"/>
      <c r="AU589" s="30"/>
      <c r="AV589" s="30"/>
      <c r="AW589" s="30"/>
      <c r="AX589" s="30"/>
      <c r="AY589" s="30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30"/>
      <c r="BK589" s="30"/>
      <c r="BL589" s="30"/>
      <c r="BM589" s="30"/>
      <c r="BN589" s="30"/>
      <c r="BO589" s="30"/>
      <c r="BP589" s="30"/>
      <c r="BQ589" s="30"/>
      <c r="BR589" s="30"/>
      <c r="BS589" s="30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30"/>
      <c r="CE589" s="30"/>
      <c r="CF589" s="30"/>
      <c r="CG589" s="30"/>
      <c r="CH589" s="30"/>
      <c r="CI589" s="30"/>
      <c r="CJ589" s="30"/>
      <c r="CK589" s="30"/>
      <c r="CL589" s="30"/>
      <c r="CM589" s="30"/>
      <c r="CN589" s="1"/>
      <c r="CO589" s="1"/>
      <c r="CP589" s="1"/>
      <c r="CQ589" s="1"/>
      <c r="CR589" s="1"/>
      <c r="CS589" s="1"/>
      <c r="CT589" s="1"/>
      <c r="CU589" s="1"/>
      <c r="CV589" s="1"/>
      <c r="CW589" s="1"/>
    </row>
    <row r="590" spans="2:101" ht="15" hidden="1" customHeight="1" x14ac:dyDescent="0.25"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30"/>
      <c r="W590" s="30"/>
      <c r="X590" s="30"/>
      <c r="Y590" s="30"/>
      <c r="Z590" s="30"/>
      <c r="AA590" s="30"/>
      <c r="AB590" s="30"/>
      <c r="AC590" s="30"/>
      <c r="AD590" s="30"/>
      <c r="AE590" s="30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30"/>
      <c r="AQ590" s="30"/>
      <c r="AR590" s="30"/>
      <c r="AS590" s="30"/>
      <c r="AT590" s="30"/>
      <c r="AU590" s="30"/>
      <c r="AV590" s="30"/>
      <c r="AW590" s="30"/>
      <c r="AX590" s="30"/>
      <c r="AY590" s="30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30"/>
      <c r="BK590" s="30"/>
      <c r="BL590" s="30"/>
      <c r="BM590" s="30"/>
      <c r="BN590" s="30"/>
      <c r="BO590" s="30"/>
      <c r="BP590" s="30"/>
      <c r="BQ590" s="30"/>
      <c r="BR590" s="30"/>
      <c r="BS590" s="30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30"/>
      <c r="CE590" s="30"/>
      <c r="CF590" s="30"/>
      <c r="CG590" s="30"/>
      <c r="CH590" s="30"/>
      <c r="CI590" s="30"/>
      <c r="CJ590" s="30"/>
      <c r="CK590" s="30"/>
      <c r="CL590" s="30"/>
      <c r="CM590" s="30"/>
      <c r="CN590" s="1"/>
      <c r="CO590" s="1"/>
      <c r="CP590" s="1"/>
      <c r="CQ590" s="1"/>
      <c r="CR590" s="1"/>
      <c r="CS590" s="1"/>
      <c r="CT590" s="1"/>
      <c r="CU590" s="1"/>
      <c r="CV590" s="1"/>
      <c r="CW590" s="1"/>
    </row>
    <row r="591" spans="2:101" ht="15" hidden="1" customHeight="1" x14ac:dyDescent="0.25"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30"/>
      <c r="W591" s="30"/>
      <c r="X591" s="30"/>
      <c r="Y591" s="30"/>
      <c r="Z591" s="30"/>
      <c r="AA591" s="30"/>
      <c r="AB591" s="30"/>
      <c r="AC591" s="30"/>
      <c r="AD591" s="30"/>
      <c r="AE591" s="30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30"/>
      <c r="AQ591" s="30"/>
      <c r="AR591" s="30"/>
      <c r="AS591" s="30"/>
      <c r="AT591" s="30"/>
      <c r="AU591" s="30"/>
      <c r="AV591" s="30"/>
      <c r="AW591" s="30"/>
      <c r="AX591" s="30"/>
      <c r="AY591" s="30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30"/>
      <c r="BK591" s="30"/>
      <c r="BL591" s="30"/>
      <c r="BM591" s="30"/>
      <c r="BN591" s="30"/>
      <c r="BO591" s="30"/>
      <c r="BP591" s="30"/>
      <c r="BQ591" s="30"/>
      <c r="BR591" s="30"/>
      <c r="BS591" s="30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30"/>
      <c r="CE591" s="30"/>
      <c r="CF591" s="30"/>
      <c r="CG591" s="30"/>
      <c r="CH591" s="30"/>
      <c r="CI591" s="30"/>
      <c r="CJ591" s="30"/>
      <c r="CK591" s="30"/>
      <c r="CL591" s="30"/>
      <c r="CM591" s="30"/>
      <c r="CN591" s="1"/>
      <c r="CO591" s="1"/>
      <c r="CP591" s="1"/>
      <c r="CQ591" s="1"/>
      <c r="CR591" s="1"/>
      <c r="CS591" s="1"/>
      <c r="CT591" s="1"/>
      <c r="CU591" s="1"/>
      <c r="CV591" s="1"/>
      <c r="CW591" s="1"/>
    </row>
    <row r="592" spans="2:101" ht="15" hidden="1" customHeight="1" x14ac:dyDescent="0.25"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30"/>
      <c r="W592" s="30"/>
      <c r="X592" s="30"/>
      <c r="Y592" s="30"/>
      <c r="Z592" s="30"/>
      <c r="AA592" s="30"/>
      <c r="AB592" s="30"/>
      <c r="AC592" s="30"/>
      <c r="AD592" s="30"/>
      <c r="AE592" s="30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30"/>
      <c r="AQ592" s="30"/>
      <c r="AR592" s="30"/>
      <c r="AS592" s="30"/>
      <c r="AT592" s="30"/>
      <c r="AU592" s="30"/>
      <c r="AV592" s="30"/>
      <c r="AW592" s="30"/>
      <c r="AX592" s="30"/>
      <c r="AY592" s="30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30"/>
      <c r="BK592" s="30"/>
      <c r="BL592" s="30"/>
      <c r="BM592" s="30"/>
      <c r="BN592" s="30"/>
      <c r="BO592" s="30"/>
      <c r="BP592" s="30"/>
      <c r="BQ592" s="30"/>
      <c r="BR592" s="30"/>
      <c r="BS592" s="30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30"/>
      <c r="CE592" s="30"/>
      <c r="CF592" s="30"/>
      <c r="CG592" s="30"/>
      <c r="CH592" s="30"/>
      <c r="CI592" s="30"/>
      <c r="CJ592" s="30"/>
      <c r="CK592" s="30"/>
      <c r="CL592" s="30"/>
      <c r="CM592" s="30"/>
      <c r="CN592" s="1"/>
      <c r="CO592" s="1"/>
      <c r="CP592" s="1"/>
      <c r="CQ592" s="1"/>
      <c r="CR592" s="1"/>
      <c r="CS592" s="1"/>
      <c r="CT592" s="1"/>
      <c r="CU592" s="1"/>
      <c r="CV592" s="1"/>
      <c r="CW592" s="1"/>
    </row>
    <row r="593" spans="2:101" ht="15" hidden="1" customHeight="1" x14ac:dyDescent="0.25"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30"/>
      <c r="AQ593" s="30"/>
      <c r="AR593" s="30"/>
      <c r="AS593" s="30"/>
      <c r="AT593" s="30"/>
      <c r="AU593" s="30"/>
      <c r="AV593" s="30"/>
      <c r="AW593" s="30"/>
      <c r="AX593" s="30"/>
      <c r="AY593" s="30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30"/>
      <c r="BK593" s="30"/>
      <c r="BL593" s="30"/>
      <c r="BM593" s="30"/>
      <c r="BN593" s="30"/>
      <c r="BO593" s="30"/>
      <c r="BP593" s="30"/>
      <c r="BQ593" s="30"/>
      <c r="BR593" s="30"/>
      <c r="BS593" s="30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30"/>
      <c r="CE593" s="30"/>
      <c r="CF593" s="30"/>
      <c r="CG593" s="30"/>
      <c r="CH593" s="30"/>
      <c r="CI593" s="30"/>
      <c r="CJ593" s="30"/>
      <c r="CK593" s="30"/>
      <c r="CL593" s="30"/>
      <c r="CM593" s="30"/>
      <c r="CN593" s="1"/>
      <c r="CO593" s="1"/>
      <c r="CP593" s="1"/>
      <c r="CQ593" s="1"/>
      <c r="CR593" s="1"/>
      <c r="CS593" s="1"/>
      <c r="CT593" s="1"/>
      <c r="CU593" s="1"/>
      <c r="CV593" s="1"/>
      <c r="CW593" s="1"/>
    </row>
    <row r="594" spans="2:101" ht="15" hidden="1" customHeight="1" x14ac:dyDescent="0.25"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30"/>
      <c r="AQ594" s="30"/>
      <c r="AR594" s="30"/>
      <c r="AS594" s="30"/>
      <c r="AT594" s="30"/>
      <c r="AU594" s="30"/>
      <c r="AV594" s="30"/>
      <c r="AW594" s="30"/>
      <c r="AX594" s="30"/>
      <c r="AY594" s="30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30"/>
      <c r="BK594" s="30"/>
      <c r="BL594" s="30"/>
      <c r="BM594" s="30"/>
      <c r="BN594" s="30"/>
      <c r="BO594" s="30"/>
      <c r="BP594" s="30"/>
      <c r="BQ594" s="30"/>
      <c r="BR594" s="30"/>
      <c r="BS594" s="30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30"/>
      <c r="CE594" s="30"/>
      <c r="CF594" s="30"/>
      <c r="CG594" s="30"/>
      <c r="CH594" s="30"/>
      <c r="CI594" s="30"/>
      <c r="CJ594" s="30"/>
      <c r="CK594" s="30"/>
      <c r="CL594" s="30"/>
      <c r="CM594" s="30"/>
      <c r="CN594" s="1"/>
      <c r="CO594" s="1"/>
      <c r="CP594" s="1"/>
      <c r="CQ594" s="1"/>
      <c r="CR594" s="1"/>
      <c r="CS594" s="1"/>
      <c r="CT594" s="1"/>
      <c r="CU594" s="1"/>
      <c r="CV594" s="1"/>
      <c r="CW594" s="1"/>
    </row>
    <row r="595" spans="2:101" ht="15" hidden="1" customHeight="1" x14ac:dyDescent="0.25"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30"/>
      <c r="AQ595" s="30"/>
      <c r="AR595" s="30"/>
      <c r="AS595" s="30"/>
      <c r="AT595" s="30"/>
      <c r="AU595" s="30"/>
      <c r="AV595" s="30"/>
      <c r="AW595" s="30"/>
      <c r="AX595" s="30"/>
      <c r="AY595" s="30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30"/>
      <c r="BK595" s="30"/>
      <c r="BL595" s="30"/>
      <c r="BM595" s="30"/>
      <c r="BN595" s="30"/>
      <c r="BO595" s="30"/>
      <c r="BP595" s="30"/>
      <c r="BQ595" s="30"/>
      <c r="BR595" s="30"/>
      <c r="BS595" s="30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30"/>
      <c r="CE595" s="30"/>
      <c r="CF595" s="30"/>
      <c r="CG595" s="30"/>
      <c r="CH595" s="30"/>
      <c r="CI595" s="30"/>
      <c r="CJ595" s="30"/>
      <c r="CK595" s="30"/>
      <c r="CL595" s="30"/>
      <c r="CM595" s="30"/>
      <c r="CN595" s="1"/>
      <c r="CO595" s="1"/>
      <c r="CP595" s="1"/>
      <c r="CQ595" s="1"/>
      <c r="CR595" s="1"/>
      <c r="CS595" s="1"/>
      <c r="CT595" s="1"/>
      <c r="CU595" s="1"/>
      <c r="CV595" s="1"/>
      <c r="CW595" s="1"/>
    </row>
    <row r="596" spans="2:101" ht="15" hidden="1" customHeight="1" x14ac:dyDescent="0.25"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30"/>
      <c r="AQ596" s="30"/>
      <c r="AR596" s="30"/>
      <c r="AS596" s="30"/>
      <c r="AT596" s="30"/>
      <c r="AU596" s="30"/>
      <c r="AV596" s="30"/>
      <c r="AW596" s="30"/>
      <c r="AX596" s="30"/>
      <c r="AY596" s="30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30"/>
      <c r="BK596" s="30"/>
      <c r="BL596" s="30"/>
      <c r="BM596" s="30"/>
      <c r="BN596" s="30"/>
      <c r="BO596" s="30"/>
      <c r="BP596" s="30"/>
      <c r="BQ596" s="30"/>
      <c r="BR596" s="30"/>
      <c r="BS596" s="30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30"/>
      <c r="CE596" s="30"/>
      <c r="CF596" s="30"/>
      <c r="CG596" s="30"/>
      <c r="CH596" s="30"/>
      <c r="CI596" s="30"/>
      <c r="CJ596" s="30"/>
      <c r="CK596" s="30"/>
      <c r="CL596" s="30"/>
      <c r="CM596" s="30"/>
      <c r="CN596" s="1"/>
      <c r="CO596" s="1"/>
      <c r="CP596" s="1"/>
      <c r="CQ596" s="1"/>
      <c r="CR596" s="1"/>
      <c r="CS596" s="1"/>
      <c r="CT596" s="1"/>
      <c r="CU596" s="1"/>
      <c r="CV596" s="1"/>
      <c r="CW596" s="1"/>
    </row>
    <row r="597" spans="2:101" ht="15" hidden="1" customHeight="1" x14ac:dyDescent="0.25"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30"/>
      <c r="AQ597" s="30"/>
      <c r="AR597" s="30"/>
      <c r="AS597" s="30"/>
      <c r="AT597" s="30"/>
      <c r="AU597" s="30"/>
      <c r="AV597" s="30"/>
      <c r="AW597" s="30"/>
      <c r="AX597" s="30"/>
      <c r="AY597" s="30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30"/>
      <c r="BK597" s="30"/>
      <c r="BL597" s="30"/>
      <c r="BM597" s="30"/>
      <c r="BN597" s="30"/>
      <c r="BO597" s="30"/>
      <c r="BP597" s="30"/>
      <c r="BQ597" s="30"/>
      <c r="BR597" s="30"/>
      <c r="BS597" s="30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30"/>
      <c r="CE597" s="30"/>
      <c r="CF597" s="30"/>
      <c r="CG597" s="30"/>
      <c r="CH597" s="30"/>
      <c r="CI597" s="30"/>
      <c r="CJ597" s="30"/>
      <c r="CK597" s="30"/>
      <c r="CL597" s="30"/>
      <c r="CM597" s="30"/>
      <c r="CN597" s="1"/>
      <c r="CO597" s="1"/>
      <c r="CP597" s="1"/>
      <c r="CQ597" s="1"/>
      <c r="CR597" s="1"/>
      <c r="CS597" s="1"/>
      <c r="CT597" s="1"/>
      <c r="CU597" s="1"/>
      <c r="CV597" s="1"/>
      <c r="CW597" s="1"/>
    </row>
    <row r="598" spans="2:101" ht="15" hidden="1" customHeight="1" x14ac:dyDescent="0.25"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30"/>
      <c r="W598" s="30"/>
      <c r="X598" s="30"/>
      <c r="Y598" s="30"/>
      <c r="Z598" s="30"/>
      <c r="AA598" s="30"/>
      <c r="AB598" s="30"/>
      <c r="AC598" s="30"/>
      <c r="AD598" s="30"/>
      <c r="AE598" s="30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30"/>
      <c r="AQ598" s="30"/>
      <c r="AR598" s="30"/>
      <c r="AS598" s="30"/>
      <c r="AT598" s="30"/>
      <c r="AU598" s="30"/>
      <c r="AV598" s="30"/>
      <c r="AW598" s="30"/>
      <c r="AX598" s="30"/>
      <c r="AY598" s="30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30"/>
      <c r="BK598" s="30"/>
      <c r="BL598" s="30"/>
      <c r="BM598" s="30"/>
      <c r="BN598" s="30"/>
      <c r="BO598" s="30"/>
      <c r="BP598" s="30"/>
      <c r="BQ598" s="30"/>
      <c r="BR598" s="30"/>
      <c r="BS598" s="30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30"/>
      <c r="CE598" s="30"/>
      <c r="CF598" s="30"/>
      <c r="CG598" s="30"/>
      <c r="CH598" s="30"/>
      <c r="CI598" s="30"/>
      <c r="CJ598" s="30"/>
      <c r="CK598" s="30"/>
      <c r="CL598" s="30"/>
      <c r="CM598" s="30"/>
      <c r="CN598" s="1"/>
      <c r="CO598" s="1"/>
      <c r="CP598" s="1"/>
      <c r="CQ598" s="1"/>
      <c r="CR598" s="1"/>
      <c r="CS598" s="1"/>
      <c r="CT598" s="1"/>
      <c r="CU598" s="1"/>
      <c r="CV598" s="1"/>
      <c r="CW598" s="1"/>
    </row>
    <row r="599" spans="2:101" ht="15" hidden="1" customHeight="1" x14ac:dyDescent="0.25"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30"/>
      <c r="W599" s="30"/>
      <c r="X599" s="30"/>
      <c r="Y599" s="30"/>
      <c r="Z599" s="30"/>
      <c r="AA599" s="30"/>
      <c r="AB599" s="30"/>
      <c r="AC599" s="30"/>
      <c r="AD599" s="30"/>
      <c r="AE599" s="30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30"/>
      <c r="AQ599" s="30"/>
      <c r="AR599" s="30"/>
      <c r="AS599" s="30"/>
      <c r="AT599" s="30"/>
      <c r="AU599" s="30"/>
      <c r="AV599" s="30"/>
      <c r="AW599" s="30"/>
      <c r="AX599" s="30"/>
      <c r="AY599" s="30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30"/>
      <c r="BK599" s="30"/>
      <c r="BL599" s="30"/>
      <c r="BM599" s="30"/>
      <c r="BN599" s="30"/>
      <c r="BO599" s="30"/>
      <c r="BP599" s="30"/>
      <c r="BQ599" s="30"/>
      <c r="BR599" s="30"/>
      <c r="BS599" s="30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30"/>
      <c r="CE599" s="30"/>
      <c r="CF599" s="30"/>
      <c r="CG599" s="30"/>
      <c r="CH599" s="30"/>
      <c r="CI599" s="30"/>
      <c r="CJ599" s="30"/>
      <c r="CK599" s="30"/>
      <c r="CL599" s="30"/>
      <c r="CM599" s="30"/>
      <c r="CN599" s="1"/>
      <c r="CO599" s="1"/>
      <c r="CP599" s="1"/>
      <c r="CQ599" s="1"/>
      <c r="CR599" s="1"/>
      <c r="CS599" s="1"/>
      <c r="CT599" s="1"/>
      <c r="CU599" s="1"/>
      <c r="CV599" s="1"/>
      <c r="CW599" s="1"/>
    </row>
    <row r="600" spans="2:101" ht="15" hidden="1" customHeight="1" x14ac:dyDescent="0.25"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30"/>
      <c r="W600" s="30"/>
      <c r="X600" s="30"/>
      <c r="Y600" s="30"/>
      <c r="Z600" s="30"/>
      <c r="AA600" s="30"/>
      <c r="AB600" s="30"/>
      <c r="AC600" s="30"/>
      <c r="AD600" s="30"/>
      <c r="AE600" s="30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30"/>
      <c r="AQ600" s="30"/>
      <c r="AR600" s="30"/>
      <c r="AS600" s="30"/>
      <c r="AT600" s="30"/>
      <c r="AU600" s="30"/>
      <c r="AV600" s="30"/>
      <c r="AW600" s="30"/>
      <c r="AX600" s="30"/>
      <c r="AY600" s="30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30"/>
      <c r="BK600" s="30"/>
      <c r="BL600" s="30"/>
      <c r="BM600" s="30"/>
      <c r="BN600" s="30"/>
      <c r="BO600" s="30"/>
      <c r="BP600" s="30"/>
      <c r="BQ600" s="30"/>
      <c r="BR600" s="30"/>
      <c r="BS600" s="30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30"/>
      <c r="CE600" s="30"/>
      <c r="CF600" s="30"/>
      <c r="CG600" s="30"/>
      <c r="CH600" s="30"/>
      <c r="CI600" s="30"/>
      <c r="CJ600" s="30"/>
      <c r="CK600" s="30"/>
      <c r="CL600" s="30"/>
      <c r="CM600" s="30"/>
      <c r="CN600" s="1"/>
      <c r="CO600" s="1"/>
      <c r="CP600" s="1"/>
      <c r="CQ600" s="1"/>
      <c r="CR600" s="1"/>
      <c r="CS600" s="1"/>
      <c r="CT600" s="1"/>
      <c r="CU600" s="1"/>
      <c r="CV600" s="1"/>
      <c r="CW600" s="1"/>
    </row>
    <row r="601" spans="2:101" ht="15" hidden="1" customHeight="1" x14ac:dyDescent="0.25"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30"/>
      <c r="W601" s="30"/>
      <c r="X601" s="30"/>
      <c r="Y601" s="30"/>
      <c r="Z601" s="30"/>
      <c r="AA601" s="30"/>
      <c r="AB601" s="30"/>
      <c r="AC601" s="30"/>
      <c r="AD601" s="30"/>
      <c r="AE601" s="30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30"/>
      <c r="AQ601" s="30"/>
      <c r="AR601" s="30"/>
      <c r="AS601" s="30"/>
      <c r="AT601" s="30"/>
      <c r="AU601" s="30"/>
      <c r="AV601" s="30"/>
      <c r="AW601" s="30"/>
      <c r="AX601" s="30"/>
      <c r="AY601" s="30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30"/>
      <c r="BK601" s="30"/>
      <c r="BL601" s="30"/>
      <c r="BM601" s="30"/>
      <c r="BN601" s="30"/>
      <c r="BO601" s="30"/>
      <c r="BP601" s="30"/>
      <c r="BQ601" s="30"/>
      <c r="BR601" s="30"/>
      <c r="BS601" s="30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30"/>
      <c r="CE601" s="30"/>
      <c r="CF601" s="30"/>
      <c r="CG601" s="30"/>
      <c r="CH601" s="30"/>
      <c r="CI601" s="30"/>
      <c r="CJ601" s="30"/>
      <c r="CK601" s="30"/>
      <c r="CL601" s="30"/>
      <c r="CM601" s="30"/>
      <c r="CN601" s="1"/>
      <c r="CO601" s="1"/>
      <c r="CP601" s="1"/>
      <c r="CQ601" s="1"/>
      <c r="CR601" s="1"/>
      <c r="CS601" s="1"/>
      <c r="CT601" s="1"/>
      <c r="CU601" s="1"/>
      <c r="CV601" s="1"/>
      <c r="CW601" s="1"/>
    </row>
    <row r="602" spans="2:101" ht="15" hidden="1" customHeight="1" x14ac:dyDescent="0.25"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30"/>
      <c r="W602" s="30"/>
      <c r="X602" s="30"/>
      <c r="Y602" s="30"/>
      <c r="Z602" s="30"/>
      <c r="AA602" s="30"/>
      <c r="AB602" s="30"/>
      <c r="AC602" s="30"/>
      <c r="AD602" s="30"/>
      <c r="AE602" s="30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30"/>
      <c r="AQ602" s="30"/>
      <c r="AR602" s="30"/>
      <c r="AS602" s="30"/>
      <c r="AT602" s="30"/>
      <c r="AU602" s="30"/>
      <c r="AV602" s="30"/>
      <c r="AW602" s="30"/>
      <c r="AX602" s="30"/>
      <c r="AY602" s="30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30"/>
      <c r="BK602" s="30"/>
      <c r="BL602" s="30"/>
      <c r="BM602" s="30"/>
      <c r="BN602" s="30"/>
      <c r="BO602" s="30"/>
      <c r="BP602" s="30"/>
      <c r="BQ602" s="30"/>
      <c r="BR602" s="30"/>
      <c r="BS602" s="30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30"/>
      <c r="CE602" s="30"/>
      <c r="CF602" s="30"/>
      <c r="CG602" s="30"/>
      <c r="CH602" s="30"/>
      <c r="CI602" s="30"/>
      <c r="CJ602" s="30"/>
      <c r="CK602" s="30"/>
      <c r="CL602" s="30"/>
      <c r="CM602" s="30"/>
      <c r="CN602" s="1"/>
      <c r="CO602" s="1"/>
      <c r="CP602" s="1"/>
      <c r="CQ602" s="1"/>
      <c r="CR602" s="1"/>
      <c r="CS602" s="1"/>
      <c r="CT602" s="1"/>
      <c r="CU602" s="1"/>
      <c r="CV602" s="1"/>
      <c r="CW602" s="1"/>
    </row>
    <row r="603" spans="2:101" ht="15" hidden="1" customHeight="1" x14ac:dyDescent="0.25"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30"/>
      <c r="W603" s="30"/>
      <c r="X603" s="30"/>
      <c r="Y603" s="30"/>
      <c r="Z603" s="30"/>
      <c r="AA603" s="30"/>
      <c r="AB603" s="30"/>
      <c r="AC603" s="30"/>
      <c r="AD603" s="30"/>
      <c r="AE603" s="30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30"/>
      <c r="AQ603" s="30"/>
      <c r="AR603" s="30"/>
      <c r="AS603" s="30"/>
      <c r="AT603" s="30"/>
      <c r="AU603" s="30"/>
      <c r="AV603" s="30"/>
      <c r="AW603" s="30"/>
      <c r="AX603" s="30"/>
      <c r="AY603" s="30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30"/>
      <c r="BK603" s="30"/>
      <c r="BL603" s="30"/>
      <c r="BM603" s="30"/>
      <c r="BN603" s="30"/>
      <c r="BO603" s="30"/>
      <c r="BP603" s="30"/>
      <c r="BQ603" s="30"/>
      <c r="BR603" s="30"/>
      <c r="BS603" s="30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30"/>
      <c r="CE603" s="30"/>
      <c r="CF603" s="30"/>
      <c r="CG603" s="30"/>
      <c r="CH603" s="30"/>
      <c r="CI603" s="30"/>
      <c r="CJ603" s="30"/>
      <c r="CK603" s="30"/>
      <c r="CL603" s="30"/>
      <c r="CM603" s="30"/>
      <c r="CN603" s="1"/>
      <c r="CO603" s="1"/>
      <c r="CP603" s="1"/>
      <c r="CQ603" s="1"/>
      <c r="CR603" s="1"/>
      <c r="CS603" s="1"/>
      <c r="CT603" s="1"/>
      <c r="CU603" s="1"/>
      <c r="CV603" s="1"/>
      <c r="CW603" s="1"/>
    </row>
    <row r="604" spans="2:101" ht="15" hidden="1" customHeight="1" x14ac:dyDescent="0.25"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30"/>
      <c r="W604" s="30"/>
      <c r="X604" s="30"/>
      <c r="Y604" s="30"/>
      <c r="Z604" s="30"/>
      <c r="AA604" s="30"/>
      <c r="AB604" s="30"/>
      <c r="AC604" s="30"/>
      <c r="AD604" s="30"/>
      <c r="AE604" s="30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30"/>
      <c r="AQ604" s="30"/>
      <c r="AR604" s="30"/>
      <c r="AS604" s="30"/>
      <c r="AT604" s="30"/>
      <c r="AU604" s="30"/>
      <c r="AV604" s="30"/>
      <c r="AW604" s="30"/>
      <c r="AX604" s="30"/>
      <c r="AY604" s="30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30"/>
      <c r="BK604" s="30"/>
      <c r="BL604" s="30"/>
      <c r="BM604" s="30"/>
      <c r="BN604" s="30"/>
      <c r="BO604" s="30"/>
      <c r="BP604" s="30"/>
      <c r="BQ604" s="30"/>
      <c r="BR604" s="30"/>
      <c r="BS604" s="30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30"/>
      <c r="CE604" s="30"/>
      <c r="CF604" s="30"/>
      <c r="CG604" s="30"/>
      <c r="CH604" s="30"/>
      <c r="CI604" s="30"/>
      <c r="CJ604" s="30"/>
      <c r="CK604" s="30"/>
      <c r="CL604" s="30"/>
      <c r="CM604" s="30"/>
      <c r="CN604" s="1"/>
      <c r="CO604" s="1"/>
      <c r="CP604" s="1"/>
      <c r="CQ604" s="1"/>
      <c r="CR604" s="1"/>
      <c r="CS604" s="1"/>
      <c r="CT604" s="1"/>
      <c r="CU604" s="1"/>
      <c r="CV604" s="1"/>
      <c r="CW604" s="1"/>
    </row>
    <row r="605" spans="2:101" ht="15" hidden="1" customHeight="1" x14ac:dyDescent="0.25"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30"/>
      <c r="W605" s="30"/>
      <c r="X605" s="30"/>
      <c r="Y605" s="30"/>
      <c r="Z605" s="30"/>
      <c r="AA605" s="30"/>
      <c r="AB605" s="30"/>
      <c r="AC605" s="30"/>
      <c r="AD605" s="30"/>
      <c r="AE605" s="30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30"/>
      <c r="AQ605" s="30"/>
      <c r="AR605" s="30"/>
      <c r="AS605" s="30"/>
      <c r="AT605" s="30"/>
      <c r="AU605" s="30"/>
      <c r="AV605" s="30"/>
      <c r="AW605" s="30"/>
      <c r="AX605" s="30"/>
      <c r="AY605" s="30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30"/>
      <c r="BK605" s="30"/>
      <c r="BL605" s="30"/>
      <c r="BM605" s="30"/>
      <c r="BN605" s="30"/>
      <c r="BO605" s="30"/>
      <c r="BP605" s="30"/>
      <c r="BQ605" s="30"/>
      <c r="BR605" s="30"/>
      <c r="BS605" s="30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30"/>
      <c r="CE605" s="30"/>
      <c r="CF605" s="30"/>
      <c r="CG605" s="30"/>
      <c r="CH605" s="30"/>
      <c r="CI605" s="30"/>
      <c r="CJ605" s="30"/>
      <c r="CK605" s="30"/>
      <c r="CL605" s="30"/>
      <c r="CM605" s="30"/>
      <c r="CN605" s="1"/>
      <c r="CO605" s="1"/>
      <c r="CP605" s="1"/>
      <c r="CQ605" s="1"/>
      <c r="CR605" s="1"/>
      <c r="CS605" s="1"/>
      <c r="CT605" s="1"/>
      <c r="CU605" s="1"/>
      <c r="CV605" s="1"/>
      <c r="CW605" s="1"/>
    </row>
    <row r="606" spans="2:101" ht="15" hidden="1" customHeight="1" x14ac:dyDescent="0.25"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30"/>
      <c r="W606" s="30"/>
      <c r="X606" s="30"/>
      <c r="Y606" s="30"/>
      <c r="Z606" s="30"/>
      <c r="AA606" s="30"/>
      <c r="AB606" s="30"/>
      <c r="AC606" s="30"/>
      <c r="AD606" s="30"/>
      <c r="AE606" s="30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30"/>
      <c r="AQ606" s="30"/>
      <c r="AR606" s="30"/>
      <c r="AS606" s="30"/>
      <c r="AT606" s="30"/>
      <c r="AU606" s="30"/>
      <c r="AV606" s="30"/>
      <c r="AW606" s="30"/>
      <c r="AX606" s="30"/>
      <c r="AY606" s="30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30"/>
      <c r="BK606" s="30"/>
      <c r="BL606" s="30"/>
      <c r="BM606" s="30"/>
      <c r="BN606" s="30"/>
      <c r="BO606" s="30"/>
      <c r="BP606" s="30"/>
      <c r="BQ606" s="30"/>
      <c r="BR606" s="30"/>
      <c r="BS606" s="30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30"/>
      <c r="CE606" s="30"/>
      <c r="CF606" s="30"/>
      <c r="CG606" s="30"/>
      <c r="CH606" s="30"/>
      <c r="CI606" s="30"/>
      <c r="CJ606" s="30"/>
      <c r="CK606" s="30"/>
      <c r="CL606" s="30"/>
      <c r="CM606" s="30"/>
      <c r="CN606" s="1"/>
      <c r="CO606" s="1"/>
      <c r="CP606" s="1"/>
      <c r="CQ606" s="1"/>
      <c r="CR606" s="1"/>
      <c r="CS606" s="1"/>
      <c r="CT606" s="1"/>
      <c r="CU606" s="1"/>
      <c r="CV606" s="1"/>
      <c r="CW606" s="1"/>
    </row>
    <row r="607" spans="2:101" ht="15" hidden="1" customHeight="1" x14ac:dyDescent="0.25"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30"/>
      <c r="W607" s="30"/>
      <c r="X607" s="30"/>
      <c r="Y607" s="30"/>
      <c r="Z607" s="30"/>
      <c r="AA607" s="30"/>
      <c r="AB607" s="30"/>
      <c r="AC607" s="30"/>
      <c r="AD607" s="30"/>
      <c r="AE607" s="30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30"/>
      <c r="AQ607" s="30"/>
      <c r="AR607" s="30"/>
      <c r="AS607" s="30"/>
      <c r="AT607" s="30"/>
      <c r="AU607" s="30"/>
      <c r="AV607" s="30"/>
      <c r="AW607" s="30"/>
      <c r="AX607" s="30"/>
      <c r="AY607" s="30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30"/>
      <c r="BK607" s="30"/>
      <c r="BL607" s="30"/>
      <c r="BM607" s="30"/>
      <c r="BN607" s="30"/>
      <c r="BO607" s="30"/>
      <c r="BP607" s="30"/>
      <c r="BQ607" s="30"/>
      <c r="BR607" s="30"/>
      <c r="BS607" s="30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30"/>
      <c r="CE607" s="30"/>
      <c r="CF607" s="30"/>
      <c r="CG607" s="30"/>
      <c r="CH607" s="30"/>
      <c r="CI607" s="30"/>
      <c r="CJ607" s="30"/>
      <c r="CK607" s="30"/>
      <c r="CL607" s="30"/>
      <c r="CM607" s="30"/>
      <c r="CN607" s="1"/>
      <c r="CO607" s="1"/>
      <c r="CP607" s="1"/>
      <c r="CQ607" s="1"/>
      <c r="CR607" s="1"/>
      <c r="CS607" s="1"/>
      <c r="CT607" s="1"/>
      <c r="CU607" s="1"/>
      <c r="CV607" s="1"/>
      <c r="CW607" s="1"/>
    </row>
    <row r="608" spans="2:101" ht="15" hidden="1" customHeight="1" x14ac:dyDescent="0.25"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30"/>
      <c r="W608" s="30"/>
      <c r="X608" s="30"/>
      <c r="Y608" s="30"/>
      <c r="Z608" s="30"/>
      <c r="AA608" s="30"/>
      <c r="AB608" s="30"/>
      <c r="AC608" s="30"/>
      <c r="AD608" s="30"/>
      <c r="AE608" s="30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30"/>
      <c r="AQ608" s="30"/>
      <c r="AR608" s="30"/>
      <c r="AS608" s="30"/>
      <c r="AT608" s="30"/>
      <c r="AU608" s="30"/>
      <c r="AV608" s="30"/>
      <c r="AW608" s="30"/>
      <c r="AX608" s="30"/>
      <c r="AY608" s="30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30"/>
      <c r="BK608" s="30"/>
      <c r="BL608" s="30"/>
      <c r="BM608" s="30"/>
      <c r="BN608" s="30"/>
      <c r="BO608" s="30"/>
      <c r="BP608" s="30"/>
      <c r="BQ608" s="30"/>
      <c r="BR608" s="30"/>
      <c r="BS608" s="30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30"/>
      <c r="CE608" s="30"/>
      <c r="CF608" s="30"/>
      <c r="CG608" s="30"/>
      <c r="CH608" s="30"/>
      <c r="CI608" s="30"/>
      <c r="CJ608" s="30"/>
      <c r="CK608" s="30"/>
      <c r="CL608" s="30"/>
      <c r="CM608" s="30"/>
      <c r="CN608" s="1"/>
      <c r="CO608" s="1"/>
      <c r="CP608" s="1"/>
      <c r="CQ608" s="1"/>
      <c r="CR608" s="1"/>
      <c r="CS608" s="1"/>
      <c r="CT608" s="1"/>
      <c r="CU608" s="1"/>
      <c r="CV608" s="1"/>
      <c r="CW608" s="1"/>
    </row>
    <row r="609" spans="2:101" ht="15" hidden="1" customHeight="1" x14ac:dyDescent="0.25"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30"/>
      <c r="W609" s="30"/>
      <c r="X609" s="30"/>
      <c r="Y609" s="30"/>
      <c r="Z609" s="30"/>
      <c r="AA609" s="30"/>
      <c r="AB609" s="30"/>
      <c r="AC609" s="30"/>
      <c r="AD609" s="30"/>
      <c r="AE609" s="30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30"/>
      <c r="AQ609" s="30"/>
      <c r="AR609" s="30"/>
      <c r="AS609" s="30"/>
      <c r="AT609" s="30"/>
      <c r="AU609" s="30"/>
      <c r="AV609" s="30"/>
      <c r="AW609" s="30"/>
      <c r="AX609" s="30"/>
      <c r="AY609" s="30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30"/>
      <c r="BK609" s="30"/>
      <c r="BL609" s="30"/>
      <c r="BM609" s="30"/>
      <c r="BN609" s="30"/>
      <c r="BO609" s="30"/>
      <c r="BP609" s="30"/>
      <c r="BQ609" s="30"/>
      <c r="BR609" s="30"/>
      <c r="BS609" s="30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30"/>
      <c r="CE609" s="30"/>
      <c r="CF609" s="30"/>
      <c r="CG609" s="30"/>
      <c r="CH609" s="30"/>
      <c r="CI609" s="30"/>
      <c r="CJ609" s="30"/>
      <c r="CK609" s="30"/>
      <c r="CL609" s="30"/>
      <c r="CM609" s="30"/>
      <c r="CN609" s="1"/>
      <c r="CO609" s="1"/>
      <c r="CP609" s="1"/>
      <c r="CQ609" s="1"/>
      <c r="CR609" s="1"/>
      <c r="CS609" s="1"/>
      <c r="CT609" s="1"/>
      <c r="CU609" s="1"/>
      <c r="CV609" s="1"/>
      <c r="CW609" s="1"/>
    </row>
    <row r="610" spans="2:101" ht="15" hidden="1" customHeight="1" x14ac:dyDescent="0.25"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30"/>
      <c r="W610" s="30"/>
      <c r="X610" s="30"/>
      <c r="Y610" s="30"/>
      <c r="Z610" s="30"/>
      <c r="AA610" s="30"/>
      <c r="AB610" s="30"/>
      <c r="AC610" s="30"/>
      <c r="AD610" s="30"/>
      <c r="AE610" s="30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30"/>
      <c r="AQ610" s="30"/>
      <c r="AR610" s="30"/>
      <c r="AS610" s="30"/>
      <c r="AT610" s="30"/>
      <c r="AU610" s="30"/>
      <c r="AV610" s="30"/>
      <c r="AW610" s="30"/>
      <c r="AX610" s="30"/>
      <c r="AY610" s="30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30"/>
      <c r="BK610" s="30"/>
      <c r="BL610" s="30"/>
      <c r="BM610" s="30"/>
      <c r="BN610" s="30"/>
      <c r="BO610" s="30"/>
      <c r="BP610" s="30"/>
      <c r="BQ610" s="30"/>
      <c r="BR610" s="30"/>
      <c r="BS610" s="30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30"/>
      <c r="CE610" s="30"/>
      <c r="CF610" s="30"/>
      <c r="CG610" s="30"/>
      <c r="CH610" s="30"/>
      <c r="CI610" s="30"/>
      <c r="CJ610" s="30"/>
      <c r="CK610" s="30"/>
      <c r="CL610" s="30"/>
      <c r="CM610" s="30"/>
      <c r="CN610" s="1"/>
      <c r="CO610" s="1"/>
      <c r="CP610" s="1"/>
      <c r="CQ610" s="1"/>
      <c r="CR610" s="1"/>
      <c r="CS610" s="1"/>
      <c r="CT610" s="1"/>
      <c r="CU610" s="1"/>
      <c r="CV610" s="1"/>
      <c r="CW610" s="1"/>
    </row>
    <row r="611" spans="2:101" ht="15" hidden="1" customHeight="1" x14ac:dyDescent="0.25"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30"/>
      <c r="W611" s="30"/>
      <c r="X611" s="30"/>
      <c r="Y611" s="30"/>
      <c r="Z611" s="30"/>
      <c r="AA611" s="30"/>
      <c r="AB611" s="30"/>
      <c r="AC611" s="30"/>
      <c r="AD611" s="30"/>
      <c r="AE611" s="30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30"/>
      <c r="AQ611" s="30"/>
      <c r="AR611" s="30"/>
      <c r="AS611" s="30"/>
      <c r="AT611" s="30"/>
      <c r="AU611" s="30"/>
      <c r="AV611" s="30"/>
      <c r="AW611" s="30"/>
      <c r="AX611" s="30"/>
      <c r="AY611" s="30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30"/>
      <c r="BK611" s="30"/>
      <c r="BL611" s="30"/>
      <c r="BM611" s="30"/>
      <c r="BN611" s="30"/>
      <c r="BO611" s="30"/>
      <c r="BP611" s="30"/>
      <c r="BQ611" s="30"/>
      <c r="BR611" s="30"/>
      <c r="BS611" s="30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30"/>
      <c r="CE611" s="30"/>
      <c r="CF611" s="30"/>
      <c r="CG611" s="30"/>
      <c r="CH611" s="30"/>
      <c r="CI611" s="30"/>
      <c r="CJ611" s="30"/>
      <c r="CK611" s="30"/>
      <c r="CL611" s="30"/>
      <c r="CM611" s="30"/>
      <c r="CN611" s="1"/>
      <c r="CO611" s="1"/>
      <c r="CP611" s="1"/>
      <c r="CQ611" s="1"/>
      <c r="CR611" s="1"/>
      <c r="CS611" s="1"/>
      <c r="CT611" s="1"/>
      <c r="CU611" s="1"/>
      <c r="CV611" s="1"/>
      <c r="CW611" s="1"/>
    </row>
    <row r="612" spans="2:101" ht="15" hidden="1" customHeight="1" x14ac:dyDescent="0.25"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30"/>
      <c r="W612" s="30"/>
      <c r="X612" s="30"/>
      <c r="Y612" s="30"/>
      <c r="Z612" s="30"/>
      <c r="AA612" s="30"/>
      <c r="AB612" s="30"/>
      <c r="AC612" s="30"/>
      <c r="AD612" s="30"/>
      <c r="AE612" s="30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30"/>
      <c r="AQ612" s="30"/>
      <c r="AR612" s="30"/>
      <c r="AS612" s="30"/>
      <c r="AT612" s="30"/>
      <c r="AU612" s="30"/>
      <c r="AV612" s="30"/>
      <c r="AW612" s="30"/>
      <c r="AX612" s="30"/>
      <c r="AY612" s="30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30"/>
      <c r="BK612" s="30"/>
      <c r="BL612" s="30"/>
      <c r="BM612" s="30"/>
      <c r="BN612" s="30"/>
      <c r="BO612" s="30"/>
      <c r="BP612" s="30"/>
      <c r="BQ612" s="30"/>
      <c r="BR612" s="30"/>
      <c r="BS612" s="30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30"/>
      <c r="CE612" s="30"/>
      <c r="CF612" s="30"/>
      <c r="CG612" s="30"/>
      <c r="CH612" s="30"/>
      <c r="CI612" s="30"/>
      <c r="CJ612" s="30"/>
      <c r="CK612" s="30"/>
      <c r="CL612" s="30"/>
      <c r="CM612" s="30"/>
      <c r="CN612" s="1"/>
      <c r="CO612" s="1"/>
      <c r="CP612" s="1"/>
      <c r="CQ612" s="1"/>
      <c r="CR612" s="1"/>
      <c r="CS612" s="1"/>
      <c r="CT612" s="1"/>
      <c r="CU612" s="1"/>
      <c r="CV612" s="1"/>
      <c r="CW612" s="1"/>
    </row>
    <row r="613" spans="2:101" ht="15" hidden="1" customHeight="1" x14ac:dyDescent="0.25"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30"/>
      <c r="W613" s="30"/>
      <c r="X613" s="30"/>
      <c r="Y613" s="30"/>
      <c r="Z613" s="30"/>
      <c r="AA613" s="30"/>
      <c r="AB613" s="30"/>
      <c r="AC613" s="30"/>
      <c r="AD613" s="30"/>
      <c r="AE613" s="30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30"/>
      <c r="AQ613" s="30"/>
      <c r="AR613" s="30"/>
      <c r="AS613" s="30"/>
      <c r="AT613" s="30"/>
      <c r="AU613" s="30"/>
      <c r="AV613" s="30"/>
      <c r="AW613" s="30"/>
      <c r="AX613" s="30"/>
      <c r="AY613" s="30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30"/>
      <c r="BK613" s="30"/>
      <c r="BL613" s="30"/>
      <c r="BM613" s="30"/>
      <c r="BN613" s="30"/>
      <c r="BO613" s="30"/>
      <c r="BP613" s="30"/>
      <c r="BQ613" s="30"/>
      <c r="BR613" s="30"/>
      <c r="BS613" s="30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30"/>
      <c r="CE613" s="30"/>
      <c r="CF613" s="30"/>
      <c r="CG613" s="30"/>
      <c r="CH613" s="30"/>
      <c r="CI613" s="30"/>
      <c r="CJ613" s="30"/>
      <c r="CK613" s="30"/>
      <c r="CL613" s="30"/>
      <c r="CM613" s="30"/>
      <c r="CN613" s="1"/>
      <c r="CO613" s="1"/>
      <c r="CP613" s="1"/>
      <c r="CQ613" s="1"/>
      <c r="CR613" s="1"/>
      <c r="CS613" s="1"/>
      <c r="CT613" s="1"/>
      <c r="CU613" s="1"/>
      <c r="CV613" s="1"/>
      <c r="CW613" s="1"/>
    </row>
    <row r="614" spans="2:101" ht="15" hidden="1" customHeight="1" x14ac:dyDescent="0.25"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30"/>
      <c r="W614" s="30"/>
      <c r="X614" s="30"/>
      <c r="Y614" s="30"/>
      <c r="Z614" s="30"/>
      <c r="AA614" s="30"/>
      <c r="AB614" s="30"/>
      <c r="AC614" s="30"/>
      <c r="AD614" s="30"/>
      <c r="AE614" s="30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30"/>
      <c r="AQ614" s="30"/>
      <c r="AR614" s="30"/>
      <c r="AS614" s="30"/>
      <c r="AT614" s="30"/>
      <c r="AU614" s="30"/>
      <c r="AV614" s="30"/>
      <c r="AW614" s="30"/>
      <c r="AX614" s="30"/>
      <c r="AY614" s="30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30"/>
      <c r="BK614" s="30"/>
      <c r="BL614" s="30"/>
      <c r="BM614" s="30"/>
      <c r="BN614" s="30"/>
      <c r="BO614" s="30"/>
      <c r="BP614" s="30"/>
      <c r="BQ614" s="30"/>
      <c r="BR614" s="30"/>
      <c r="BS614" s="30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30"/>
      <c r="CE614" s="30"/>
      <c r="CF614" s="30"/>
      <c r="CG614" s="30"/>
      <c r="CH614" s="30"/>
      <c r="CI614" s="30"/>
      <c r="CJ614" s="30"/>
      <c r="CK614" s="30"/>
      <c r="CL614" s="30"/>
      <c r="CM614" s="30"/>
      <c r="CN614" s="1"/>
      <c r="CO614" s="1"/>
      <c r="CP614" s="1"/>
      <c r="CQ614" s="1"/>
      <c r="CR614" s="1"/>
      <c r="CS614" s="1"/>
      <c r="CT614" s="1"/>
      <c r="CU614" s="1"/>
      <c r="CV614" s="1"/>
      <c r="CW614" s="1"/>
    </row>
    <row r="615" spans="2:101" ht="15" hidden="1" customHeight="1" x14ac:dyDescent="0.25"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30"/>
      <c r="W615" s="30"/>
      <c r="X615" s="30"/>
      <c r="Y615" s="30"/>
      <c r="Z615" s="30"/>
      <c r="AA615" s="30"/>
      <c r="AB615" s="30"/>
      <c r="AC615" s="30"/>
      <c r="AD615" s="30"/>
      <c r="AE615" s="30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30"/>
      <c r="AQ615" s="30"/>
      <c r="AR615" s="30"/>
      <c r="AS615" s="30"/>
      <c r="AT615" s="30"/>
      <c r="AU615" s="30"/>
      <c r="AV615" s="30"/>
      <c r="AW615" s="30"/>
      <c r="AX615" s="30"/>
      <c r="AY615" s="30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30"/>
      <c r="BK615" s="30"/>
      <c r="BL615" s="30"/>
      <c r="BM615" s="30"/>
      <c r="BN615" s="30"/>
      <c r="BO615" s="30"/>
      <c r="BP615" s="30"/>
      <c r="BQ615" s="30"/>
      <c r="BR615" s="30"/>
      <c r="BS615" s="30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30"/>
      <c r="CE615" s="30"/>
      <c r="CF615" s="30"/>
      <c r="CG615" s="30"/>
      <c r="CH615" s="30"/>
      <c r="CI615" s="30"/>
      <c r="CJ615" s="30"/>
      <c r="CK615" s="30"/>
      <c r="CL615" s="30"/>
      <c r="CM615" s="30"/>
      <c r="CN615" s="1"/>
      <c r="CO615" s="1"/>
      <c r="CP615" s="1"/>
      <c r="CQ615" s="1"/>
      <c r="CR615" s="1"/>
      <c r="CS615" s="1"/>
      <c r="CT615" s="1"/>
      <c r="CU615" s="1"/>
      <c r="CV615" s="1"/>
      <c r="CW615" s="1"/>
    </row>
    <row r="616" spans="2:101" ht="15" hidden="1" customHeight="1" x14ac:dyDescent="0.25"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30"/>
      <c r="W616" s="30"/>
      <c r="X616" s="30"/>
      <c r="Y616" s="30"/>
      <c r="Z616" s="30"/>
      <c r="AA616" s="30"/>
      <c r="AB616" s="30"/>
      <c r="AC616" s="30"/>
      <c r="AD616" s="30"/>
      <c r="AE616" s="30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30"/>
      <c r="AQ616" s="30"/>
      <c r="AR616" s="30"/>
      <c r="AS616" s="30"/>
      <c r="AT616" s="30"/>
      <c r="AU616" s="30"/>
      <c r="AV616" s="30"/>
      <c r="AW616" s="30"/>
      <c r="AX616" s="30"/>
      <c r="AY616" s="30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30"/>
      <c r="BK616" s="30"/>
      <c r="BL616" s="30"/>
      <c r="BM616" s="30"/>
      <c r="BN616" s="30"/>
      <c r="BO616" s="30"/>
      <c r="BP616" s="30"/>
      <c r="BQ616" s="30"/>
      <c r="BR616" s="30"/>
      <c r="BS616" s="30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30"/>
      <c r="CE616" s="30"/>
      <c r="CF616" s="30"/>
      <c r="CG616" s="30"/>
      <c r="CH616" s="30"/>
      <c r="CI616" s="30"/>
      <c r="CJ616" s="30"/>
      <c r="CK616" s="30"/>
      <c r="CL616" s="30"/>
      <c r="CM616" s="30"/>
      <c r="CN616" s="1"/>
      <c r="CO616" s="1"/>
      <c r="CP616" s="1"/>
      <c r="CQ616" s="1"/>
      <c r="CR616" s="1"/>
      <c r="CS616" s="1"/>
      <c r="CT616" s="1"/>
      <c r="CU616" s="1"/>
      <c r="CV616" s="1"/>
      <c r="CW616" s="1"/>
    </row>
    <row r="617" spans="2:101" ht="15" hidden="1" customHeight="1" x14ac:dyDescent="0.25"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30"/>
      <c r="W617" s="30"/>
      <c r="X617" s="30"/>
      <c r="Y617" s="30"/>
      <c r="Z617" s="30"/>
      <c r="AA617" s="30"/>
      <c r="AB617" s="30"/>
      <c r="AC617" s="30"/>
      <c r="AD617" s="30"/>
      <c r="AE617" s="30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30"/>
      <c r="AQ617" s="30"/>
      <c r="AR617" s="30"/>
      <c r="AS617" s="30"/>
      <c r="AT617" s="30"/>
      <c r="AU617" s="30"/>
      <c r="AV617" s="30"/>
      <c r="AW617" s="30"/>
      <c r="AX617" s="30"/>
      <c r="AY617" s="30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30"/>
      <c r="BK617" s="30"/>
      <c r="BL617" s="30"/>
      <c r="BM617" s="30"/>
      <c r="BN617" s="30"/>
      <c r="BO617" s="30"/>
      <c r="BP617" s="30"/>
      <c r="BQ617" s="30"/>
      <c r="BR617" s="30"/>
      <c r="BS617" s="30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30"/>
      <c r="CE617" s="30"/>
      <c r="CF617" s="30"/>
      <c r="CG617" s="30"/>
      <c r="CH617" s="30"/>
      <c r="CI617" s="30"/>
      <c r="CJ617" s="30"/>
      <c r="CK617" s="30"/>
      <c r="CL617" s="30"/>
      <c r="CM617" s="30"/>
      <c r="CN617" s="1"/>
      <c r="CO617" s="1"/>
      <c r="CP617" s="1"/>
      <c r="CQ617" s="1"/>
      <c r="CR617" s="1"/>
      <c r="CS617" s="1"/>
      <c r="CT617" s="1"/>
      <c r="CU617" s="1"/>
      <c r="CV617" s="1"/>
      <c r="CW617" s="1"/>
    </row>
    <row r="618" spans="2:101" ht="15" hidden="1" customHeight="1" x14ac:dyDescent="0.25"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30"/>
      <c r="W618" s="30"/>
      <c r="X618" s="30"/>
      <c r="Y618" s="30"/>
      <c r="Z618" s="30"/>
      <c r="AA618" s="30"/>
      <c r="AB618" s="30"/>
      <c r="AC618" s="30"/>
      <c r="AD618" s="30"/>
      <c r="AE618" s="30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30"/>
      <c r="AQ618" s="30"/>
      <c r="AR618" s="30"/>
      <c r="AS618" s="30"/>
      <c r="AT618" s="30"/>
      <c r="AU618" s="30"/>
      <c r="AV618" s="30"/>
      <c r="AW618" s="30"/>
      <c r="AX618" s="30"/>
      <c r="AY618" s="30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30"/>
      <c r="BK618" s="30"/>
      <c r="BL618" s="30"/>
      <c r="BM618" s="30"/>
      <c r="BN618" s="30"/>
      <c r="BO618" s="30"/>
      <c r="BP618" s="30"/>
      <c r="BQ618" s="30"/>
      <c r="BR618" s="30"/>
      <c r="BS618" s="30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30"/>
      <c r="CE618" s="30"/>
      <c r="CF618" s="30"/>
      <c r="CG618" s="30"/>
      <c r="CH618" s="30"/>
      <c r="CI618" s="30"/>
      <c r="CJ618" s="30"/>
      <c r="CK618" s="30"/>
      <c r="CL618" s="30"/>
      <c r="CM618" s="30"/>
      <c r="CN618" s="1"/>
      <c r="CO618" s="1"/>
      <c r="CP618" s="1"/>
      <c r="CQ618" s="1"/>
      <c r="CR618" s="1"/>
      <c r="CS618" s="1"/>
      <c r="CT618" s="1"/>
      <c r="CU618" s="1"/>
      <c r="CV618" s="1"/>
      <c r="CW618" s="1"/>
    </row>
    <row r="619" spans="2:101" ht="15" hidden="1" customHeight="1" x14ac:dyDescent="0.25"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30"/>
      <c r="W619" s="30"/>
      <c r="X619" s="30"/>
      <c r="Y619" s="30"/>
      <c r="Z619" s="30"/>
      <c r="AA619" s="30"/>
      <c r="AB619" s="30"/>
      <c r="AC619" s="30"/>
      <c r="AD619" s="30"/>
      <c r="AE619" s="30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30"/>
      <c r="AQ619" s="30"/>
      <c r="AR619" s="30"/>
      <c r="AS619" s="30"/>
      <c r="AT619" s="30"/>
      <c r="AU619" s="30"/>
      <c r="AV619" s="30"/>
      <c r="AW619" s="30"/>
      <c r="AX619" s="30"/>
      <c r="AY619" s="30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30"/>
      <c r="BK619" s="30"/>
      <c r="BL619" s="30"/>
      <c r="BM619" s="30"/>
      <c r="BN619" s="30"/>
      <c r="BO619" s="30"/>
      <c r="BP619" s="30"/>
      <c r="BQ619" s="30"/>
      <c r="BR619" s="30"/>
      <c r="BS619" s="30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30"/>
      <c r="CE619" s="30"/>
      <c r="CF619" s="30"/>
      <c r="CG619" s="30"/>
      <c r="CH619" s="30"/>
      <c r="CI619" s="30"/>
      <c r="CJ619" s="30"/>
      <c r="CK619" s="30"/>
      <c r="CL619" s="30"/>
      <c r="CM619" s="30"/>
      <c r="CN619" s="1"/>
      <c r="CO619" s="1"/>
      <c r="CP619" s="1"/>
      <c r="CQ619" s="1"/>
      <c r="CR619" s="1"/>
      <c r="CS619" s="1"/>
      <c r="CT619" s="1"/>
      <c r="CU619" s="1"/>
      <c r="CV619" s="1"/>
      <c r="CW619" s="1"/>
    </row>
    <row r="620" spans="2:101" ht="15" hidden="1" customHeight="1" x14ac:dyDescent="0.25"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30"/>
      <c r="W620" s="30"/>
      <c r="X620" s="30"/>
      <c r="Y620" s="30"/>
      <c r="Z620" s="30"/>
      <c r="AA620" s="30"/>
      <c r="AB620" s="30"/>
      <c r="AC620" s="30"/>
      <c r="AD620" s="30"/>
      <c r="AE620" s="30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30"/>
      <c r="AQ620" s="30"/>
      <c r="AR620" s="30"/>
      <c r="AS620" s="30"/>
      <c r="AT620" s="30"/>
      <c r="AU620" s="30"/>
      <c r="AV620" s="30"/>
      <c r="AW620" s="30"/>
      <c r="AX620" s="30"/>
      <c r="AY620" s="30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30"/>
      <c r="BK620" s="30"/>
      <c r="BL620" s="30"/>
      <c r="BM620" s="30"/>
      <c r="BN620" s="30"/>
      <c r="BO620" s="30"/>
      <c r="BP620" s="30"/>
      <c r="BQ620" s="30"/>
      <c r="BR620" s="30"/>
      <c r="BS620" s="30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30"/>
      <c r="CE620" s="30"/>
      <c r="CF620" s="30"/>
      <c r="CG620" s="30"/>
      <c r="CH620" s="30"/>
      <c r="CI620" s="30"/>
      <c r="CJ620" s="30"/>
      <c r="CK620" s="30"/>
      <c r="CL620" s="30"/>
      <c r="CM620" s="30"/>
      <c r="CN620" s="1"/>
      <c r="CO620" s="1"/>
      <c r="CP620" s="1"/>
      <c r="CQ620" s="1"/>
      <c r="CR620" s="1"/>
      <c r="CS620" s="1"/>
      <c r="CT620" s="1"/>
      <c r="CU620" s="1"/>
      <c r="CV620" s="1"/>
      <c r="CW620" s="1"/>
    </row>
    <row r="621" spans="2:101" ht="15" hidden="1" customHeight="1" x14ac:dyDescent="0.25"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30"/>
      <c r="W621" s="30"/>
      <c r="X621" s="30"/>
      <c r="Y621" s="30"/>
      <c r="Z621" s="30"/>
      <c r="AA621" s="30"/>
      <c r="AB621" s="30"/>
      <c r="AC621" s="30"/>
      <c r="AD621" s="30"/>
      <c r="AE621" s="30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30"/>
      <c r="AQ621" s="30"/>
      <c r="AR621" s="30"/>
      <c r="AS621" s="30"/>
      <c r="AT621" s="30"/>
      <c r="AU621" s="30"/>
      <c r="AV621" s="30"/>
      <c r="AW621" s="30"/>
      <c r="AX621" s="30"/>
      <c r="AY621" s="30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30"/>
      <c r="BK621" s="30"/>
      <c r="BL621" s="30"/>
      <c r="BM621" s="30"/>
      <c r="BN621" s="30"/>
      <c r="BO621" s="30"/>
      <c r="BP621" s="30"/>
      <c r="BQ621" s="30"/>
      <c r="BR621" s="30"/>
      <c r="BS621" s="30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30"/>
      <c r="CE621" s="30"/>
      <c r="CF621" s="30"/>
      <c r="CG621" s="30"/>
      <c r="CH621" s="30"/>
      <c r="CI621" s="30"/>
      <c r="CJ621" s="30"/>
      <c r="CK621" s="30"/>
      <c r="CL621" s="30"/>
      <c r="CM621" s="30"/>
      <c r="CN621" s="1"/>
      <c r="CO621" s="1"/>
      <c r="CP621" s="1"/>
      <c r="CQ621" s="1"/>
      <c r="CR621" s="1"/>
      <c r="CS621" s="1"/>
      <c r="CT621" s="1"/>
      <c r="CU621" s="1"/>
      <c r="CV621" s="1"/>
      <c r="CW621" s="1"/>
    </row>
    <row r="622" spans="2:101" ht="15" hidden="1" customHeight="1" x14ac:dyDescent="0.25"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30"/>
      <c r="W622" s="30"/>
      <c r="X622" s="30"/>
      <c r="Y622" s="30"/>
      <c r="Z622" s="30"/>
      <c r="AA622" s="30"/>
      <c r="AB622" s="30"/>
      <c r="AC622" s="30"/>
      <c r="AD622" s="30"/>
      <c r="AE622" s="30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30"/>
      <c r="AQ622" s="30"/>
      <c r="AR622" s="30"/>
      <c r="AS622" s="30"/>
      <c r="AT622" s="30"/>
      <c r="AU622" s="30"/>
      <c r="AV622" s="30"/>
      <c r="AW622" s="30"/>
      <c r="AX622" s="30"/>
      <c r="AY622" s="30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30"/>
      <c r="BK622" s="30"/>
      <c r="BL622" s="30"/>
      <c r="BM622" s="30"/>
      <c r="BN622" s="30"/>
      <c r="BO622" s="30"/>
      <c r="BP622" s="30"/>
      <c r="BQ622" s="30"/>
      <c r="BR622" s="30"/>
      <c r="BS622" s="30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30"/>
      <c r="CE622" s="30"/>
      <c r="CF622" s="30"/>
      <c r="CG622" s="30"/>
      <c r="CH622" s="30"/>
      <c r="CI622" s="30"/>
      <c r="CJ622" s="30"/>
      <c r="CK622" s="30"/>
      <c r="CL622" s="30"/>
      <c r="CM622" s="30"/>
      <c r="CN622" s="1"/>
      <c r="CO622" s="1"/>
      <c r="CP622" s="1"/>
      <c r="CQ622" s="1"/>
      <c r="CR622" s="1"/>
      <c r="CS622" s="1"/>
      <c r="CT622" s="1"/>
      <c r="CU622" s="1"/>
      <c r="CV622" s="1"/>
      <c r="CW622" s="1"/>
    </row>
    <row r="623" spans="2:101" ht="15" hidden="1" customHeight="1" x14ac:dyDescent="0.25"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30"/>
      <c r="W623" s="30"/>
      <c r="X623" s="30"/>
      <c r="Y623" s="30"/>
      <c r="Z623" s="30"/>
      <c r="AA623" s="30"/>
      <c r="AB623" s="30"/>
      <c r="AC623" s="30"/>
      <c r="AD623" s="30"/>
      <c r="AE623" s="30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30"/>
      <c r="AQ623" s="30"/>
      <c r="AR623" s="30"/>
      <c r="AS623" s="30"/>
      <c r="AT623" s="30"/>
      <c r="AU623" s="30"/>
      <c r="AV623" s="30"/>
      <c r="AW623" s="30"/>
      <c r="AX623" s="30"/>
      <c r="AY623" s="30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30"/>
      <c r="BK623" s="30"/>
      <c r="BL623" s="30"/>
      <c r="BM623" s="30"/>
      <c r="BN623" s="30"/>
      <c r="BO623" s="30"/>
      <c r="BP623" s="30"/>
      <c r="BQ623" s="30"/>
      <c r="BR623" s="30"/>
      <c r="BS623" s="30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30"/>
      <c r="CE623" s="30"/>
      <c r="CF623" s="30"/>
      <c r="CG623" s="30"/>
      <c r="CH623" s="30"/>
      <c r="CI623" s="30"/>
      <c r="CJ623" s="30"/>
      <c r="CK623" s="30"/>
      <c r="CL623" s="30"/>
      <c r="CM623" s="30"/>
      <c r="CN623" s="1"/>
      <c r="CO623" s="1"/>
      <c r="CP623" s="1"/>
      <c r="CQ623" s="1"/>
      <c r="CR623" s="1"/>
      <c r="CS623" s="1"/>
      <c r="CT623" s="1"/>
      <c r="CU623" s="1"/>
      <c r="CV623" s="1"/>
      <c r="CW623" s="1"/>
    </row>
    <row r="624" spans="2:101" ht="15" hidden="1" customHeight="1" x14ac:dyDescent="0.25"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30"/>
      <c r="W624" s="30"/>
      <c r="X624" s="30"/>
      <c r="Y624" s="30"/>
      <c r="Z624" s="30"/>
      <c r="AA624" s="30"/>
      <c r="AB624" s="30"/>
      <c r="AC624" s="30"/>
      <c r="AD624" s="30"/>
      <c r="AE624" s="30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30"/>
      <c r="AQ624" s="30"/>
      <c r="AR624" s="30"/>
      <c r="AS624" s="30"/>
      <c r="AT624" s="30"/>
      <c r="AU624" s="30"/>
      <c r="AV624" s="30"/>
      <c r="AW624" s="30"/>
      <c r="AX624" s="30"/>
      <c r="AY624" s="30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30"/>
      <c r="BK624" s="30"/>
      <c r="BL624" s="30"/>
      <c r="BM624" s="30"/>
      <c r="BN624" s="30"/>
      <c r="BO624" s="30"/>
      <c r="BP624" s="30"/>
      <c r="BQ624" s="30"/>
      <c r="BR624" s="30"/>
      <c r="BS624" s="30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30"/>
      <c r="CE624" s="30"/>
      <c r="CF624" s="30"/>
      <c r="CG624" s="30"/>
      <c r="CH624" s="30"/>
      <c r="CI624" s="30"/>
      <c r="CJ624" s="30"/>
      <c r="CK624" s="30"/>
      <c r="CL624" s="30"/>
      <c r="CM624" s="30"/>
      <c r="CN624" s="1"/>
      <c r="CO624" s="1"/>
      <c r="CP624" s="1"/>
      <c r="CQ624" s="1"/>
      <c r="CR624" s="1"/>
      <c r="CS624" s="1"/>
      <c r="CT624" s="1"/>
      <c r="CU624" s="1"/>
      <c r="CV624" s="1"/>
      <c r="CW624" s="1"/>
    </row>
    <row r="625" spans="2:101" ht="15" hidden="1" customHeight="1" x14ac:dyDescent="0.25"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30"/>
      <c r="W625" s="30"/>
      <c r="X625" s="30"/>
      <c r="Y625" s="30"/>
      <c r="Z625" s="30"/>
      <c r="AA625" s="30"/>
      <c r="AB625" s="30"/>
      <c r="AC625" s="30"/>
      <c r="AD625" s="30"/>
      <c r="AE625" s="30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30"/>
      <c r="AQ625" s="30"/>
      <c r="AR625" s="30"/>
      <c r="AS625" s="30"/>
      <c r="AT625" s="30"/>
      <c r="AU625" s="30"/>
      <c r="AV625" s="30"/>
      <c r="AW625" s="30"/>
      <c r="AX625" s="30"/>
      <c r="AY625" s="30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30"/>
      <c r="BK625" s="30"/>
      <c r="BL625" s="30"/>
      <c r="BM625" s="30"/>
      <c r="BN625" s="30"/>
      <c r="BO625" s="30"/>
      <c r="BP625" s="30"/>
      <c r="BQ625" s="30"/>
      <c r="BR625" s="30"/>
      <c r="BS625" s="30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30"/>
      <c r="CE625" s="30"/>
      <c r="CF625" s="30"/>
      <c r="CG625" s="30"/>
      <c r="CH625" s="30"/>
      <c r="CI625" s="30"/>
      <c r="CJ625" s="30"/>
      <c r="CK625" s="30"/>
      <c r="CL625" s="30"/>
      <c r="CM625" s="30"/>
      <c r="CN625" s="1"/>
      <c r="CO625" s="1"/>
      <c r="CP625" s="1"/>
      <c r="CQ625" s="1"/>
      <c r="CR625" s="1"/>
      <c r="CS625" s="1"/>
      <c r="CT625" s="1"/>
      <c r="CU625" s="1"/>
      <c r="CV625" s="1"/>
      <c r="CW625" s="1"/>
    </row>
    <row r="626" spans="2:101" ht="15" hidden="1" customHeight="1" x14ac:dyDescent="0.25"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30"/>
      <c r="AQ626" s="30"/>
      <c r="AR626" s="30"/>
      <c r="AS626" s="30"/>
      <c r="AT626" s="30"/>
      <c r="AU626" s="30"/>
      <c r="AV626" s="30"/>
      <c r="AW626" s="30"/>
      <c r="AX626" s="30"/>
      <c r="AY626" s="30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30"/>
      <c r="BK626" s="30"/>
      <c r="BL626" s="30"/>
      <c r="BM626" s="30"/>
      <c r="BN626" s="30"/>
      <c r="BO626" s="30"/>
      <c r="BP626" s="30"/>
      <c r="BQ626" s="30"/>
      <c r="BR626" s="30"/>
      <c r="BS626" s="30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30"/>
      <c r="CE626" s="30"/>
      <c r="CF626" s="30"/>
      <c r="CG626" s="30"/>
      <c r="CH626" s="30"/>
      <c r="CI626" s="30"/>
      <c r="CJ626" s="30"/>
      <c r="CK626" s="30"/>
      <c r="CL626" s="30"/>
      <c r="CM626" s="30"/>
      <c r="CN626" s="1"/>
      <c r="CO626" s="1"/>
      <c r="CP626" s="1"/>
      <c r="CQ626" s="1"/>
      <c r="CR626" s="1"/>
      <c r="CS626" s="1"/>
      <c r="CT626" s="1"/>
      <c r="CU626" s="1"/>
      <c r="CV626" s="1"/>
      <c r="CW626" s="1"/>
    </row>
    <row r="627" spans="2:101" ht="15" hidden="1" customHeight="1" x14ac:dyDescent="0.25"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30"/>
      <c r="AQ627" s="30"/>
      <c r="AR627" s="30"/>
      <c r="AS627" s="30"/>
      <c r="AT627" s="30"/>
      <c r="AU627" s="30"/>
      <c r="AV627" s="30"/>
      <c r="AW627" s="30"/>
      <c r="AX627" s="30"/>
      <c r="AY627" s="30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30"/>
      <c r="BK627" s="30"/>
      <c r="BL627" s="30"/>
      <c r="BM627" s="30"/>
      <c r="BN627" s="30"/>
      <c r="BO627" s="30"/>
      <c r="BP627" s="30"/>
      <c r="BQ627" s="30"/>
      <c r="BR627" s="30"/>
      <c r="BS627" s="30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30"/>
      <c r="CE627" s="30"/>
      <c r="CF627" s="30"/>
      <c r="CG627" s="30"/>
      <c r="CH627" s="30"/>
      <c r="CI627" s="30"/>
      <c r="CJ627" s="30"/>
      <c r="CK627" s="30"/>
      <c r="CL627" s="30"/>
      <c r="CM627" s="30"/>
      <c r="CN627" s="1"/>
      <c r="CO627" s="1"/>
      <c r="CP627" s="1"/>
      <c r="CQ627" s="1"/>
      <c r="CR627" s="1"/>
      <c r="CS627" s="1"/>
      <c r="CT627" s="1"/>
      <c r="CU627" s="1"/>
      <c r="CV627" s="1"/>
      <c r="CW627" s="1"/>
    </row>
    <row r="628" spans="2:101" ht="15" hidden="1" customHeight="1" x14ac:dyDescent="0.25"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30"/>
      <c r="AQ628" s="30"/>
      <c r="AR628" s="30"/>
      <c r="AS628" s="30"/>
      <c r="AT628" s="30"/>
      <c r="AU628" s="30"/>
      <c r="AV628" s="30"/>
      <c r="AW628" s="30"/>
      <c r="AX628" s="30"/>
      <c r="AY628" s="30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30"/>
      <c r="BK628" s="30"/>
      <c r="BL628" s="30"/>
      <c r="BM628" s="30"/>
      <c r="BN628" s="30"/>
      <c r="BO628" s="30"/>
      <c r="BP628" s="30"/>
      <c r="BQ628" s="30"/>
      <c r="BR628" s="30"/>
      <c r="BS628" s="30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30"/>
      <c r="CE628" s="30"/>
      <c r="CF628" s="30"/>
      <c r="CG628" s="30"/>
      <c r="CH628" s="30"/>
      <c r="CI628" s="30"/>
      <c r="CJ628" s="30"/>
      <c r="CK628" s="30"/>
      <c r="CL628" s="30"/>
      <c r="CM628" s="30"/>
      <c r="CN628" s="1"/>
      <c r="CO628" s="1"/>
      <c r="CP628" s="1"/>
      <c r="CQ628" s="1"/>
      <c r="CR628" s="1"/>
      <c r="CS628" s="1"/>
      <c r="CT628" s="1"/>
      <c r="CU628" s="1"/>
      <c r="CV628" s="1"/>
      <c r="CW628" s="1"/>
    </row>
    <row r="629" spans="2:101" ht="15" hidden="1" customHeight="1" x14ac:dyDescent="0.25"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30"/>
      <c r="AQ629" s="30"/>
      <c r="AR629" s="30"/>
      <c r="AS629" s="30"/>
      <c r="AT629" s="30"/>
      <c r="AU629" s="30"/>
      <c r="AV629" s="30"/>
      <c r="AW629" s="30"/>
      <c r="AX629" s="30"/>
      <c r="AY629" s="30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30"/>
      <c r="BK629" s="30"/>
      <c r="BL629" s="30"/>
      <c r="BM629" s="30"/>
      <c r="BN629" s="30"/>
      <c r="BO629" s="30"/>
      <c r="BP629" s="30"/>
      <c r="BQ629" s="30"/>
      <c r="BR629" s="30"/>
      <c r="BS629" s="30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30"/>
      <c r="CE629" s="30"/>
      <c r="CF629" s="30"/>
      <c r="CG629" s="30"/>
      <c r="CH629" s="30"/>
      <c r="CI629" s="30"/>
      <c r="CJ629" s="30"/>
      <c r="CK629" s="30"/>
      <c r="CL629" s="30"/>
      <c r="CM629" s="30"/>
      <c r="CN629" s="1"/>
      <c r="CO629" s="1"/>
      <c r="CP629" s="1"/>
      <c r="CQ629" s="1"/>
      <c r="CR629" s="1"/>
      <c r="CS629" s="1"/>
      <c r="CT629" s="1"/>
      <c r="CU629" s="1"/>
      <c r="CV629" s="1"/>
      <c r="CW629" s="1"/>
    </row>
    <row r="630" spans="2:101" ht="15" hidden="1" customHeight="1" x14ac:dyDescent="0.25"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30"/>
      <c r="AQ630" s="30"/>
      <c r="AR630" s="30"/>
      <c r="AS630" s="30"/>
      <c r="AT630" s="30"/>
      <c r="AU630" s="30"/>
      <c r="AV630" s="30"/>
      <c r="AW630" s="30"/>
      <c r="AX630" s="30"/>
      <c r="AY630" s="30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30"/>
      <c r="BK630" s="30"/>
      <c r="BL630" s="30"/>
      <c r="BM630" s="30"/>
      <c r="BN630" s="30"/>
      <c r="BO630" s="30"/>
      <c r="BP630" s="30"/>
      <c r="BQ630" s="30"/>
      <c r="BR630" s="30"/>
      <c r="BS630" s="30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30"/>
      <c r="CE630" s="30"/>
      <c r="CF630" s="30"/>
      <c r="CG630" s="30"/>
      <c r="CH630" s="30"/>
      <c r="CI630" s="30"/>
      <c r="CJ630" s="30"/>
      <c r="CK630" s="30"/>
      <c r="CL630" s="30"/>
      <c r="CM630" s="30"/>
      <c r="CN630" s="1"/>
      <c r="CO630" s="1"/>
      <c r="CP630" s="1"/>
      <c r="CQ630" s="1"/>
      <c r="CR630" s="1"/>
      <c r="CS630" s="1"/>
      <c r="CT630" s="1"/>
      <c r="CU630" s="1"/>
      <c r="CV630" s="1"/>
      <c r="CW630" s="1"/>
    </row>
    <row r="631" spans="2:101" ht="15" hidden="1" customHeight="1" x14ac:dyDescent="0.25"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30"/>
      <c r="W631" s="30"/>
      <c r="X631" s="30"/>
      <c r="Y631" s="30"/>
      <c r="Z631" s="30"/>
      <c r="AA631" s="30"/>
      <c r="AB631" s="30"/>
      <c r="AC631" s="30"/>
      <c r="AD631" s="30"/>
      <c r="AE631" s="30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30"/>
      <c r="AQ631" s="30"/>
      <c r="AR631" s="30"/>
      <c r="AS631" s="30"/>
      <c r="AT631" s="30"/>
      <c r="AU631" s="30"/>
      <c r="AV631" s="30"/>
      <c r="AW631" s="30"/>
      <c r="AX631" s="30"/>
      <c r="AY631" s="30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30"/>
      <c r="BK631" s="30"/>
      <c r="BL631" s="30"/>
      <c r="BM631" s="30"/>
      <c r="BN631" s="30"/>
      <c r="BO631" s="30"/>
      <c r="BP631" s="30"/>
      <c r="BQ631" s="30"/>
      <c r="BR631" s="30"/>
      <c r="BS631" s="30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30"/>
      <c r="CE631" s="30"/>
      <c r="CF631" s="30"/>
      <c r="CG631" s="30"/>
      <c r="CH631" s="30"/>
      <c r="CI631" s="30"/>
      <c r="CJ631" s="30"/>
      <c r="CK631" s="30"/>
      <c r="CL631" s="30"/>
      <c r="CM631" s="30"/>
      <c r="CN631" s="1"/>
      <c r="CO631" s="1"/>
      <c r="CP631" s="1"/>
      <c r="CQ631" s="1"/>
      <c r="CR631" s="1"/>
      <c r="CS631" s="1"/>
      <c r="CT631" s="1"/>
      <c r="CU631" s="1"/>
      <c r="CV631" s="1"/>
      <c r="CW631" s="1"/>
    </row>
    <row r="632" spans="2:101" ht="15" hidden="1" customHeight="1" x14ac:dyDescent="0.25"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30"/>
      <c r="W632" s="30"/>
      <c r="X632" s="30"/>
      <c r="Y632" s="30"/>
      <c r="Z632" s="30"/>
      <c r="AA632" s="30"/>
      <c r="AB632" s="30"/>
      <c r="AC632" s="30"/>
      <c r="AD632" s="30"/>
      <c r="AE632" s="30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30"/>
      <c r="AQ632" s="30"/>
      <c r="AR632" s="30"/>
      <c r="AS632" s="30"/>
      <c r="AT632" s="30"/>
      <c r="AU632" s="30"/>
      <c r="AV632" s="30"/>
      <c r="AW632" s="30"/>
      <c r="AX632" s="30"/>
      <c r="AY632" s="30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30"/>
      <c r="BK632" s="30"/>
      <c r="BL632" s="30"/>
      <c r="BM632" s="30"/>
      <c r="BN632" s="30"/>
      <c r="BO632" s="30"/>
      <c r="BP632" s="30"/>
      <c r="BQ632" s="30"/>
      <c r="BR632" s="30"/>
      <c r="BS632" s="30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30"/>
      <c r="CE632" s="30"/>
      <c r="CF632" s="30"/>
      <c r="CG632" s="30"/>
      <c r="CH632" s="30"/>
      <c r="CI632" s="30"/>
      <c r="CJ632" s="30"/>
      <c r="CK632" s="30"/>
      <c r="CL632" s="30"/>
      <c r="CM632" s="30"/>
      <c r="CN632" s="1"/>
      <c r="CO632" s="1"/>
      <c r="CP632" s="1"/>
      <c r="CQ632" s="1"/>
      <c r="CR632" s="1"/>
      <c r="CS632" s="1"/>
      <c r="CT632" s="1"/>
      <c r="CU632" s="1"/>
      <c r="CV632" s="1"/>
      <c r="CW632" s="1"/>
    </row>
    <row r="633" spans="2:101" ht="15" hidden="1" customHeight="1" x14ac:dyDescent="0.25"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30"/>
      <c r="W633" s="30"/>
      <c r="X633" s="30"/>
      <c r="Y633" s="30"/>
      <c r="Z633" s="30"/>
      <c r="AA633" s="30"/>
      <c r="AB633" s="30"/>
      <c r="AC633" s="30"/>
      <c r="AD633" s="30"/>
      <c r="AE633" s="30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30"/>
      <c r="AQ633" s="30"/>
      <c r="AR633" s="30"/>
      <c r="AS633" s="30"/>
      <c r="AT633" s="30"/>
      <c r="AU633" s="30"/>
      <c r="AV633" s="30"/>
      <c r="AW633" s="30"/>
      <c r="AX633" s="30"/>
      <c r="AY633" s="30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30"/>
      <c r="BK633" s="30"/>
      <c r="BL633" s="30"/>
      <c r="BM633" s="30"/>
      <c r="BN633" s="30"/>
      <c r="BO633" s="30"/>
      <c r="BP633" s="30"/>
      <c r="BQ633" s="30"/>
      <c r="BR633" s="30"/>
      <c r="BS633" s="30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30"/>
      <c r="CE633" s="30"/>
      <c r="CF633" s="30"/>
      <c r="CG633" s="30"/>
      <c r="CH633" s="30"/>
      <c r="CI633" s="30"/>
      <c r="CJ633" s="30"/>
      <c r="CK633" s="30"/>
      <c r="CL633" s="30"/>
      <c r="CM633" s="30"/>
      <c r="CN633" s="1"/>
      <c r="CO633" s="1"/>
      <c r="CP633" s="1"/>
      <c r="CQ633" s="1"/>
      <c r="CR633" s="1"/>
      <c r="CS633" s="1"/>
      <c r="CT633" s="1"/>
      <c r="CU633" s="1"/>
      <c r="CV633" s="1"/>
      <c r="CW633" s="1"/>
    </row>
    <row r="634" spans="2:101" ht="15" hidden="1" customHeight="1" x14ac:dyDescent="0.25"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30"/>
      <c r="W634" s="30"/>
      <c r="X634" s="30"/>
      <c r="Y634" s="30"/>
      <c r="Z634" s="30"/>
      <c r="AA634" s="30"/>
      <c r="AB634" s="30"/>
      <c r="AC634" s="30"/>
      <c r="AD634" s="30"/>
      <c r="AE634" s="30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30"/>
      <c r="AQ634" s="30"/>
      <c r="AR634" s="30"/>
      <c r="AS634" s="30"/>
      <c r="AT634" s="30"/>
      <c r="AU634" s="30"/>
      <c r="AV634" s="30"/>
      <c r="AW634" s="30"/>
      <c r="AX634" s="30"/>
      <c r="AY634" s="30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30"/>
      <c r="BK634" s="30"/>
      <c r="BL634" s="30"/>
      <c r="BM634" s="30"/>
      <c r="BN634" s="30"/>
      <c r="BO634" s="30"/>
      <c r="BP634" s="30"/>
      <c r="BQ634" s="30"/>
      <c r="BR634" s="30"/>
      <c r="BS634" s="30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30"/>
      <c r="CE634" s="30"/>
      <c r="CF634" s="30"/>
      <c r="CG634" s="30"/>
      <c r="CH634" s="30"/>
      <c r="CI634" s="30"/>
      <c r="CJ634" s="30"/>
      <c r="CK634" s="30"/>
      <c r="CL634" s="30"/>
      <c r="CM634" s="30"/>
      <c r="CN634" s="1"/>
      <c r="CO634" s="1"/>
      <c r="CP634" s="1"/>
      <c r="CQ634" s="1"/>
      <c r="CR634" s="1"/>
      <c r="CS634" s="1"/>
      <c r="CT634" s="1"/>
      <c r="CU634" s="1"/>
      <c r="CV634" s="1"/>
      <c r="CW634" s="1"/>
    </row>
    <row r="635" spans="2:101" ht="15" hidden="1" customHeight="1" x14ac:dyDescent="0.25"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30"/>
      <c r="W635" s="30"/>
      <c r="X635" s="30"/>
      <c r="Y635" s="30"/>
      <c r="Z635" s="30"/>
      <c r="AA635" s="30"/>
      <c r="AB635" s="30"/>
      <c r="AC635" s="30"/>
      <c r="AD635" s="30"/>
      <c r="AE635" s="30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30"/>
      <c r="AQ635" s="30"/>
      <c r="AR635" s="30"/>
      <c r="AS635" s="30"/>
      <c r="AT635" s="30"/>
      <c r="AU635" s="30"/>
      <c r="AV635" s="30"/>
      <c r="AW635" s="30"/>
      <c r="AX635" s="30"/>
      <c r="AY635" s="30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30"/>
      <c r="BK635" s="30"/>
      <c r="BL635" s="30"/>
      <c r="BM635" s="30"/>
      <c r="BN635" s="30"/>
      <c r="BO635" s="30"/>
      <c r="BP635" s="30"/>
      <c r="BQ635" s="30"/>
      <c r="BR635" s="30"/>
      <c r="BS635" s="30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30"/>
      <c r="CE635" s="30"/>
      <c r="CF635" s="30"/>
      <c r="CG635" s="30"/>
      <c r="CH635" s="30"/>
      <c r="CI635" s="30"/>
      <c r="CJ635" s="30"/>
      <c r="CK635" s="30"/>
      <c r="CL635" s="30"/>
      <c r="CM635" s="30"/>
      <c r="CN635" s="1"/>
      <c r="CO635" s="1"/>
      <c r="CP635" s="1"/>
      <c r="CQ635" s="1"/>
      <c r="CR635" s="1"/>
      <c r="CS635" s="1"/>
      <c r="CT635" s="1"/>
      <c r="CU635" s="1"/>
      <c r="CV635" s="1"/>
      <c r="CW635" s="1"/>
    </row>
    <row r="636" spans="2:101" ht="15" hidden="1" customHeight="1" x14ac:dyDescent="0.25"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30"/>
      <c r="W636" s="30"/>
      <c r="X636" s="30"/>
      <c r="Y636" s="30"/>
      <c r="Z636" s="30"/>
      <c r="AA636" s="30"/>
      <c r="AB636" s="30"/>
      <c r="AC636" s="30"/>
      <c r="AD636" s="30"/>
      <c r="AE636" s="30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30"/>
      <c r="AQ636" s="30"/>
      <c r="AR636" s="30"/>
      <c r="AS636" s="30"/>
      <c r="AT636" s="30"/>
      <c r="AU636" s="30"/>
      <c r="AV636" s="30"/>
      <c r="AW636" s="30"/>
      <c r="AX636" s="30"/>
      <c r="AY636" s="30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30"/>
      <c r="BK636" s="30"/>
      <c r="BL636" s="30"/>
      <c r="BM636" s="30"/>
      <c r="BN636" s="30"/>
      <c r="BO636" s="30"/>
      <c r="BP636" s="30"/>
      <c r="BQ636" s="30"/>
      <c r="BR636" s="30"/>
      <c r="BS636" s="30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30"/>
      <c r="CE636" s="30"/>
      <c r="CF636" s="30"/>
      <c r="CG636" s="30"/>
      <c r="CH636" s="30"/>
      <c r="CI636" s="30"/>
      <c r="CJ636" s="30"/>
      <c r="CK636" s="30"/>
      <c r="CL636" s="30"/>
      <c r="CM636" s="30"/>
      <c r="CN636" s="1"/>
      <c r="CO636" s="1"/>
      <c r="CP636" s="1"/>
      <c r="CQ636" s="1"/>
      <c r="CR636" s="1"/>
      <c r="CS636" s="1"/>
      <c r="CT636" s="1"/>
      <c r="CU636" s="1"/>
      <c r="CV636" s="1"/>
      <c r="CW636" s="1"/>
    </row>
    <row r="637" spans="2:101" ht="15" hidden="1" customHeight="1" x14ac:dyDescent="0.25"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30"/>
      <c r="W637" s="30"/>
      <c r="X637" s="30"/>
      <c r="Y637" s="30"/>
      <c r="Z637" s="30"/>
      <c r="AA637" s="30"/>
      <c r="AB637" s="30"/>
      <c r="AC637" s="30"/>
      <c r="AD637" s="30"/>
      <c r="AE637" s="30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30"/>
      <c r="AQ637" s="30"/>
      <c r="AR637" s="30"/>
      <c r="AS637" s="30"/>
      <c r="AT637" s="30"/>
      <c r="AU637" s="30"/>
      <c r="AV637" s="30"/>
      <c r="AW637" s="30"/>
      <c r="AX637" s="30"/>
      <c r="AY637" s="30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30"/>
      <c r="BK637" s="30"/>
      <c r="BL637" s="30"/>
      <c r="BM637" s="30"/>
      <c r="BN637" s="30"/>
      <c r="BO637" s="30"/>
      <c r="BP637" s="30"/>
      <c r="BQ637" s="30"/>
      <c r="BR637" s="30"/>
      <c r="BS637" s="30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30"/>
      <c r="CE637" s="30"/>
      <c r="CF637" s="30"/>
      <c r="CG637" s="30"/>
      <c r="CH637" s="30"/>
      <c r="CI637" s="30"/>
      <c r="CJ637" s="30"/>
      <c r="CK637" s="30"/>
      <c r="CL637" s="30"/>
      <c r="CM637" s="30"/>
      <c r="CN637" s="1"/>
      <c r="CO637" s="1"/>
      <c r="CP637" s="1"/>
      <c r="CQ637" s="1"/>
      <c r="CR637" s="1"/>
      <c r="CS637" s="1"/>
      <c r="CT637" s="1"/>
      <c r="CU637" s="1"/>
      <c r="CV637" s="1"/>
      <c r="CW637" s="1"/>
    </row>
    <row r="638" spans="2:101" ht="15" hidden="1" customHeight="1" x14ac:dyDescent="0.25"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30"/>
      <c r="W638" s="30"/>
      <c r="X638" s="30"/>
      <c r="Y638" s="30"/>
      <c r="Z638" s="30"/>
      <c r="AA638" s="30"/>
      <c r="AB638" s="30"/>
      <c r="AC638" s="30"/>
      <c r="AD638" s="30"/>
      <c r="AE638" s="30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30"/>
      <c r="AQ638" s="30"/>
      <c r="AR638" s="30"/>
      <c r="AS638" s="30"/>
      <c r="AT638" s="30"/>
      <c r="AU638" s="30"/>
      <c r="AV638" s="30"/>
      <c r="AW638" s="30"/>
      <c r="AX638" s="30"/>
      <c r="AY638" s="30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30"/>
      <c r="BK638" s="30"/>
      <c r="BL638" s="30"/>
      <c r="BM638" s="30"/>
      <c r="BN638" s="30"/>
      <c r="BO638" s="30"/>
      <c r="BP638" s="30"/>
      <c r="BQ638" s="30"/>
      <c r="BR638" s="30"/>
      <c r="BS638" s="30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30"/>
      <c r="CE638" s="30"/>
      <c r="CF638" s="30"/>
      <c r="CG638" s="30"/>
      <c r="CH638" s="30"/>
      <c r="CI638" s="30"/>
      <c r="CJ638" s="30"/>
      <c r="CK638" s="30"/>
      <c r="CL638" s="30"/>
      <c r="CM638" s="30"/>
      <c r="CN638" s="1"/>
      <c r="CO638" s="1"/>
      <c r="CP638" s="1"/>
      <c r="CQ638" s="1"/>
      <c r="CR638" s="1"/>
      <c r="CS638" s="1"/>
      <c r="CT638" s="1"/>
      <c r="CU638" s="1"/>
      <c r="CV638" s="1"/>
      <c r="CW638" s="1"/>
    </row>
    <row r="639" spans="2:101" ht="15" hidden="1" customHeight="1" x14ac:dyDescent="0.25"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30"/>
      <c r="W639" s="30"/>
      <c r="X639" s="30"/>
      <c r="Y639" s="30"/>
      <c r="Z639" s="30"/>
      <c r="AA639" s="30"/>
      <c r="AB639" s="30"/>
      <c r="AC639" s="30"/>
      <c r="AD639" s="30"/>
      <c r="AE639" s="30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30"/>
      <c r="AQ639" s="30"/>
      <c r="AR639" s="30"/>
      <c r="AS639" s="30"/>
      <c r="AT639" s="30"/>
      <c r="AU639" s="30"/>
      <c r="AV639" s="30"/>
      <c r="AW639" s="30"/>
      <c r="AX639" s="30"/>
      <c r="AY639" s="30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30"/>
      <c r="BK639" s="30"/>
      <c r="BL639" s="30"/>
      <c r="BM639" s="30"/>
      <c r="BN639" s="30"/>
      <c r="BO639" s="30"/>
      <c r="BP639" s="30"/>
      <c r="BQ639" s="30"/>
      <c r="BR639" s="30"/>
      <c r="BS639" s="30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30"/>
      <c r="CE639" s="30"/>
      <c r="CF639" s="30"/>
      <c r="CG639" s="30"/>
      <c r="CH639" s="30"/>
      <c r="CI639" s="30"/>
      <c r="CJ639" s="30"/>
      <c r="CK639" s="30"/>
      <c r="CL639" s="30"/>
      <c r="CM639" s="30"/>
      <c r="CN639" s="1"/>
      <c r="CO639" s="1"/>
      <c r="CP639" s="1"/>
      <c r="CQ639" s="1"/>
      <c r="CR639" s="1"/>
      <c r="CS639" s="1"/>
      <c r="CT639" s="1"/>
      <c r="CU639" s="1"/>
      <c r="CV639" s="1"/>
      <c r="CW639" s="1"/>
    </row>
    <row r="640" spans="2:101" ht="15" hidden="1" customHeight="1" x14ac:dyDescent="0.25"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30"/>
      <c r="W640" s="30"/>
      <c r="X640" s="30"/>
      <c r="Y640" s="30"/>
      <c r="Z640" s="30"/>
      <c r="AA640" s="30"/>
      <c r="AB640" s="30"/>
      <c r="AC640" s="30"/>
      <c r="AD640" s="30"/>
      <c r="AE640" s="30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30"/>
      <c r="AQ640" s="30"/>
      <c r="AR640" s="30"/>
      <c r="AS640" s="30"/>
      <c r="AT640" s="30"/>
      <c r="AU640" s="30"/>
      <c r="AV640" s="30"/>
      <c r="AW640" s="30"/>
      <c r="AX640" s="30"/>
      <c r="AY640" s="30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30"/>
      <c r="BK640" s="30"/>
      <c r="BL640" s="30"/>
      <c r="BM640" s="30"/>
      <c r="BN640" s="30"/>
      <c r="BO640" s="30"/>
      <c r="BP640" s="30"/>
      <c r="BQ640" s="30"/>
      <c r="BR640" s="30"/>
      <c r="BS640" s="30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30"/>
      <c r="CE640" s="30"/>
      <c r="CF640" s="30"/>
      <c r="CG640" s="30"/>
      <c r="CH640" s="30"/>
      <c r="CI640" s="30"/>
      <c r="CJ640" s="30"/>
      <c r="CK640" s="30"/>
      <c r="CL640" s="30"/>
      <c r="CM640" s="30"/>
      <c r="CN640" s="1"/>
      <c r="CO640" s="1"/>
      <c r="CP640" s="1"/>
      <c r="CQ640" s="1"/>
      <c r="CR640" s="1"/>
      <c r="CS640" s="1"/>
      <c r="CT640" s="1"/>
      <c r="CU640" s="1"/>
      <c r="CV640" s="1"/>
      <c r="CW640" s="1"/>
    </row>
    <row r="641" spans="2:101" ht="15" hidden="1" customHeight="1" x14ac:dyDescent="0.25"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30"/>
      <c r="W641" s="30"/>
      <c r="X641" s="30"/>
      <c r="Y641" s="30"/>
      <c r="Z641" s="30"/>
      <c r="AA641" s="30"/>
      <c r="AB641" s="30"/>
      <c r="AC641" s="30"/>
      <c r="AD641" s="30"/>
      <c r="AE641" s="30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30"/>
      <c r="AQ641" s="30"/>
      <c r="AR641" s="30"/>
      <c r="AS641" s="30"/>
      <c r="AT641" s="30"/>
      <c r="AU641" s="30"/>
      <c r="AV641" s="30"/>
      <c r="AW641" s="30"/>
      <c r="AX641" s="30"/>
      <c r="AY641" s="30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30"/>
      <c r="BK641" s="30"/>
      <c r="BL641" s="30"/>
      <c r="BM641" s="30"/>
      <c r="BN641" s="30"/>
      <c r="BO641" s="30"/>
      <c r="BP641" s="30"/>
      <c r="BQ641" s="30"/>
      <c r="BR641" s="30"/>
      <c r="BS641" s="30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30"/>
      <c r="CE641" s="30"/>
      <c r="CF641" s="30"/>
      <c r="CG641" s="30"/>
      <c r="CH641" s="30"/>
      <c r="CI641" s="30"/>
      <c r="CJ641" s="30"/>
      <c r="CK641" s="30"/>
      <c r="CL641" s="30"/>
      <c r="CM641" s="30"/>
      <c r="CN641" s="1"/>
      <c r="CO641" s="1"/>
      <c r="CP641" s="1"/>
      <c r="CQ641" s="1"/>
      <c r="CR641" s="1"/>
      <c r="CS641" s="1"/>
      <c r="CT641" s="1"/>
      <c r="CU641" s="1"/>
      <c r="CV641" s="1"/>
      <c r="CW641" s="1"/>
    </row>
    <row r="642" spans="2:101" ht="15" hidden="1" customHeight="1" x14ac:dyDescent="0.25"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30"/>
      <c r="AQ642" s="30"/>
      <c r="AR642" s="30"/>
      <c r="AS642" s="30"/>
      <c r="AT642" s="30"/>
      <c r="AU642" s="30"/>
      <c r="AV642" s="30"/>
      <c r="AW642" s="30"/>
      <c r="AX642" s="30"/>
      <c r="AY642" s="30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30"/>
      <c r="BK642" s="30"/>
      <c r="BL642" s="30"/>
      <c r="BM642" s="30"/>
      <c r="BN642" s="30"/>
      <c r="BO642" s="30"/>
      <c r="BP642" s="30"/>
      <c r="BQ642" s="30"/>
      <c r="BR642" s="30"/>
      <c r="BS642" s="30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30"/>
      <c r="CE642" s="30"/>
      <c r="CF642" s="30"/>
      <c r="CG642" s="30"/>
      <c r="CH642" s="30"/>
      <c r="CI642" s="30"/>
      <c r="CJ642" s="30"/>
      <c r="CK642" s="30"/>
      <c r="CL642" s="30"/>
      <c r="CM642" s="30"/>
      <c r="CN642" s="1"/>
      <c r="CO642" s="1"/>
      <c r="CP642" s="1"/>
      <c r="CQ642" s="1"/>
      <c r="CR642" s="1"/>
      <c r="CS642" s="1"/>
      <c r="CT642" s="1"/>
      <c r="CU642" s="1"/>
      <c r="CV642" s="1"/>
      <c r="CW642" s="1"/>
    </row>
    <row r="643" spans="2:101" ht="15" hidden="1" customHeight="1" x14ac:dyDescent="0.25"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30"/>
      <c r="W643" s="30"/>
      <c r="X643" s="30"/>
      <c r="Y643" s="30"/>
      <c r="Z643" s="30"/>
      <c r="AA643" s="30"/>
      <c r="AB643" s="30"/>
      <c r="AC643" s="30"/>
      <c r="AD643" s="30"/>
      <c r="AE643" s="30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30"/>
      <c r="AQ643" s="30"/>
      <c r="AR643" s="30"/>
      <c r="AS643" s="30"/>
      <c r="AT643" s="30"/>
      <c r="AU643" s="30"/>
      <c r="AV643" s="30"/>
      <c r="AW643" s="30"/>
      <c r="AX643" s="30"/>
      <c r="AY643" s="30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30"/>
      <c r="BK643" s="30"/>
      <c r="BL643" s="30"/>
      <c r="BM643" s="30"/>
      <c r="BN643" s="30"/>
      <c r="BO643" s="30"/>
      <c r="BP643" s="30"/>
      <c r="BQ643" s="30"/>
      <c r="BR643" s="30"/>
      <c r="BS643" s="30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30"/>
      <c r="CE643" s="30"/>
      <c r="CF643" s="30"/>
      <c r="CG643" s="30"/>
      <c r="CH643" s="30"/>
      <c r="CI643" s="30"/>
      <c r="CJ643" s="30"/>
      <c r="CK643" s="30"/>
      <c r="CL643" s="30"/>
      <c r="CM643" s="30"/>
      <c r="CN643" s="1"/>
      <c r="CO643" s="1"/>
      <c r="CP643" s="1"/>
      <c r="CQ643" s="1"/>
      <c r="CR643" s="1"/>
      <c r="CS643" s="1"/>
      <c r="CT643" s="1"/>
      <c r="CU643" s="1"/>
      <c r="CV643" s="1"/>
      <c r="CW643" s="1"/>
    </row>
    <row r="644" spans="2:101" ht="15" hidden="1" customHeight="1" x14ac:dyDescent="0.25"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30"/>
      <c r="W644" s="30"/>
      <c r="X644" s="30"/>
      <c r="Y644" s="30"/>
      <c r="Z644" s="30"/>
      <c r="AA644" s="30"/>
      <c r="AB644" s="30"/>
      <c r="AC644" s="30"/>
      <c r="AD644" s="30"/>
      <c r="AE644" s="30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30"/>
      <c r="AQ644" s="30"/>
      <c r="AR644" s="30"/>
      <c r="AS644" s="30"/>
      <c r="AT644" s="30"/>
      <c r="AU644" s="30"/>
      <c r="AV644" s="30"/>
      <c r="AW644" s="30"/>
      <c r="AX644" s="30"/>
      <c r="AY644" s="30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30"/>
      <c r="BK644" s="30"/>
      <c r="BL644" s="30"/>
      <c r="BM644" s="30"/>
      <c r="BN644" s="30"/>
      <c r="BO644" s="30"/>
      <c r="BP644" s="30"/>
      <c r="BQ644" s="30"/>
      <c r="BR644" s="30"/>
      <c r="BS644" s="30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30"/>
      <c r="CE644" s="30"/>
      <c r="CF644" s="30"/>
      <c r="CG644" s="30"/>
      <c r="CH644" s="30"/>
      <c r="CI644" s="30"/>
      <c r="CJ644" s="30"/>
      <c r="CK644" s="30"/>
      <c r="CL644" s="30"/>
      <c r="CM644" s="30"/>
      <c r="CN644" s="1"/>
      <c r="CO644" s="1"/>
      <c r="CP644" s="1"/>
      <c r="CQ644" s="1"/>
      <c r="CR644" s="1"/>
      <c r="CS644" s="1"/>
      <c r="CT644" s="1"/>
      <c r="CU644" s="1"/>
      <c r="CV644" s="1"/>
      <c r="CW644" s="1"/>
    </row>
    <row r="645" spans="2:101" ht="15" hidden="1" customHeight="1" x14ac:dyDescent="0.25"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30"/>
      <c r="W645" s="30"/>
      <c r="X645" s="30"/>
      <c r="Y645" s="30"/>
      <c r="Z645" s="30"/>
      <c r="AA645" s="30"/>
      <c r="AB645" s="30"/>
      <c r="AC645" s="30"/>
      <c r="AD645" s="30"/>
      <c r="AE645" s="30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30"/>
      <c r="AQ645" s="30"/>
      <c r="AR645" s="30"/>
      <c r="AS645" s="30"/>
      <c r="AT645" s="30"/>
      <c r="AU645" s="30"/>
      <c r="AV645" s="30"/>
      <c r="AW645" s="30"/>
      <c r="AX645" s="30"/>
      <c r="AY645" s="30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30"/>
      <c r="BK645" s="30"/>
      <c r="BL645" s="30"/>
      <c r="BM645" s="30"/>
      <c r="BN645" s="30"/>
      <c r="BO645" s="30"/>
      <c r="BP645" s="30"/>
      <c r="BQ645" s="30"/>
      <c r="BR645" s="30"/>
      <c r="BS645" s="30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30"/>
      <c r="CE645" s="30"/>
      <c r="CF645" s="30"/>
      <c r="CG645" s="30"/>
      <c r="CH645" s="30"/>
      <c r="CI645" s="30"/>
      <c r="CJ645" s="30"/>
      <c r="CK645" s="30"/>
      <c r="CL645" s="30"/>
      <c r="CM645" s="30"/>
      <c r="CN645" s="1"/>
      <c r="CO645" s="1"/>
      <c r="CP645" s="1"/>
      <c r="CQ645" s="1"/>
      <c r="CR645" s="1"/>
      <c r="CS645" s="1"/>
      <c r="CT645" s="1"/>
      <c r="CU645" s="1"/>
      <c r="CV645" s="1"/>
      <c r="CW645" s="1"/>
    </row>
    <row r="646" spans="2:101" ht="15" hidden="1" customHeight="1" x14ac:dyDescent="0.25"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30"/>
      <c r="W646" s="30"/>
      <c r="X646" s="30"/>
      <c r="Y646" s="30"/>
      <c r="Z646" s="30"/>
      <c r="AA646" s="30"/>
      <c r="AB646" s="30"/>
      <c r="AC646" s="30"/>
      <c r="AD646" s="30"/>
      <c r="AE646" s="30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30"/>
      <c r="AQ646" s="30"/>
      <c r="AR646" s="30"/>
      <c r="AS646" s="30"/>
      <c r="AT646" s="30"/>
      <c r="AU646" s="30"/>
      <c r="AV646" s="30"/>
      <c r="AW646" s="30"/>
      <c r="AX646" s="30"/>
      <c r="AY646" s="30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30"/>
      <c r="BK646" s="30"/>
      <c r="BL646" s="30"/>
      <c r="BM646" s="30"/>
      <c r="BN646" s="30"/>
      <c r="BO646" s="30"/>
      <c r="BP646" s="30"/>
      <c r="BQ646" s="30"/>
      <c r="BR646" s="30"/>
      <c r="BS646" s="30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30"/>
      <c r="CE646" s="30"/>
      <c r="CF646" s="30"/>
      <c r="CG646" s="30"/>
      <c r="CH646" s="30"/>
      <c r="CI646" s="30"/>
      <c r="CJ646" s="30"/>
      <c r="CK646" s="30"/>
      <c r="CL646" s="30"/>
      <c r="CM646" s="30"/>
      <c r="CN646" s="1"/>
      <c r="CO646" s="1"/>
      <c r="CP646" s="1"/>
      <c r="CQ646" s="1"/>
      <c r="CR646" s="1"/>
      <c r="CS646" s="1"/>
      <c r="CT646" s="1"/>
      <c r="CU646" s="1"/>
      <c r="CV646" s="1"/>
      <c r="CW646" s="1"/>
    </row>
    <row r="647" spans="2:101" ht="15" hidden="1" customHeight="1" x14ac:dyDescent="0.25"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30"/>
      <c r="W647" s="30"/>
      <c r="X647" s="30"/>
      <c r="Y647" s="30"/>
      <c r="Z647" s="30"/>
      <c r="AA647" s="30"/>
      <c r="AB647" s="30"/>
      <c r="AC647" s="30"/>
      <c r="AD647" s="30"/>
      <c r="AE647" s="30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30"/>
      <c r="AQ647" s="30"/>
      <c r="AR647" s="30"/>
      <c r="AS647" s="30"/>
      <c r="AT647" s="30"/>
      <c r="AU647" s="30"/>
      <c r="AV647" s="30"/>
      <c r="AW647" s="30"/>
      <c r="AX647" s="30"/>
      <c r="AY647" s="30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30"/>
      <c r="BK647" s="30"/>
      <c r="BL647" s="30"/>
      <c r="BM647" s="30"/>
      <c r="BN647" s="30"/>
      <c r="BO647" s="30"/>
      <c r="BP647" s="30"/>
      <c r="BQ647" s="30"/>
      <c r="BR647" s="30"/>
      <c r="BS647" s="30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30"/>
      <c r="CE647" s="30"/>
      <c r="CF647" s="30"/>
      <c r="CG647" s="30"/>
      <c r="CH647" s="30"/>
      <c r="CI647" s="30"/>
      <c r="CJ647" s="30"/>
      <c r="CK647" s="30"/>
      <c r="CL647" s="30"/>
      <c r="CM647" s="30"/>
      <c r="CN647" s="1"/>
      <c r="CO647" s="1"/>
      <c r="CP647" s="1"/>
      <c r="CQ647" s="1"/>
      <c r="CR647" s="1"/>
      <c r="CS647" s="1"/>
      <c r="CT647" s="1"/>
      <c r="CU647" s="1"/>
      <c r="CV647" s="1"/>
      <c r="CW647" s="1"/>
    </row>
    <row r="648" spans="2:101" ht="15" hidden="1" customHeight="1" x14ac:dyDescent="0.25"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30"/>
      <c r="W648" s="30"/>
      <c r="X648" s="30"/>
      <c r="Y648" s="30"/>
      <c r="Z648" s="30"/>
      <c r="AA648" s="30"/>
      <c r="AB648" s="30"/>
      <c r="AC648" s="30"/>
      <c r="AD648" s="30"/>
      <c r="AE648" s="30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30"/>
      <c r="AQ648" s="30"/>
      <c r="AR648" s="30"/>
      <c r="AS648" s="30"/>
      <c r="AT648" s="30"/>
      <c r="AU648" s="30"/>
      <c r="AV648" s="30"/>
      <c r="AW648" s="30"/>
      <c r="AX648" s="30"/>
      <c r="AY648" s="30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30"/>
      <c r="BK648" s="30"/>
      <c r="BL648" s="30"/>
      <c r="BM648" s="30"/>
      <c r="BN648" s="30"/>
      <c r="BO648" s="30"/>
      <c r="BP648" s="30"/>
      <c r="BQ648" s="30"/>
      <c r="BR648" s="30"/>
      <c r="BS648" s="30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30"/>
      <c r="CE648" s="30"/>
      <c r="CF648" s="30"/>
      <c r="CG648" s="30"/>
      <c r="CH648" s="30"/>
      <c r="CI648" s="30"/>
      <c r="CJ648" s="30"/>
      <c r="CK648" s="30"/>
      <c r="CL648" s="30"/>
      <c r="CM648" s="30"/>
      <c r="CN648" s="1"/>
      <c r="CO648" s="1"/>
      <c r="CP648" s="1"/>
      <c r="CQ648" s="1"/>
      <c r="CR648" s="1"/>
      <c r="CS648" s="1"/>
      <c r="CT648" s="1"/>
      <c r="CU648" s="1"/>
      <c r="CV648" s="1"/>
      <c r="CW648" s="1"/>
    </row>
    <row r="649" spans="2:101" ht="15" hidden="1" customHeight="1" x14ac:dyDescent="0.25"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30"/>
      <c r="W649" s="30"/>
      <c r="X649" s="30"/>
      <c r="Y649" s="30"/>
      <c r="Z649" s="30"/>
      <c r="AA649" s="30"/>
      <c r="AB649" s="30"/>
      <c r="AC649" s="30"/>
      <c r="AD649" s="30"/>
      <c r="AE649" s="30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30"/>
      <c r="AQ649" s="30"/>
      <c r="AR649" s="30"/>
      <c r="AS649" s="30"/>
      <c r="AT649" s="30"/>
      <c r="AU649" s="30"/>
      <c r="AV649" s="30"/>
      <c r="AW649" s="30"/>
      <c r="AX649" s="30"/>
      <c r="AY649" s="30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30"/>
      <c r="BK649" s="30"/>
      <c r="BL649" s="30"/>
      <c r="BM649" s="30"/>
      <c r="BN649" s="30"/>
      <c r="BO649" s="30"/>
      <c r="BP649" s="30"/>
      <c r="BQ649" s="30"/>
      <c r="BR649" s="30"/>
      <c r="BS649" s="30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30"/>
      <c r="CE649" s="30"/>
      <c r="CF649" s="30"/>
      <c r="CG649" s="30"/>
      <c r="CH649" s="30"/>
      <c r="CI649" s="30"/>
      <c r="CJ649" s="30"/>
      <c r="CK649" s="30"/>
      <c r="CL649" s="30"/>
      <c r="CM649" s="30"/>
      <c r="CN649" s="1"/>
      <c r="CO649" s="1"/>
      <c r="CP649" s="1"/>
      <c r="CQ649" s="1"/>
      <c r="CR649" s="1"/>
      <c r="CS649" s="1"/>
      <c r="CT649" s="1"/>
      <c r="CU649" s="1"/>
      <c r="CV649" s="1"/>
      <c r="CW649" s="1"/>
    </row>
    <row r="650" spans="2:101" ht="15" hidden="1" customHeight="1" x14ac:dyDescent="0.25"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30"/>
      <c r="W650" s="30"/>
      <c r="X650" s="30"/>
      <c r="Y650" s="30"/>
      <c r="Z650" s="30"/>
      <c r="AA650" s="30"/>
      <c r="AB650" s="30"/>
      <c r="AC650" s="30"/>
      <c r="AD650" s="30"/>
      <c r="AE650" s="30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30"/>
      <c r="AQ650" s="30"/>
      <c r="AR650" s="30"/>
      <c r="AS650" s="30"/>
      <c r="AT650" s="30"/>
      <c r="AU650" s="30"/>
      <c r="AV650" s="30"/>
      <c r="AW650" s="30"/>
      <c r="AX650" s="30"/>
      <c r="AY650" s="30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30"/>
      <c r="BK650" s="30"/>
      <c r="BL650" s="30"/>
      <c r="BM650" s="30"/>
      <c r="BN650" s="30"/>
      <c r="BO650" s="30"/>
      <c r="BP650" s="30"/>
      <c r="BQ650" s="30"/>
      <c r="BR650" s="30"/>
      <c r="BS650" s="30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30"/>
      <c r="CE650" s="30"/>
      <c r="CF650" s="30"/>
      <c r="CG650" s="30"/>
      <c r="CH650" s="30"/>
      <c r="CI650" s="30"/>
      <c r="CJ650" s="30"/>
      <c r="CK650" s="30"/>
      <c r="CL650" s="30"/>
      <c r="CM650" s="30"/>
      <c r="CN650" s="1"/>
      <c r="CO650" s="1"/>
      <c r="CP650" s="1"/>
      <c r="CQ650" s="1"/>
      <c r="CR650" s="1"/>
      <c r="CS650" s="1"/>
      <c r="CT650" s="1"/>
      <c r="CU650" s="1"/>
      <c r="CV650" s="1"/>
      <c r="CW650" s="1"/>
    </row>
    <row r="651" spans="2:101" ht="15" hidden="1" customHeight="1" x14ac:dyDescent="0.25"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30"/>
      <c r="W651" s="30"/>
      <c r="X651" s="30"/>
      <c r="Y651" s="30"/>
      <c r="Z651" s="30"/>
      <c r="AA651" s="30"/>
      <c r="AB651" s="30"/>
      <c r="AC651" s="30"/>
      <c r="AD651" s="30"/>
      <c r="AE651" s="30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30"/>
      <c r="AQ651" s="30"/>
      <c r="AR651" s="30"/>
      <c r="AS651" s="30"/>
      <c r="AT651" s="30"/>
      <c r="AU651" s="30"/>
      <c r="AV651" s="30"/>
      <c r="AW651" s="30"/>
      <c r="AX651" s="30"/>
      <c r="AY651" s="30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30"/>
      <c r="BK651" s="30"/>
      <c r="BL651" s="30"/>
      <c r="BM651" s="30"/>
      <c r="BN651" s="30"/>
      <c r="BO651" s="30"/>
      <c r="BP651" s="30"/>
      <c r="BQ651" s="30"/>
      <c r="BR651" s="30"/>
      <c r="BS651" s="30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30"/>
      <c r="CE651" s="30"/>
      <c r="CF651" s="30"/>
      <c r="CG651" s="30"/>
      <c r="CH651" s="30"/>
      <c r="CI651" s="30"/>
      <c r="CJ651" s="30"/>
      <c r="CK651" s="30"/>
      <c r="CL651" s="30"/>
      <c r="CM651" s="30"/>
      <c r="CN651" s="1"/>
      <c r="CO651" s="1"/>
      <c r="CP651" s="1"/>
      <c r="CQ651" s="1"/>
      <c r="CR651" s="1"/>
      <c r="CS651" s="1"/>
      <c r="CT651" s="1"/>
      <c r="CU651" s="1"/>
      <c r="CV651" s="1"/>
      <c r="CW651" s="1"/>
    </row>
    <row r="652" spans="2:101" ht="15" hidden="1" customHeight="1" x14ac:dyDescent="0.25"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30"/>
      <c r="W652" s="30"/>
      <c r="X652" s="30"/>
      <c r="Y652" s="30"/>
      <c r="Z652" s="30"/>
      <c r="AA652" s="30"/>
      <c r="AB652" s="30"/>
      <c r="AC652" s="30"/>
      <c r="AD652" s="30"/>
      <c r="AE652" s="30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30"/>
      <c r="AQ652" s="30"/>
      <c r="AR652" s="30"/>
      <c r="AS652" s="30"/>
      <c r="AT652" s="30"/>
      <c r="AU652" s="30"/>
      <c r="AV652" s="30"/>
      <c r="AW652" s="30"/>
      <c r="AX652" s="30"/>
      <c r="AY652" s="30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30"/>
      <c r="BK652" s="30"/>
      <c r="BL652" s="30"/>
      <c r="BM652" s="30"/>
      <c r="BN652" s="30"/>
      <c r="BO652" s="30"/>
      <c r="BP652" s="30"/>
      <c r="BQ652" s="30"/>
      <c r="BR652" s="30"/>
      <c r="BS652" s="30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30"/>
      <c r="CE652" s="30"/>
      <c r="CF652" s="30"/>
      <c r="CG652" s="30"/>
      <c r="CH652" s="30"/>
      <c r="CI652" s="30"/>
      <c r="CJ652" s="30"/>
      <c r="CK652" s="30"/>
      <c r="CL652" s="30"/>
      <c r="CM652" s="30"/>
      <c r="CN652" s="1"/>
      <c r="CO652" s="1"/>
      <c r="CP652" s="1"/>
      <c r="CQ652" s="1"/>
      <c r="CR652" s="1"/>
      <c r="CS652" s="1"/>
      <c r="CT652" s="1"/>
      <c r="CU652" s="1"/>
      <c r="CV652" s="1"/>
      <c r="CW652" s="1"/>
    </row>
    <row r="653" spans="2:101" ht="15" hidden="1" customHeight="1" x14ac:dyDescent="0.25"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30"/>
      <c r="W653" s="30"/>
      <c r="X653" s="30"/>
      <c r="Y653" s="30"/>
      <c r="Z653" s="30"/>
      <c r="AA653" s="30"/>
      <c r="AB653" s="30"/>
      <c r="AC653" s="30"/>
      <c r="AD653" s="30"/>
      <c r="AE653" s="30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30"/>
      <c r="AQ653" s="30"/>
      <c r="AR653" s="30"/>
      <c r="AS653" s="30"/>
      <c r="AT653" s="30"/>
      <c r="AU653" s="30"/>
      <c r="AV653" s="30"/>
      <c r="AW653" s="30"/>
      <c r="AX653" s="30"/>
      <c r="AY653" s="30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30"/>
      <c r="BK653" s="30"/>
      <c r="BL653" s="30"/>
      <c r="BM653" s="30"/>
      <c r="BN653" s="30"/>
      <c r="BO653" s="30"/>
      <c r="BP653" s="30"/>
      <c r="BQ653" s="30"/>
      <c r="BR653" s="30"/>
      <c r="BS653" s="30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30"/>
      <c r="CE653" s="30"/>
      <c r="CF653" s="30"/>
      <c r="CG653" s="30"/>
      <c r="CH653" s="30"/>
      <c r="CI653" s="30"/>
      <c r="CJ653" s="30"/>
      <c r="CK653" s="30"/>
      <c r="CL653" s="30"/>
      <c r="CM653" s="30"/>
      <c r="CN653" s="1"/>
      <c r="CO653" s="1"/>
      <c r="CP653" s="1"/>
      <c r="CQ653" s="1"/>
      <c r="CR653" s="1"/>
      <c r="CS653" s="1"/>
      <c r="CT653" s="1"/>
      <c r="CU653" s="1"/>
      <c r="CV653" s="1"/>
      <c r="CW653" s="1"/>
    </row>
    <row r="654" spans="2:101" ht="15" hidden="1" customHeight="1" x14ac:dyDescent="0.25"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30"/>
      <c r="W654" s="30"/>
      <c r="X654" s="30"/>
      <c r="Y654" s="30"/>
      <c r="Z654" s="30"/>
      <c r="AA654" s="30"/>
      <c r="AB654" s="30"/>
      <c r="AC654" s="30"/>
      <c r="AD654" s="30"/>
      <c r="AE654" s="30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30"/>
      <c r="AQ654" s="30"/>
      <c r="AR654" s="30"/>
      <c r="AS654" s="30"/>
      <c r="AT654" s="30"/>
      <c r="AU654" s="30"/>
      <c r="AV654" s="30"/>
      <c r="AW654" s="30"/>
      <c r="AX654" s="30"/>
      <c r="AY654" s="30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30"/>
      <c r="BK654" s="30"/>
      <c r="BL654" s="30"/>
      <c r="BM654" s="30"/>
      <c r="BN654" s="30"/>
      <c r="BO654" s="30"/>
      <c r="BP654" s="30"/>
      <c r="BQ654" s="30"/>
      <c r="BR654" s="30"/>
      <c r="BS654" s="30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30"/>
      <c r="CE654" s="30"/>
      <c r="CF654" s="30"/>
      <c r="CG654" s="30"/>
      <c r="CH654" s="30"/>
      <c r="CI654" s="30"/>
      <c r="CJ654" s="30"/>
      <c r="CK654" s="30"/>
      <c r="CL654" s="30"/>
      <c r="CM654" s="30"/>
      <c r="CN654" s="1"/>
      <c r="CO654" s="1"/>
      <c r="CP654" s="1"/>
      <c r="CQ654" s="1"/>
      <c r="CR654" s="1"/>
      <c r="CS654" s="1"/>
      <c r="CT654" s="1"/>
      <c r="CU654" s="1"/>
      <c r="CV654" s="1"/>
      <c r="CW654" s="1"/>
    </row>
    <row r="655" spans="2:101" ht="15" hidden="1" customHeight="1" x14ac:dyDescent="0.25"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30"/>
      <c r="W655" s="30"/>
      <c r="X655" s="30"/>
      <c r="Y655" s="30"/>
      <c r="Z655" s="30"/>
      <c r="AA655" s="30"/>
      <c r="AB655" s="30"/>
      <c r="AC655" s="30"/>
      <c r="AD655" s="30"/>
      <c r="AE655" s="30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30"/>
      <c r="AQ655" s="30"/>
      <c r="AR655" s="30"/>
      <c r="AS655" s="30"/>
      <c r="AT655" s="30"/>
      <c r="AU655" s="30"/>
      <c r="AV655" s="30"/>
      <c r="AW655" s="30"/>
      <c r="AX655" s="30"/>
      <c r="AY655" s="30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30"/>
      <c r="BK655" s="30"/>
      <c r="BL655" s="30"/>
      <c r="BM655" s="30"/>
      <c r="BN655" s="30"/>
      <c r="BO655" s="30"/>
      <c r="BP655" s="30"/>
      <c r="BQ655" s="30"/>
      <c r="BR655" s="30"/>
      <c r="BS655" s="30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30"/>
      <c r="CE655" s="30"/>
      <c r="CF655" s="30"/>
      <c r="CG655" s="30"/>
      <c r="CH655" s="30"/>
      <c r="CI655" s="30"/>
      <c r="CJ655" s="30"/>
      <c r="CK655" s="30"/>
      <c r="CL655" s="30"/>
      <c r="CM655" s="30"/>
      <c r="CN655" s="1"/>
      <c r="CO655" s="1"/>
      <c r="CP655" s="1"/>
      <c r="CQ655" s="1"/>
      <c r="CR655" s="1"/>
      <c r="CS655" s="1"/>
      <c r="CT655" s="1"/>
      <c r="CU655" s="1"/>
      <c r="CV655" s="1"/>
      <c r="CW655" s="1"/>
    </row>
    <row r="656" spans="2:101" ht="15" hidden="1" customHeight="1" x14ac:dyDescent="0.25"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30"/>
      <c r="W656" s="30"/>
      <c r="X656" s="30"/>
      <c r="Y656" s="30"/>
      <c r="Z656" s="30"/>
      <c r="AA656" s="30"/>
      <c r="AB656" s="30"/>
      <c r="AC656" s="30"/>
      <c r="AD656" s="30"/>
      <c r="AE656" s="30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30"/>
      <c r="AQ656" s="30"/>
      <c r="AR656" s="30"/>
      <c r="AS656" s="30"/>
      <c r="AT656" s="30"/>
      <c r="AU656" s="30"/>
      <c r="AV656" s="30"/>
      <c r="AW656" s="30"/>
      <c r="AX656" s="30"/>
      <c r="AY656" s="30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30"/>
      <c r="BK656" s="30"/>
      <c r="BL656" s="30"/>
      <c r="BM656" s="30"/>
      <c r="BN656" s="30"/>
      <c r="BO656" s="30"/>
      <c r="BP656" s="30"/>
      <c r="BQ656" s="30"/>
      <c r="BR656" s="30"/>
      <c r="BS656" s="30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30"/>
      <c r="CE656" s="30"/>
      <c r="CF656" s="30"/>
      <c r="CG656" s="30"/>
      <c r="CH656" s="30"/>
      <c r="CI656" s="30"/>
      <c r="CJ656" s="30"/>
      <c r="CK656" s="30"/>
      <c r="CL656" s="30"/>
      <c r="CM656" s="30"/>
      <c r="CN656" s="1"/>
      <c r="CO656" s="1"/>
      <c r="CP656" s="1"/>
      <c r="CQ656" s="1"/>
      <c r="CR656" s="1"/>
      <c r="CS656" s="1"/>
      <c r="CT656" s="1"/>
      <c r="CU656" s="1"/>
      <c r="CV656" s="1"/>
      <c r="CW656" s="1"/>
    </row>
    <row r="657" spans="2:101" ht="15" hidden="1" customHeight="1" x14ac:dyDescent="0.25"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30"/>
      <c r="W657" s="30"/>
      <c r="X657" s="30"/>
      <c r="Y657" s="30"/>
      <c r="Z657" s="30"/>
      <c r="AA657" s="30"/>
      <c r="AB657" s="30"/>
      <c r="AC657" s="30"/>
      <c r="AD657" s="30"/>
      <c r="AE657" s="30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30"/>
      <c r="AQ657" s="30"/>
      <c r="AR657" s="30"/>
      <c r="AS657" s="30"/>
      <c r="AT657" s="30"/>
      <c r="AU657" s="30"/>
      <c r="AV657" s="30"/>
      <c r="AW657" s="30"/>
      <c r="AX657" s="30"/>
      <c r="AY657" s="30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30"/>
      <c r="BK657" s="30"/>
      <c r="BL657" s="30"/>
      <c r="BM657" s="30"/>
      <c r="BN657" s="30"/>
      <c r="BO657" s="30"/>
      <c r="BP657" s="30"/>
      <c r="BQ657" s="30"/>
      <c r="BR657" s="30"/>
      <c r="BS657" s="30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30"/>
      <c r="CE657" s="30"/>
      <c r="CF657" s="30"/>
      <c r="CG657" s="30"/>
      <c r="CH657" s="30"/>
      <c r="CI657" s="30"/>
      <c r="CJ657" s="30"/>
      <c r="CK657" s="30"/>
      <c r="CL657" s="30"/>
      <c r="CM657" s="30"/>
      <c r="CN657" s="1"/>
      <c r="CO657" s="1"/>
      <c r="CP657" s="1"/>
      <c r="CQ657" s="1"/>
      <c r="CR657" s="1"/>
      <c r="CS657" s="1"/>
      <c r="CT657" s="1"/>
      <c r="CU657" s="1"/>
      <c r="CV657" s="1"/>
      <c r="CW657" s="1"/>
    </row>
    <row r="658" spans="2:101" ht="15" hidden="1" customHeight="1" x14ac:dyDescent="0.25"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30"/>
      <c r="W658" s="30"/>
      <c r="X658" s="30"/>
      <c r="Y658" s="30"/>
      <c r="Z658" s="30"/>
      <c r="AA658" s="30"/>
      <c r="AB658" s="30"/>
      <c r="AC658" s="30"/>
      <c r="AD658" s="30"/>
      <c r="AE658" s="30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30"/>
      <c r="AQ658" s="30"/>
      <c r="AR658" s="30"/>
      <c r="AS658" s="30"/>
      <c r="AT658" s="30"/>
      <c r="AU658" s="30"/>
      <c r="AV658" s="30"/>
      <c r="AW658" s="30"/>
      <c r="AX658" s="30"/>
      <c r="AY658" s="30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30"/>
      <c r="BK658" s="30"/>
      <c r="BL658" s="30"/>
      <c r="BM658" s="30"/>
      <c r="BN658" s="30"/>
      <c r="BO658" s="30"/>
      <c r="BP658" s="30"/>
      <c r="BQ658" s="30"/>
      <c r="BR658" s="30"/>
      <c r="BS658" s="30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30"/>
      <c r="CE658" s="30"/>
      <c r="CF658" s="30"/>
      <c r="CG658" s="30"/>
      <c r="CH658" s="30"/>
      <c r="CI658" s="30"/>
      <c r="CJ658" s="30"/>
      <c r="CK658" s="30"/>
      <c r="CL658" s="30"/>
      <c r="CM658" s="30"/>
      <c r="CN658" s="1"/>
      <c r="CO658" s="1"/>
      <c r="CP658" s="1"/>
      <c r="CQ658" s="1"/>
      <c r="CR658" s="1"/>
      <c r="CS658" s="1"/>
      <c r="CT658" s="1"/>
      <c r="CU658" s="1"/>
      <c r="CV658" s="1"/>
      <c r="CW658" s="1"/>
    </row>
    <row r="659" spans="2:101" ht="15" hidden="1" customHeight="1" x14ac:dyDescent="0.25"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30"/>
      <c r="W659" s="30"/>
      <c r="X659" s="30"/>
      <c r="Y659" s="30"/>
      <c r="Z659" s="30"/>
      <c r="AA659" s="30"/>
      <c r="AB659" s="30"/>
      <c r="AC659" s="30"/>
      <c r="AD659" s="30"/>
      <c r="AE659" s="30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30"/>
      <c r="AQ659" s="30"/>
      <c r="AR659" s="30"/>
      <c r="AS659" s="30"/>
      <c r="AT659" s="30"/>
      <c r="AU659" s="30"/>
      <c r="AV659" s="30"/>
      <c r="AW659" s="30"/>
      <c r="AX659" s="30"/>
      <c r="AY659" s="30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30"/>
      <c r="BK659" s="30"/>
      <c r="BL659" s="30"/>
      <c r="BM659" s="30"/>
      <c r="BN659" s="30"/>
      <c r="BO659" s="30"/>
      <c r="BP659" s="30"/>
      <c r="BQ659" s="30"/>
      <c r="BR659" s="30"/>
      <c r="BS659" s="30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30"/>
      <c r="CE659" s="30"/>
      <c r="CF659" s="30"/>
      <c r="CG659" s="30"/>
      <c r="CH659" s="30"/>
      <c r="CI659" s="30"/>
      <c r="CJ659" s="30"/>
      <c r="CK659" s="30"/>
      <c r="CL659" s="30"/>
      <c r="CM659" s="30"/>
      <c r="CN659" s="1"/>
      <c r="CO659" s="1"/>
      <c r="CP659" s="1"/>
      <c r="CQ659" s="1"/>
      <c r="CR659" s="1"/>
      <c r="CS659" s="1"/>
      <c r="CT659" s="1"/>
      <c r="CU659" s="1"/>
      <c r="CV659" s="1"/>
      <c r="CW659" s="1"/>
    </row>
    <row r="660" spans="2:101" ht="15" hidden="1" customHeight="1" x14ac:dyDescent="0.25"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30"/>
      <c r="W660" s="30"/>
      <c r="X660" s="30"/>
      <c r="Y660" s="30"/>
      <c r="Z660" s="30"/>
      <c r="AA660" s="30"/>
      <c r="AB660" s="30"/>
      <c r="AC660" s="30"/>
      <c r="AD660" s="30"/>
      <c r="AE660" s="30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30"/>
      <c r="AQ660" s="30"/>
      <c r="AR660" s="30"/>
      <c r="AS660" s="30"/>
      <c r="AT660" s="30"/>
      <c r="AU660" s="30"/>
      <c r="AV660" s="30"/>
      <c r="AW660" s="30"/>
      <c r="AX660" s="30"/>
      <c r="AY660" s="30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30"/>
      <c r="BK660" s="30"/>
      <c r="BL660" s="30"/>
      <c r="BM660" s="30"/>
      <c r="BN660" s="30"/>
      <c r="BO660" s="30"/>
      <c r="BP660" s="30"/>
      <c r="BQ660" s="30"/>
      <c r="BR660" s="30"/>
      <c r="BS660" s="30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30"/>
      <c r="CE660" s="30"/>
      <c r="CF660" s="30"/>
      <c r="CG660" s="30"/>
      <c r="CH660" s="30"/>
      <c r="CI660" s="30"/>
      <c r="CJ660" s="30"/>
      <c r="CK660" s="30"/>
      <c r="CL660" s="30"/>
      <c r="CM660" s="30"/>
      <c r="CN660" s="1"/>
      <c r="CO660" s="1"/>
      <c r="CP660" s="1"/>
      <c r="CQ660" s="1"/>
      <c r="CR660" s="1"/>
      <c r="CS660" s="1"/>
      <c r="CT660" s="1"/>
      <c r="CU660" s="1"/>
      <c r="CV660" s="1"/>
      <c r="CW660" s="1"/>
    </row>
    <row r="661" spans="2:101" ht="15" hidden="1" customHeight="1" x14ac:dyDescent="0.25"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30"/>
      <c r="W661" s="30"/>
      <c r="X661" s="30"/>
      <c r="Y661" s="30"/>
      <c r="Z661" s="30"/>
      <c r="AA661" s="30"/>
      <c r="AB661" s="30"/>
      <c r="AC661" s="30"/>
      <c r="AD661" s="30"/>
      <c r="AE661" s="30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30"/>
      <c r="AQ661" s="30"/>
      <c r="AR661" s="30"/>
      <c r="AS661" s="30"/>
      <c r="AT661" s="30"/>
      <c r="AU661" s="30"/>
      <c r="AV661" s="30"/>
      <c r="AW661" s="30"/>
      <c r="AX661" s="30"/>
      <c r="AY661" s="30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30"/>
      <c r="BK661" s="30"/>
      <c r="BL661" s="30"/>
      <c r="BM661" s="30"/>
      <c r="BN661" s="30"/>
      <c r="BO661" s="30"/>
      <c r="BP661" s="30"/>
      <c r="BQ661" s="30"/>
      <c r="BR661" s="30"/>
      <c r="BS661" s="30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30"/>
      <c r="CE661" s="30"/>
      <c r="CF661" s="30"/>
      <c r="CG661" s="30"/>
      <c r="CH661" s="30"/>
      <c r="CI661" s="30"/>
      <c r="CJ661" s="30"/>
      <c r="CK661" s="30"/>
      <c r="CL661" s="30"/>
      <c r="CM661" s="30"/>
      <c r="CN661" s="1"/>
      <c r="CO661" s="1"/>
      <c r="CP661" s="1"/>
      <c r="CQ661" s="1"/>
      <c r="CR661" s="1"/>
      <c r="CS661" s="1"/>
      <c r="CT661" s="1"/>
      <c r="CU661" s="1"/>
      <c r="CV661" s="1"/>
      <c r="CW661" s="1"/>
    </row>
    <row r="662" spans="2:101" ht="15" hidden="1" customHeight="1" x14ac:dyDescent="0.25"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30"/>
      <c r="W662" s="30"/>
      <c r="X662" s="30"/>
      <c r="Y662" s="30"/>
      <c r="Z662" s="30"/>
      <c r="AA662" s="30"/>
      <c r="AB662" s="30"/>
      <c r="AC662" s="30"/>
      <c r="AD662" s="30"/>
      <c r="AE662" s="30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30"/>
      <c r="AQ662" s="30"/>
      <c r="AR662" s="30"/>
      <c r="AS662" s="30"/>
      <c r="AT662" s="30"/>
      <c r="AU662" s="30"/>
      <c r="AV662" s="30"/>
      <c r="AW662" s="30"/>
      <c r="AX662" s="30"/>
      <c r="AY662" s="30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30"/>
      <c r="BK662" s="30"/>
      <c r="BL662" s="30"/>
      <c r="BM662" s="30"/>
      <c r="BN662" s="30"/>
      <c r="BO662" s="30"/>
      <c r="BP662" s="30"/>
      <c r="BQ662" s="30"/>
      <c r="BR662" s="30"/>
      <c r="BS662" s="30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30"/>
      <c r="CE662" s="30"/>
      <c r="CF662" s="30"/>
      <c r="CG662" s="30"/>
      <c r="CH662" s="30"/>
      <c r="CI662" s="30"/>
      <c r="CJ662" s="30"/>
      <c r="CK662" s="30"/>
      <c r="CL662" s="30"/>
      <c r="CM662" s="30"/>
      <c r="CN662" s="1"/>
      <c r="CO662" s="1"/>
      <c r="CP662" s="1"/>
      <c r="CQ662" s="1"/>
      <c r="CR662" s="1"/>
      <c r="CS662" s="1"/>
      <c r="CT662" s="1"/>
      <c r="CU662" s="1"/>
      <c r="CV662" s="1"/>
      <c r="CW662" s="1"/>
    </row>
    <row r="663" spans="2:101" ht="15" hidden="1" customHeight="1" x14ac:dyDescent="0.25"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30"/>
      <c r="W663" s="30"/>
      <c r="X663" s="30"/>
      <c r="Y663" s="30"/>
      <c r="Z663" s="30"/>
      <c r="AA663" s="30"/>
      <c r="AB663" s="30"/>
      <c r="AC663" s="30"/>
      <c r="AD663" s="30"/>
      <c r="AE663" s="30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30"/>
      <c r="AQ663" s="30"/>
      <c r="AR663" s="30"/>
      <c r="AS663" s="30"/>
      <c r="AT663" s="30"/>
      <c r="AU663" s="30"/>
      <c r="AV663" s="30"/>
      <c r="AW663" s="30"/>
      <c r="AX663" s="30"/>
      <c r="AY663" s="30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30"/>
      <c r="BK663" s="30"/>
      <c r="BL663" s="30"/>
      <c r="BM663" s="30"/>
      <c r="BN663" s="30"/>
      <c r="BO663" s="30"/>
      <c r="BP663" s="30"/>
      <c r="BQ663" s="30"/>
      <c r="BR663" s="30"/>
      <c r="BS663" s="30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30"/>
      <c r="CE663" s="30"/>
      <c r="CF663" s="30"/>
      <c r="CG663" s="30"/>
      <c r="CH663" s="30"/>
      <c r="CI663" s="30"/>
      <c r="CJ663" s="30"/>
      <c r="CK663" s="30"/>
      <c r="CL663" s="30"/>
      <c r="CM663" s="30"/>
      <c r="CN663" s="1"/>
      <c r="CO663" s="1"/>
      <c r="CP663" s="1"/>
      <c r="CQ663" s="1"/>
      <c r="CR663" s="1"/>
      <c r="CS663" s="1"/>
      <c r="CT663" s="1"/>
      <c r="CU663" s="1"/>
      <c r="CV663" s="1"/>
      <c r="CW663" s="1"/>
    </row>
    <row r="664" spans="2:101" ht="15" hidden="1" customHeight="1" x14ac:dyDescent="0.25"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30"/>
      <c r="W664" s="30"/>
      <c r="X664" s="30"/>
      <c r="Y664" s="30"/>
      <c r="Z664" s="30"/>
      <c r="AA664" s="30"/>
      <c r="AB664" s="30"/>
      <c r="AC664" s="30"/>
      <c r="AD664" s="30"/>
      <c r="AE664" s="30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30"/>
      <c r="AQ664" s="30"/>
      <c r="AR664" s="30"/>
      <c r="AS664" s="30"/>
      <c r="AT664" s="30"/>
      <c r="AU664" s="30"/>
      <c r="AV664" s="30"/>
      <c r="AW664" s="30"/>
      <c r="AX664" s="30"/>
      <c r="AY664" s="30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30"/>
      <c r="BK664" s="30"/>
      <c r="BL664" s="30"/>
      <c r="BM664" s="30"/>
      <c r="BN664" s="30"/>
      <c r="BO664" s="30"/>
      <c r="BP664" s="30"/>
      <c r="BQ664" s="30"/>
      <c r="BR664" s="30"/>
      <c r="BS664" s="30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30"/>
      <c r="CE664" s="30"/>
      <c r="CF664" s="30"/>
      <c r="CG664" s="30"/>
      <c r="CH664" s="30"/>
      <c r="CI664" s="30"/>
      <c r="CJ664" s="30"/>
      <c r="CK664" s="30"/>
      <c r="CL664" s="30"/>
      <c r="CM664" s="30"/>
      <c r="CN664" s="1"/>
      <c r="CO664" s="1"/>
      <c r="CP664" s="1"/>
      <c r="CQ664" s="1"/>
      <c r="CR664" s="1"/>
      <c r="CS664" s="1"/>
      <c r="CT664" s="1"/>
      <c r="CU664" s="1"/>
      <c r="CV664" s="1"/>
      <c r="CW664" s="1"/>
    </row>
    <row r="665" spans="2:101" ht="15" hidden="1" customHeight="1" x14ac:dyDescent="0.25"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30"/>
      <c r="W665" s="30"/>
      <c r="X665" s="30"/>
      <c r="Y665" s="30"/>
      <c r="Z665" s="30"/>
      <c r="AA665" s="30"/>
      <c r="AB665" s="30"/>
      <c r="AC665" s="30"/>
      <c r="AD665" s="30"/>
      <c r="AE665" s="30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30"/>
      <c r="AQ665" s="30"/>
      <c r="AR665" s="30"/>
      <c r="AS665" s="30"/>
      <c r="AT665" s="30"/>
      <c r="AU665" s="30"/>
      <c r="AV665" s="30"/>
      <c r="AW665" s="30"/>
      <c r="AX665" s="30"/>
      <c r="AY665" s="30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30"/>
      <c r="BK665" s="30"/>
      <c r="BL665" s="30"/>
      <c r="BM665" s="30"/>
      <c r="BN665" s="30"/>
      <c r="BO665" s="30"/>
      <c r="BP665" s="30"/>
      <c r="BQ665" s="30"/>
      <c r="BR665" s="30"/>
      <c r="BS665" s="30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30"/>
      <c r="CE665" s="30"/>
      <c r="CF665" s="30"/>
      <c r="CG665" s="30"/>
      <c r="CH665" s="30"/>
      <c r="CI665" s="30"/>
      <c r="CJ665" s="30"/>
      <c r="CK665" s="30"/>
      <c r="CL665" s="30"/>
      <c r="CM665" s="30"/>
      <c r="CN665" s="1"/>
      <c r="CO665" s="1"/>
      <c r="CP665" s="1"/>
      <c r="CQ665" s="1"/>
      <c r="CR665" s="1"/>
      <c r="CS665" s="1"/>
      <c r="CT665" s="1"/>
      <c r="CU665" s="1"/>
      <c r="CV665" s="1"/>
      <c r="CW665" s="1"/>
    </row>
    <row r="666" spans="2:101" ht="15" hidden="1" customHeight="1" x14ac:dyDescent="0.25"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30"/>
      <c r="W666" s="30"/>
      <c r="X666" s="30"/>
      <c r="Y666" s="30"/>
      <c r="Z666" s="30"/>
      <c r="AA666" s="30"/>
      <c r="AB666" s="30"/>
      <c r="AC666" s="30"/>
      <c r="AD666" s="30"/>
      <c r="AE666" s="30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30"/>
      <c r="AQ666" s="30"/>
      <c r="AR666" s="30"/>
      <c r="AS666" s="30"/>
      <c r="AT666" s="30"/>
      <c r="AU666" s="30"/>
      <c r="AV666" s="30"/>
      <c r="AW666" s="30"/>
      <c r="AX666" s="30"/>
      <c r="AY666" s="30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30"/>
      <c r="BK666" s="30"/>
      <c r="BL666" s="30"/>
      <c r="BM666" s="30"/>
      <c r="BN666" s="30"/>
      <c r="BO666" s="30"/>
      <c r="BP666" s="30"/>
      <c r="BQ666" s="30"/>
      <c r="BR666" s="30"/>
      <c r="BS666" s="30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30"/>
      <c r="CE666" s="30"/>
      <c r="CF666" s="30"/>
      <c r="CG666" s="30"/>
      <c r="CH666" s="30"/>
      <c r="CI666" s="30"/>
      <c r="CJ666" s="30"/>
      <c r="CK666" s="30"/>
      <c r="CL666" s="30"/>
      <c r="CM666" s="30"/>
      <c r="CN666" s="1"/>
      <c r="CO666" s="1"/>
      <c r="CP666" s="1"/>
      <c r="CQ666" s="1"/>
      <c r="CR666" s="1"/>
      <c r="CS666" s="1"/>
      <c r="CT666" s="1"/>
      <c r="CU666" s="1"/>
      <c r="CV666" s="1"/>
      <c r="CW666" s="1"/>
    </row>
    <row r="667" spans="2:101" ht="15" hidden="1" customHeight="1" x14ac:dyDescent="0.25"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30"/>
      <c r="W667" s="30"/>
      <c r="X667" s="30"/>
      <c r="Y667" s="30"/>
      <c r="Z667" s="30"/>
      <c r="AA667" s="30"/>
      <c r="AB667" s="30"/>
      <c r="AC667" s="30"/>
      <c r="AD667" s="30"/>
      <c r="AE667" s="30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30"/>
      <c r="AQ667" s="30"/>
      <c r="AR667" s="30"/>
      <c r="AS667" s="30"/>
      <c r="AT667" s="30"/>
      <c r="AU667" s="30"/>
      <c r="AV667" s="30"/>
      <c r="AW667" s="30"/>
      <c r="AX667" s="30"/>
      <c r="AY667" s="30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30"/>
      <c r="BK667" s="30"/>
      <c r="BL667" s="30"/>
      <c r="BM667" s="30"/>
      <c r="BN667" s="30"/>
      <c r="BO667" s="30"/>
      <c r="BP667" s="30"/>
      <c r="BQ667" s="30"/>
      <c r="BR667" s="30"/>
      <c r="BS667" s="30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30"/>
      <c r="CE667" s="30"/>
      <c r="CF667" s="30"/>
      <c r="CG667" s="30"/>
      <c r="CH667" s="30"/>
      <c r="CI667" s="30"/>
      <c r="CJ667" s="30"/>
      <c r="CK667" s="30"/>
      <c r="CL667" s="30"/>
      <c r="CM667" s="30"/>
      <c r="CN667" s="1"/>
      <c r="CO667" s="1"/>
      <c r="CP667" s="1"/>
      <c r="CQ667" s="1"/>
      <c r="CR667" s="1"/>
      <c r="CS667" s="1"/>
      <c r="CT667" s="1"/>
      <c r="CU667" s="1"/>
      <c r="CV667" s="1"/>
      <c r="CW667" s="1"/>
    </row>
    <row r="668" spans="2:101" ht="15" hidden="1" customHeight="1" x14ac:dyDescent="0.25"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30"/>
      <c r="W668" s="30"/>
      <c r="X668" s="30"/>
      <c r="Y668" s="30"/>
      <c r="Z668" s="30"/>
      <c r="AA668" s="30"/>
      <c r="AB668" s="30"/>
      <c r="AC668" s="30"/>
      <c r="AD668" s="30"/>
      <c r="AE668" s="30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30"/>
      <c r="AQ668" s="30"/>
      <c r="AR668" s="30"/>
      <c r="AS668" s="30"/>
      <c r="AT668" s="30"/>
      <c r="AU668" s="30"/>
      <c r="AV668" s="30"/>
      <c r="AW668" s="30"/>
      <c r="AX668" s="30"/>
      <c r="AY668" s="30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30"/>
      <c r="BK668" s="30"/>
      <c r="BL668" s="30"/>
      <c r="BM668" s="30"/>
      <c r="BN668" s="30"/>
      <c r="BO668" s="30"/>
      <c r="BP668" s="30"/>
      <c r="BQ668" s="30"/>
      <c r="BR668" s="30"/>
      <c r="BS668" s="30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30"/>
      <c r="CE668" s="30"/>
      <c r="CF668" s="30"/>
      <c r="CG668" s="30"/>
      <c r="CH668" s="30"/>
      <c r="CI668" s="30"/>
      <c r="CJ668" s="30"/>
      <c r="CK668" s="30"/>
      <c r="CL668" s="30"/>
      <c r="CM668" s="30"/>
      <c r="CN668" s="1"/>
      <c r="CO668" s="1"/>
      <c r="CP668" s="1"/>
      <c r="CQ668" s="1"/>
      <c r="CR668" s="1"/>
      <c r="CS668" s="1"/>
      <c r="CT668" s="1"/>
      <c r="CU668" s="1"/>
      <c r="CV668" s="1"/>
      <c r="CW668" s="1"/>
    </row>
    <row r="669" spans="2:101" ht="15" hidden="1" customHeight="1" x14ac:dyDescent="0.25"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30"/>
      <c r="W669" s="30"/>
      <c r="X669" s="30"/>
      <c r="Y669" s="30"/>
      <c r="Z669" s="30"/>
      <c r="AA669" s="30"/>
      <c r="AB669" s="30"/>
      <c r="AC669" s="30"/>
      <c r="AD669" s="30"/>
      <c r="AE669" s="30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30"/>
      <c r="AQ669" s="30"/>
      <c r="AR669" s="30"/>
      <c r="AS669" s="30"/>
      <c r="AT669" s="30"/>
      <c r="AU669" s="30"/>
      <c r="AV669" s="30"/>
      <c r="AW669" s="30"/>
      <c r="AX669" s="30"/>
      <c r="AY669" s="30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30"/>
      <c r="BK669" s="30"/>
      <c r="BL669" s="30"/>
      <c r="BM669" s="30"/>
      <c r="BN669" s="30"/>
      <c r="BO669" s="30"/>
      <c r="BP669" s="30"/>
      <c r="BQ669" s="30"/>
      <c r="BR669" s="30"/>
      <c r="BS669" s="30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30"/>
      <c r="CE669" s="30"/>
      <c r="CF669" s="30"/>
      <c r="CG669" s="30"/>
      <c r="CH669" s="30"/>
      <c r="CI669" s="30"/>
      <c r="CJ669" s="30"/>
      <c r="CK669" s="30"/>
      <c r="CL669" s="30"/>
      <c r="CM669" s="30"/>
      <c r="CN669" s="1"/>
      <c r="CO669" s="1"/>
      <c r="CP669" s="1"/>
      <c r="CQ669" s="1"/>
      <c r="CR669" s="1"/>
      <c r="CS669" s="1"/>
      <c r="CT669" s="1"/>
      <c r="CU669" s="1"/>
      <c r="CV669" s="1"/>
      <c r="CW669" s="1"/>
    </row>
    <row r="670" spans="2:101" ht="15" hidden="1" customHeight="1" x14ac:dyDescent="0.25"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30"/>
      <c r="W670" s="30"/>
      <c r="X670" s="30"/>
      <c r="Y670" s="30"/>
      <c r="Z670" s="30"/>
      <c r="AA670" s="30"/>
      <c r="AB670" s="30"/>
      <c r="AC670" s="30"/>
      <c r="AD670" s="30"/>
      <c r="AE670" s="30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30"/>
      <c r="AQ670" s="30"/>
      <c r="AR670" s="30"/>
      <c r="AS670" s="30"/>
      <c r="AT670" s="30"/>
      <c r="AU670" s="30"/>
      <c r="AV670" s="30"/>
      <c r="AW670" s="30"/>
      <c r="AX670" s="30"/>
      <c r="AY670" s="30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30"/>
      <c r="BK670" s="30"/>
      <c r="BL670" s="30"/>
      <c r="BM670" s="30"/>
      <c r="BN670" s="30"/>
      <c r="BO670" s="30"/>
      <c r="BP670" s="30"/>
      <c r="BQ670" s="30"/>
      <c r="BR670" s="30"/>
      <c r="BS670" s="30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30"/>
      <c r="CE670" s="30"/>
      <c r="CF670" s="30"/>
      <c r="CG670" s="30"/>
      <c r="CH670" s="30"/>
      <c r="CI670" s="30"/>
      <c r="CJ670" s="30"/>
      <c r="CK670" s="30"/>
      <c r="CL670" s="30"/>
      <c r="CM670" s="30"/>
      <c r="CN670" s="1"/>
      <c r="CO670" s="1"/>
      <c r="CP670" s="1"/>
      <c r="CQ670" s="1"/>
      <c r="CR670" s="1"/>
      <c r="CS670" s="1"/>
      <c r="CT670" s="1"/>
      <c r="CU670" s="1"/>
      <c r="CV670" s="1"/>
      <c r="CW670" s="1"/>
    </row>
    <row r="671" spans="2:101" ht="15" hidden="1" customHeight="1" x14ac:dyDescent="0.25"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30"/>
      <c r="W671" s="30"/>
      <c r="X671" s="30"/>
      <c r="Y671" s="30"/>
      <c r="Z671" s="30"/>
      <c r="AA671" s="30"/>
      <c r="AB671" s="30"/>
      <c r="AC671" s="30"/>
      <c r="AD671" s="30"/>
      <c r="AE671" s="30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30"/>
      <c r="AQ671" s="30"/>
      <c r="AR671" s="30"/>
      <c r="AS671" s="30"/>
      <c r="AT671" s="30"/>
      <c r="AU671" s="30"/>
      <c r="AV671" s="30"/>
      <c r="AW671" s="30"/>
      <c r="AX671" s="30"/>
      <c r="AY671" s="30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30"/>
      <c r="BK671" s="30"/>
      <c r="BL671" s="30"/>
      <c r="BM671" s="30"/>
      <c r="BN671" s="30"/>
      <c r="BO671" s="30"/>
      <c r="BP671" s="30"/>
      <c r="BQ671" s="30"/>
      <c r="BR671" s="30"/>
      <c r="BS671" s="30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30"/>
      <c r="CE671" s="30"/>
      <c r="CF671" s="30"/>
      <c r="CG671" s="30"/>
      <c r="CH671" s="30"/>
      <c r="CI671" s="30"/>
      <c r="CJ671" s="30"/>
      <c r="CK671" s="30"/>
      <c r="CL671" s="30"/>
      <c r="CM671" s="30"/>
      <c r="CN671" s="1"/>
      <c r="CO671" s="1"/>
      <c r="CP671" s="1"/>
      <c r="CQ671" s="1"/>
      <c r="CR671" s="1"/>
      <c r="CS671" s="1"/>
      <c r="CT671" s="1"/>
      <c r="CU671" s="1"/>
      <c r="CV671" s="1"/>
      <c r="CW671" s="1"/>
    </row>
    <row r="672" spans="2:101" ht="15" hidden="1" customHeight="1" x14ac:dyDescent="0.25"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30"/>
      <c r="W672" s="30"/>
      <c r="X672" s="30"/>
      <c r="Y672" s="30"/>
      <c r="Z672" s="30"/>
      <c r="AA672" s="30"/>
      <c r="AB672" s="30"/>
      <c r="AC672" s="30"/>
      <c r="AD672" s="30"/>
      <c r="AE672" s="30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30"/>
      <c r="AQ672" s="30"/>
      <c r="AR672" s="30"/>
      <c r="AS672" s="30"/>
      <c r="AT672" s="30"/>
      <c r="AU672" s="30"/>
      <c r="AV672" s="30"/>
      <c r="AW672" s="30"/>
      <c r="AX672" s="30"/>
      <c r="AY672" s="30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30"/>
      <c r="BK672" s="30"/>
      <c r="BL672" s="30"/>
      <c r="BM672" s="30"/>
      <c r="BN672" s="30"/>
      <c r="BO672" s="30"/>
      <c r="BP672" s="30"/>
      <c r="BQ672" s="30"/>
      <c r="BR672" s="30"/>
      <c r="BS672" s="30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30"/>
      <c r="CE672" s="30"/>
      <c r="CF672" s="30"/>
      <c r="CG672" s="30"/>
      <c r="CH672" s="30"/>
      <c r="CI672" s="30"/>
      <c r="CJ672" s="30"/>
      <c r="CK672" s="30"/>
      <c r="CL672" s="30"/>
      <c r="CM672" s="30"/>
      <c r="CN672" s="1"/>
      <c r="CO672" s="1"/>
      <c r="CP672" s="1"/>
      <c r="CQ672" s="1"/>
      <c r="CR672" s="1"/>
      <c r="CS672" s="1"/>
      <c r="CT672" s="1"/>
      <c r="CU672" s="1"/>
      <c r="CV672" s="1"/>
      <c r="CW672" s="1"/>
    </row>
    <row r="673" spans="2:101" ht="15" hidden="1" customHeight="1" x14ac:dyDescent="0.25"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30"/>
      <c r="W673" s="30"/>
      <c r="X673" s="30"/>
      <c r="Y673" s="30"/>
      <c r="Z673" s="30"/>
      <c r="AA673" s="30"/>
      <c r="AB673" s="30"/>
      <c r="AC673" s="30"/>
      <c r="AD673" s="30"/>
      <c r="AE673" s="30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30"/>
      <c r="AQ673" s="30"/>
      <c r="AR673" s="30"/>
      <c r="AS673" s="30"/>
      <c r="AT673" s="30"/>
      <c r="AU673" s="30"/>
      <c r="AV673" s="30"/>
      <c r="AW673" s="30"/>
      <c r="AX673" s="30"/>
      <c r="AY673" s="30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30"/>
      <c r="BK673" s="30"/>
      <c r="BL673" s="30"/>
      <c r="BM673" s="30"/>
      <c r="BN673" s="30"/>
      <c r="BO673" s="30"/>
      <c r="BP673" s="30"/>
      <c r="BQ673" s="30"/>
      <c r="BR673" s="30"/>
      <c r="BS673" s="30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30"/>
      <c r="CE673" s="30"/>
      <c r="CF673" s="30"/>
      <c r="CG673" s="30"/>
      <c r="CH673" s="30"/>
      <c r="CI673" s="30"/>
      <c r="CJ673" s="30"/>
      <c r="CK673" s="30"/>
      <c r="CL673" s="30"/>
      <c r="CM673" s="30"/>
      <c r="CN673" s="1"/>
      <c r="CO673" s="1"/>
      <c r="CP673" s="1"/>
      <c r="CQ673" s="1"/>
      <c r="CR673" s="1"/>
      <c r="CS673" s="1"/>
      <c r="CT673" s="1"/>
      <c r="CU673" s="1"/>
      <c r="CV673" s="1"/>
      <c r="CW673" s="1"/>
    </row>
    <row r="674" spans="2:101" ht="15" hidden="1" customHeight="1" x14ac:dyDescent="0.25"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30"/>
      <c r="W674" s="30"/>
      <c r="X674" s="30"/>
      <c r="Y674" s="30"/>
      <c r="Z674" s="30"/>
      <c r="AA674" s="30"/>
      <c r="AB674" s="30"/>
      <c r="AC674" s="30"/>
      <c r="AD674" s="30"/>
      <c r="AE674" s="30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30"/>
      <c r="AQ674" s="30"/>
      <c r="AR674" s="30"/>
      <c r="AS674" s="30"/>
      <c r="AT674" s="30"/>
      <c r="AU674" s="30"/>
      <c r="AV674" s="30"/>
      <c r="AW674" s="30"/>
      <c r="AX674" s="30"/>
      <c r="AY674" s="30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30"/>
      <c r="BK674" s="30"/>
      <c r="BL674" s="30"/>
      <c r="BM674" s="30"/>
      <c r="BN674" s="30"/>
      <c r="BO674" s="30"/>
      <c r="BP674" s="30"/>
      <c r="BQ674" s="30"/>
      <c r="BR674" s="30"/>
      <c r="BS674" s="30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30"/>
      <c r="CE674" s="30"/>
      <c r="CF674" s="30"/>
      <c r="CG674" s="30"/>
      <c r="CH674" s="30"/>
      <c r="CI674" s="30"/>
      <c r="CJ674" s="30"/>
      <c r="CK674" s="30"/>
      <c r="CL674" s="30"/>
      <c r="CM674" s="30"/>
      <c r="CN674" s="1"/>
      <c r="CO674" s="1"/>
      <c r="CP674" s="1"/>
      <c r="CQ674" s="1"/>
      <c r="CR674" s="1"/>
      <c r="CS674" s="1"/>
      <c r="CT674" s="1"/>
      <c r="CU674" s="1"/>
      <c r="CV674" s="1"/>
      <c r="CW674" s="1"/>
    </row>
    <row r="675" spans="2:101" ht="15" hidden="1" customHeight="1" x14ac:dyDescent="0.25"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30"/>
      <c r="W675" s="30"/>
      <c r="X675" s="30"/>
      <c r="Y675" s="30"/>
      <c r="Z675" s="30"/>
      <c r="AA675" s="30"/>
      <c r="AB675" s="30"/>
      <c r="AC675" s="30"/>
      <c r="AD675" s="30"/>
      <c r="AE675" s="30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30"/>
      <c r="AQ675" s="30"/>
      <c r="AR675" s="30"/>
      <c r="AS675" s="30"/>
      <c r="AT675" s="30"/>
      <c r="AU675" s="30"/>
      <c r="AV675" s="30"/>
      <c r="AW675" s="30"/>
      <c r="AX675" s="30"/>
      <c r="AY675" s="30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30"/>
      <c r="BK675" s="30"/>
      <c r="BL675" s="30"/>
      <c r="BM675" s="30"/>
      <c r="BN675" s="30"/>
      <c r="BO675" s="30"/>
      <c r="BP675" s="30"/>
      <c r="BQ675" s="30"/>
      <c r="BR675" s="30"/>
      <c r="BS675" s="30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30"/>
      <c r="CE675" s="30"/>
      <c r="CF675" s="30"/>
      <c r="CG675" s="30"/>
      <c r="CH675" s="30"/>
      <c r="CI675" s="30"/>
      <c r="CJ675" s="30"/>
      <c r="CK675" s="30"/>
      <c r="CL675" s="30"/>
      <c r="CM675" s="30"/>
      <c r="CN675" s="1"/>
      <c r="CO675" s="1"/>
      <c r="CP675" s="1"/>
      <c r="CQ675" s="1"/>
      <c r="CR675" s="1"/>
      <c r="CS675" s="1"/>
      <c r="CT675" s="1"/>
      <c r="CU675" s="1"/>
      <c r="CV675" s="1"/>
      <c r="CW675" s="1"/>
    </row>
    <row r="676" spans="2:101" ht="15" hidden="1" customHeight="1" x14ac:dyDescent="0.25"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30"/>
      <c r="W676" s="30"/>
      <c r="X676" s="30"/>
      <c r="Y676" s="30"/>
      <c r="Z676" s="30"/>
      <c r="AA676" s="30"/>
      <c r="AB676" s="30"/>
      <c r="AC676" s="30"/>
      <c r="AD676" s="30"/>
      <c r="AE676" s="30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30"/>
      <c r="AQ676" s="30"/>
      <c r="AR676" s="30"/>
      <c r="AS676" s="30"/>
      <c r="AT676" s="30"/>
      <c r="AU676" s="30"/>
      <c r="AV676" s="30"/>
      <c r="AW676" s="30"/>
      <c r="AX676" s="30"/>
      <c r="AY676" s="30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30"/>
      <c r="BK676" s="30"/>
      <c r="BL676" s="30"/>
      <c r="BM676" s="30"/>
      <c r="BN676" s="30"/>
      <c r="BO676" s="30"/>
      <c r="BP676" s="30"/>
      <c r="BQ676" s="30"/>
      <c r="BR676" s="30"/>
      <c r="BS676" s="30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30"/>
      <c r="CE676" s="30"/>
      <c r="CF676" s="30"/>
      <c r="CG676" s="30"/>
      <c r="CH676" s="30"/>
      <c r="CI676" s="30"/>
      <c r="CJ676" s="30"/>
      <c r="CK676" s="30"/>
      <c r="CL676" s="30"/>
      <c r="CM676" s="30"/>
      <c r="CN676" s="1"/>
      <c r="CO676" s="1"/>
      <c r="CP676" s="1"/>
      <c r="CQ676" s="1"/>
      <c r="CR676" s="1"/>
      <c r="CS676" s="1"/>
      <c r="CT676" s="1"/>
      <c r="CU676" s="1"/>
      <c r="CV676" s="1"/>
      <c r="CW676" s="1"/>
    </row>
    <row r="677" spans="2:101" ht="15" hidden="1" customHeight="1" x14ac:dyDescent="0.25"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30"/>
      <c r="W677" s="30"/>
      <c r="X677" s="30"/>
      <c r="Y677" s="30"/>
      <c r="Z677" s="30"/>
      <c r="AA677" s="30"/>
      <c r="AB677" s="30"/>
      <c r="AC677" s="30"/>
      <c r="AD677" s="30"/>
      <c r="AE677" s="30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30"/>
      <c r="AQ677" s="30"/>
      <c r="AR677" s="30"/>
      <c r="AS677" s="30"/>
      <c r="AT677" s="30"/>
      <c r="AU677" s="30"/>
      <c r="AV677" s="30"/>
      <c r="AW677" s="30"/>
      <c r="AX677" s="30"/>
      <c r="AY677" s="30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30"/>
      <c r="BK677" s="30"/>
      <c r="BL677" s="30"/>
      <c r="BM677" s="30"/>
      <c r="BN677" s="30"/>
      <c r="BO677" s="30"/>
      <c r="BP677" s="30"/>
      <c r="BQ677" s="30"/>
      <c r="BR677" s="30"/>
      <c r="BS677" s="30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30"/>
      <c r="CE677" s="30"/>
      <c r="CF677" s="30"/>
      <c r="CG677" s="30"/>
      <c r="CH677" s="30"/>
      <c r="CI677" s="30"/>
      <c r="CJ677" s="30"/>
      <c r="CK677" s="30"/>
      <c r="CL677" s="30"/>
      <c r="CM677" s="30"/>
      <c r="CN677" s="1"/>
      <c r="CO677" s="1"/>
      <c r="CP677" s="1"/>
      <c r="CQ677" s="1"/>
      <c r="CR677" s="1"/>
      <c r="CS677" s="1"/>
      <c r="CT677" s="1"/>
      <c r="CU677" s="1"/>
      <c r="CV677" s="1"/>
      <c r="CW677" s="1"/>
    </row>
    <row r="678" spans="2:101" ht="15" hidden="1" customHeight="1" x14ac:dyDescent="0.25"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30"/>
      <c r="W678" s="30"/>
      <c r="X678" s="30"/>
      <c r="Y678" s="30"/>
      <c r="Z678" s="30"/>
      <c r="AA678" s="30"/>
      <c r="AB678" s="30"/>
      <c r="AC678" s="30"/>
      <c r="AD678" s="30"/>
      <c r="AE678" s="30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30"/>
      <c r="AQ678" s="30"/>
      <c r="AR678" s="30"/>
      <c r="AS678" s="30"/>
      <c r="AT678" s="30"/>
      <c r="AU678" s="30"/>
      <c r="AV678" s="30"/>
      <c r="AW678" s="30"/>
      <c r="AX678" s="30"/>
      <c r="AY678" s="30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30"/>
      <c r="BK678" s="30"/>
      <c r="BL678" s="30"/>
      <c r="BM678" s="30"/>
      <c r="BN678" s="30"/>
      <c r="BO678" s="30"/>
      <c r="BP678" s="30"/>
      <c r="BQ678" s="30"/>
      <c r="BR678" s="30"/>
      <c r="BS678" s="30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30"/>
      <c r="CE678" s="30"/>
      <c r="CF678" s="30"/>
      <c r="CG678" s="30"/>
      <c r="CH678" s="30"/>
      <c r="CI678" s="30"/>
      <c r="CJ678" s="30"/>
      <c r="CK678" s="30"/>
      <c r="CL678" s="30"/>
      <c r="CM678" s="30"/>
      <c r="CN678" s="1"/>
      <c r="CO678" s="1"/>
      <c r="CP678" s="1"/>
      <c r="CQ678" s="1"/>
      <c r="CR678" s="1"/>
      <c r="CS678" s="1"/>
      <c r="CT678" s="1"/>
      <c r="CU678" s="1"/>
      <c r="CV678" s="1"/>
      <c r="CW678" s="1"/>
    </row>
    <row r="679" spans="2:101" ht="15" hidden="1" customHeight="1" x14ac:dyDescent="0.25"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30"/>
      <c r="W679" s="30"/>
      <c r="X679" s="30"/>
      <c r="Y679" s="30"/>
      <c r="Z679" s="30"/>
      <c r="AA679" s="30"/>
      <c r="AB679" s="30"/>
      <c r="AC679" s="30"/>
      <c r="AD679" s="30"/>
      <c r="AE679" s="30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30"/>
      <c r="AQ679" s="30"/>
      <c r="AR679" s="30"/>
      <c r="AS679" s="30"/>
      <c r="AT679" s="30"/>
      <c r="AU679" s="30"/>
      <c r="AV679" s="30"/>
      <c r="AW679" s="30"/>
      <c r="AX679" s="30"/>
      <c r="AY679" s="30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30"/>
      <c r="BK679" s="30"/>
      <c r="BL679" s="30"/>
      <c r="BM679" s="30"/>
      <c r="BN679" s="30"/>
      <c r="BO679" s="30"/>
      <c r="BP679" s="30"/>
      <c r="BQ679" s="30"/>
      <c r="BR679" s="30"/>
      <c r="BS679" s="30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30"/>
      <c r="CE679" s="30"/>
      <c r="CF679" s="30"/>
      <c r="CG679" s="30"/>
      <c r="CH679" s="30"/>
      <c r="CI679" s="30"/>
      <c r="CJ679" s="30"/>
      <c r="CK679" s="30"/>
      <c r="CL679" s="30"/>
      <c r="CM679" s="30"/>
      <c r="CN679" s="1"/>
      <c r="CO679" s="1"/>
      <c r="CP679" s="1"/>
      <c r="CQ679" s="1"/>
      <c r="CR679" s="1"/>
      <c r="CS679" s="1"/>
      <c r="CT679" s="1"/>
      <c r="CU679" s="1"/>
      <c r="CV679" s="1"/>
      <c r="CW679" s="1"/>
    </row>
    <row r="680" spans="2:101" ht="15" hidden="1" customHeight="1" x14ac:dyDescent="0.25"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30"/>
      <c r="W680" s="30"/>
      <c r="X680" s="30"/>
      <c r="Y680" s="30"/>
      <c r="Z680" s="30"/>
      <c r="AA680" s="30"/>
      <c r="AB680" s="30"/>
      <c r="AC680" s="30"/>
      <c r="AD680" s="30"/>
      <c r="AE680" s="30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30"/>
      <c r="AQ680" s="30"/>
      <c r="AR680" s="30"/>
      <c r="AS680" s="30"/>
      <c r="AT680" s="30"/>
      <c r="AU680" s="30"/>
      <c r="AV680" s="30"/>
      <c r="AW680" s="30"/>
      <c r="AX680" s="30"/>
      <c r="AY680" s="30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30"/>
      <c r="BK680" s="30"/>
      <c r="BL680" s="30"/>
      <c r="BM680" s="30"/>
      <c r="BN680" s="30"/>
      <c r="BO680" s="30"/>
      <c r="BP680" s="30"/>
      <c r="BQ680" s="30"/>
      <c r="BR680" s="30"/>
      <c r="BS680" s="30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30"/>
      <c r="CE680" s="30"/>
      <c r="CF680" s="30"/>
      <c r="CG680" s="30"/>
      <c r="CH680" s="30"/>
      <c r="CI680" s="30"/>
      <c r="CJ680" s="30"/>
      <c r="CK680" s="30"/>
      <c r="CL680" s="30"/>
      <c r="CM680" s="30"/>
      <c r="CN680" s="1"/>
      <c r="CO680" s="1"/>
      <c r="CP680" s="1"/>
      <c r="CQ680" s="1"/>
      <c r="CR680" s="1"/>
      <c r="CS680" s="1"/>
      <c r="CT680" s="1"/>
      <c r="CU680" s="1"/>
      <c r="CV680" s="1"/>
      <c r="CW680" s="1"/>
    </row>
    <row r="681" spans="2:101" ht="15" hidden="1" customHeight="1" x14ac:dyDescent="0.25"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30"/>
      <c r="W681" s="30"/>
      <c r="X681" s="30"/>
      <c r="Y681" s="30"/>
      <c r="Z681" s="30"/>
      <c r="AA681" s="30"/>
      <c r="AB681" s="30"/>
      <c r="AC681" s="30"/>
      <c r="AD681" s="30"/>
      <c r="AE681" s="30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30"/>
      <c r="AQ681" s="30"/>
      <c r="AR681" s="30"/>
      <c r="AS681" s="30"/>
      <c r="AT681" s="30"/>
      <c r="AU681" s="30"/>
      <c r="AV681" s="30"/>
      <c r="AW681" s="30"/>
      <c r="AX681" s="30"/>
      <c r="AY681" s="30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30"/>
      <c r="BK681" s="30"/>
      <c r="BL681" s="30"/>
      <c r="BM681" s="30"/>
      <c r="BN681" s="30"/>
      <c r="BO681" s="30"/>
      <c r="BP681" s="30"/>
      <c r="BQ681" s="30"/>
      <c r="BR681" s="30"/>
      <c r="BS681" s="30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30"/>
      <c r="CE681" s="30"/>
      <c r="CF681" s="30"/>
      <c r="CG681" s="30"/>
      <c r="CH681" s="30"/>
      <c r="CI681" s="30"/>
      <c r="CJ681" s="30"/>
      <c r="CK681" s="30"/>
      <c r="CL681" s="30"/>
      <c r="CM681" s="30"/>
      <c r="CN681" s="1"/>
      <c r="CO681" s="1"/>
      <c r="CP681" s="1"/>
      <c r="CQ681" s="1"/>
      <c r="CR681" s="1"/>
      <c r="CS681" s="1"/>
      <c r="CT681" s="1"/>
      <c r="CU681" s="1"/>
      <c r="CV681" s="1"/>
      <c r="CW681" s="1"/>
    </row>
    <row r="682" spans="2:101" ht="15" hidden="1" customHeight="1" x14ac:dyDescent="0.25"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30"/>
      <c r="W682" s="30"/>
      <c r="X682" s="30"/>
      <c r="Y682" s="30"/>
      <c r="Z682" s="30"/>
      <c r="AA682" s="30"/>
      <c r="AB682" s="30"/>
      <c r="AC682" s="30"/>
      <c r="AD682" s="30"/>
      <c r="AE682" s="30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30"/>
      <c r="AQ682" s="30"/>
      <c r="AR682" s="30"/>
      <c r="AS682" s="30"/>
      <c r="AT682" s="30"/>
      <c r="AU682" s="30"/>
      <c r="AV682" s="30"/>
      <c r="AW682" s="30"/>
      <c r="AX682" s="30"/>
      <c r="AY682" s="30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30"/>
      <c r="BK682" s="30"/>
      <c r="BL682" s="30"/>
      <c r="BM682" s="30"/>
      <c r="BN682" s="30"/>
      <c r="BO682" s="30"/>
      <c r="BP682" s="30"/>
      <c r="BQ682" s="30"/>
      <c r="BR682" s="30"/>
      <c r="BS682" s="30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30"/>
      <c r="CE682" s="30"/>
      <c r="CF682" s="30"/>
      <c r="CG682" s="30"/>
      <c r="CH682" s="30"/>
      <c r="CI682" s="30"/>
      <c r="CJ682" s="30"/>
      <c r="CK682" s="30"/>
      <c r="CL682" s="30"/>
      <c r="CM682" s="30"/>
      <c r="CN682" s="1"/>
      <c r="CO682" s="1"/>
      <c r="CP682" s="1"/>
      <c r="CQ682" s="1"/>
      <c r="CR682" s="1"/>
      <c r="CS682" s="1"/>
      <c r="CT682" s="1"/>
      <c r="CU682" s="1"/>
      <c r="CV682" s="1"/>
      <c r="CW682" s="1"/>
    </row>
    <row r="683" spans="2:101" ht="15" hidden="1" customHeight="1" x14ac:dyDescent="0.25"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30"/>
      <c r="W683" s="30"/>
      <c r="X683" s="30"/>
      <c r="Y683" s="30"/>
      <c r="Z683" s="30"/>
      <c r="AA683" s="30"/>
      <c r="AB683" s="30"/>
      <c r="AC683" s="30"/>
      <c r="AD683" s="30"/>
      <c r="AE683" s="30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30"/>
      <c r="AQ683" s="30"/>
      <c r="AR683" s="30"/>
      <c r="AS683" s="30"/>
      <c r="AT683" s="30"/>
      <c r="AU683" s="30"/>
      <c r="AV683" s="30"/>
      <c r="AW683" s="30"/>
      <c r="AX683" s="30"/>
      <c r="AY683" s="30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30"/>
      <c r="BK683" s="30"/>
      <c r="BL683" s="30"/>
      <c r="BM683" s="30"/>
      <c r="BN683" s="30"/>
      <c r="BO683" s="30"/>
      <c r="BP683" s="30"/>
      <c r="BQ683" s="30"/>
      <c r="BR683" s="30"/>
      <c r="BS683" s="30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30"/>
      <c r="CE683" s="30"/>
      <c r="CF683" s="30"/>
      <c r="CG683" s="30"/>
      <c r="CH683" s="30"/>
      <c r="CI683" s="30"/>
      <c r="CJ683" s="30"/>
      <c r="CK683" s="30"/>
      <c r="CL683" s="30"/>
      <c r="CM683" s="30"/>
      <c r="CN683" s="1"/>
      <c r="CO683" s="1"/>
      <c r="CP683" s="1"/>
      <c r="CQ683" s="1"/>
      <c r="CR683" s="1"/>
      <c r="CS683" s="1"/>
      <c r="CT683" s="1"/>
      <c r="CU683" s="1"/>
      <c r="CV683" s="1"/>
      <c r="CW683" s="1"/>
    </row>
    <row r="684" spans="2:101" ht="15" hidden="1" customHeight="1" x14ac:dyDescent="0.25"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30"/>
      <c r="W684" s="30"/>
      <c r="X684" s="30"/>
      <c r="Y684" s="30"/>
      <c r="Z684" s="30"/>
      <c r="AA684" s="30"/>
      <c r="AB684" s="30"/>
      <c r="AC684" s="30"/>
      <c r="AD684" s="30"/>
      <c r="AE684" s="30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30"/>
      <c r="AQ684" s="30"/>
      <c r="AR684" s="30"/>
      <c r="AS684" s="30"/>
      <c r="AT684" s="30"/>
      <c r="AU684" s="30"/>
      <c r="AV684" s="30"/>
      <c r="AW684" s="30"/>
      <c r="AX684" s="30"/>
      <c r="AY684" s="30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30"/>
      <c r="BK684" s="30"/>
      <c r="BL684" s="30"/>
      <c r="BM684" s="30"/>
      <c r="BN684" s="30"/>
      <c r="BO684" s="30"/>
      <c r="BP684" s="30"/>
      <c r="BQ684" s="30"/>
      <c r="BR684" s="30"/>
      <c r="BS684" s="30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30"/>
      <c r="CE684" s="30"/>
      <c r="CF684" s="30"/>
      <c r="CG684" s="30"/>
      <c r="CH684" s="30"/>
      <c r="CI684" s="30"/>
      <c r="CJ684" s="30"/>
      <c r="CK684" s="30"/>
      <c r="CL684" s="30"/>
      <c r="CM684" s="30"/>
      <c r="CN684" s="1"/>
      <c r="CO684" s="1"/>
      <c r="CP684" s="1"/>
      <c r="CQ684" s="1"/>
      <c r="CR684" s="1"/>
      <c r="CS684" s="1"/>
      <c r="CT684" s="1"/>
      <c r="CU684" s="1"/>
      <c r="CV684" s="1"/>
      <c r="CW684" s="1"/>
    </row>
    <row r="685" spans="2:101" ht="15" hidden="1" customHeight="1" x14ac:dyDescent="0.25"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30"/>
      <c r="W685" s="30"/>
      <c r="X685" s="30"/>
      <c r="Y685" s="30"/>
      <c r="Z685" s="30"/>
      <c r="AA685" s="30"/>
      <c r="AB685" s="30"/>
      <c r="AC685" s="30"/>
      <c r="AD685" s="30"/>
      <c r="AE685" s="30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30"/>
      <c r="AQ685" s="30"/>
      <c r="AR685" s="30"/>
      <c r="AS685" s="30"/>
      <c r="AT685" s="30"/>
      <c r="AU685" s="30"/>
      <c r="AV685" s="30"/>
      <c r="AW685" s="30"/>
      <c r="AX685" s="30"/>
      <c r="AY685" s="30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30"/>
      <c r="BK685" s="30"/>
      <c r="BL685" s="30"/>
      <c r="BM685" s="30"/>
      <c r="BN685" s="30"/>
      <c r="BO685" s="30"/>
      <c r="BP685" s="30"/>
      <c r="BQ685" s="30"/>
      <c r="BR685" s="30"/>
      <c r="BS685" s="30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30"/>
      <c r="CE685" s="30"/>
      <c r="CF685" s="30"/>
      <c r="CG685" s="30"/>
      <c r="CH685" s="30"/>
      <c r="CI685" s="30"/>
      <c r="CJ685" s="30"/>
      <c r="CK685" s="30"/>
      <c r="CL685" s="30"/>
      <c r="CM685" s="30"/>
      <c r="CN685" s="1"/>
      <c r="CO685" s="1"/>
      <c r="CP685" s="1"/>
      <c r="CQ685" s="1"/>
      <c r="CR685" s="1"/>
      <c r="CS685" s="1"/>
      <c r="CT685" s="1"/>
      <c r="CU685" s="1"/>
      <c r="CV685" s="1"/>
      <c r="CW685" s="1"/>
    </row>
    <row r="686" spans="2:101" ht="15" hidden="1" customHeight="1" x14ac:dyDescent="0.25"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30"/>
      <c r="W686" s="30"/>
      <c r="X686" s="30"/>
      <c r="Y686" s="30"/>
      <c r="Z686" s="30"/>
      <c r="AA686" s="30"/>
      <c r="AB686" s="30"/>
      <c r="AC686" s="30"/>
      <c r="AD686" s="30"/>
      <c r="AE686" s="30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30"/>
      <c r="AQ686" s="30"/>
      <c r="AR686" s="30"/>
      <c r="AS686" s="30"/>
      <c r="AT686" s="30"/>
      <c r="AU686" s="30"/>
      <c r="AV686" s="30"/>
      <c r="AW686" s="30"/>
      <c r="AX686" s="30"/>
      <c r="AY686" s="30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30"/>
      <c r="BK686" s="30"/>
      <c r="BL686" s="30"/>
      <c r="BM686" s="30"/>
      <c r="BN686" s="30"/>
      <c r="BO686" s="30"/>
      <c r="BP686" s="30"/>
      <c r="BQ686" s="30"/>
      <c r="BR686" s="30"/>
      <c r="BS686" s="30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30"/>
      <c r="CE686" s="30"/>
      <c r="CF686" s="30"/>
      <c r="CG686" s="30"/>
      <c r="CH686" s="30"/>
      <c r="CI686" s="30"/>
      <c r="CJ686" s="30"/>
      <c r="CK686" s="30"/>
      <c r="CL686" s="30"/>
      <c r="CM686" s="30"/>
      <c r="CN686" s="1"/>
      <c r="CO686" s="1"/>
      <c r="CP686" s="1"/>
      <c r="CQ686" s="1"/>
      <c r="CR686" s="1"/>
      <c r="CS686" s="1"/>
      <c r="CT686" s="1"/>
      <c r="CU686" s="1"/>
      <c r="CV686" s="1"/>
      <c r="CW686" s="1"/>
    </row>
    <row r="687" spans="2:101" ht="15" hidden="1" customHeight="1" x14ac:dyDescent="0.25"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30"/>
      <c r="W687" s="30"/>
      <c r="X687" s="30"/>
      <c r="Y687" s="30"/>
      <c r="Z687" s="30"/>
      <c r="AA687" s="30"/>
      <c r="AB687" s="30"/>
      <c r="AC687" s="30"/>
      <c r="AD687" s="30"/>
      <c r="AE687" s="30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30"/>
      <c r="AQ687" s="30"/>
      <c r="AR687" s="30"/>
      <c r="AS687" s="30"/>
      <c r="AT687" s="30"/>
      <c r="AU687" s="30"/>
      <c r="AV687" s="30"/>
      <c r="AW687" s="30"/>
      <c r="AX687" s="30"/>
      <c r="AY687" s="30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30"/>
      <c r="BK687" s="30"/>
      <c r="BL687" s="30"/>
      <c r="BM687" s="30"/>
      <c r="BN687" s="30"/>
      <c r="BO687" s="30"/>
      <c r="BP687" s="30"/>
      <c r="BQ687" s="30"/>
      <c r="BR687" s="30"/>
      <c r="BS687" s="30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30"/>
      <c r="CE687" s="30"/>
      <c r="CF687" s="30"/>
      <c r="CG687" s="30"/>
      <c r="CH687" s="30"/>
      <c r="CI687" s="30"/>
      <c r="CJ687" s="30"/>
      <c r="CK687" s="30"/>
      <c r="CL687" s="30"/>
      <c r="CM687" s="30"/>
      <c r="CN687" s="1"/>
      <c r="CO687" s="1"/>
      <c r="CP687" s="1"/>
      <c r="CQ687" s="1"/>
      <c r="CR687" s="1"/>
      <c r="CS687" s="1"/>
      <c r="CT687" s="1"/>
      <c r="CU687" s="1"/>
      <c r="CV687" s="1"/>
      <c r="CW687" s="1"/>
    </row>
    <row r="688" spans="2:101" ht="15" hidden="1" customHeight="1" x14ac:dyDescent="0.25"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30"/>
      <c r="W688" s="30"/>
      <c r="X688" s="30"/>
      <c r="Y688" s="30"/>
      <c r="Z688" s="30"/>
      <c r="AA688" s="30"/>
      <c r="AB688" s="30"/>
      <c r="AC688" s="30"/>
      <c r="AD688" s="30"/>
      <c r="AE688" s="30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30"/>
      <c r="AQ688" s="30"/>
      <c r="AR688" s="30"/>
      <c r="AS688" s="30"/>
      <c r="AT688" s="30"/>
      <c r="AU688" s="30"/>
      <c r="AV688" s="30"/>
      <c r="AW688" s="30"/>
      <c r="AX688" s="30"/>
      <c r="AY688" s="30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30"/>
      <c r="BK688" s="30"/>
      <c r="BL688" s="30"/>
      <c r="BM688" s="30"/>
      <c r="BN688" s="30"/>
      <c r="BO688" s="30"/>
      <c r="BP688" s="30"/>
      <c r="BQ688" s="30"/>
      <c r="BR688" s="30"/>
      <c r="BS688" s="30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30"/>
      <c r="CE688" s="30"/>
      <c r="CF688" s="30"/>
      <c r="CG688" s="30"/>
      <c r="CH688" s="30"/>
      <c r="CI688" s="30"/>
      <c r="CJ688" s="30"/>
      <c r="CK688" s="30"/>
      <c r="CL688" s="30"/>
      <c r="CM688" s="30"/>
      <c r="CN688" s="1"/>
      <c r="CO688" s="1"/>
      <c r="CP688" s="1"/>
      <c r="CQ688" s="1"/>
      <c r="CR688" s="1"/>
      <c r="CS688" s="1"/>
      <c r="CT688" s="1"/>
      <c r="CU688" s="1"/>
      <c r="CV688" s="1"/>
      <c r="CW688" s="1"/>
    </row>
    <row r="689" spans="2:101" ht="15" hidden="1" customHeight="1" x14ac:dyDescent="0.25"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30"/>
      <c r="W689" s="30"/>
      <c r="X689" s="30"/>
      <c r="Y689" s="30"/>
      <c r="Z689" s="30"/>
      <c r="AA689" s="30"/>
      <c r="AB689" s="30"/>
      <c r="AC689" s="30"/>
      <c r="AD689" s="30"/>
      <c r="AE689" s="30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30"/>
      <c r="AQ689" s="30"/>
      <c r="AR689" s="30"/>
      <c r="AS689" s="30"/>
      <c r="AT689" s="30"/>
      <c r="AU689" s="30"/>
      <c r="AV689" s="30"/>
      <c r="AW689" s="30"/>
      <c r="AX689" s="30"/>
      <c r="AY689" s="30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30"/>
      <c r="BK689" s="30"/>
      <c r="BL689" s="30"/>
      <c r="BM689" s="30"/>
      <c r="BN689" s="30"/>
      <c r="BO689" s="30"/>
      <c r="BP689" s="30"/>
      <c r="BQ689" s="30"/>
      <c r="BR689" s="30"/>
      <c r="BS689" s="30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30"/>
      <c r="CE689" s="30"/>
      <c r="CF689" s="30"/>
      <c r="CG689" s="30"/>
      <c r="CH689" s="30"/>
      <c r="CI689" s="30"/>
      <c r="CJ689" s="30"/>
      <c r="CK689" s="30"/>
      <c r="CL689" s="30"/>
      <c r="CM689" s="30"/>
      <c r="CN689" s="1"/>
      <c r="CO689" s="1"/>
      <c r="CP689" s="1"/>
      <c r="CQ689" s="1"/>
      <c r="CR689" s="1"/>
      <c r="CS689" s="1"/>
      <c r="CT689" s="1"/>
      <c r="CU689" s="1"/>
      <c r="CV689" s="1"/>
      <c r="CW689" s="1"/>
    </row>
    <row r="690" spans="2:101" ht="15" hidden="1" customHeight="1" x14ac:dyDescent="0.25"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30"/>
      <c r="W690" s="30"/>
      <c r="X690" s="30"/>
      <c r="Y690" s="30"/>
      <c r="Z690" s="30"/>
      <c r="AA690" s="30"/>
      <c r="AB690" s="30"/>
      <c r="AC690" s="30"/>
      <c r="AD690" s="30"/>
      <c r="AE690" s="30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30"/>
      <c r="AQ690" s="30"/>
      <c r="AR690" s="30"/>
      <c r="AS690" s="30"/>
      <c r="AT690" s="30"/>
      <c r="AU690" s="30"/>
      <c r="AV690" s="30"/>
      <c r="AW690" s="30"/>
      <c r="AX690" s="30"/>
      <c r="AY690" s="30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30"/>
      <c r="BK690" s="30"/>
      <c r="BL690" s="30"/>
      <c r="BM690" s="30"/>
      <c r="BN690" s="30"/>
      <c r="BO690" s="30"/>
      <c r="BP690" s="30"/>
      <c r="BQ690" s="30"/>
      <c r="BR690" s="30"/>
      <c r="BS690" s="30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30"/>
      <c r="CE690" s="30"/>
      <c r="CF690" s="30"/>
      <c r="CG690" s="30"/>
      <c r="CH690" s="30"/>
      <c r="CI690" s="30"/>
      <c r="CJ690" s="30"/>
      <c r="CK690" s="30"/>
      <c r="CL690" s="30"/>
      <c r="CM690" s="30"/>
      <c r="CN690" s="1"/>
      <c r="CO690" s="1"/>
      <c r="CP690" s="1"/>
      <c r="CQ690" s="1"/>
      <c r="CR690" s="1"/>
      <c r="CS690" s="1"/>
      <c r="CT690" s="1"/>
      <c r="CU690" s="1"/>
      <c r="CV690" s="1"/>
      <c r="CW690" s="1"/>
    </row>
    <row r="691" spans="2:101" ht="15" hidden="1" customHeight="1" x14ac:dyDescent="0.25"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30"/>
      <c r="W691" s="30"/>
      <c r="X691" s="30"/>
      <c r="Y691" s="30"/>
      <c r="Z691" s="30"/>
      <c r="AA691" s="30"/>
      <c r="AB691" s="30"/>
      <c r="AC691" s="30"/>
      <c r="AD691" s="30"/>
      <c r="AE691" s="30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30"/>
      <c r="AQ691" s="30"/>
      <c r="AR691" s="30"/>
      <c r="AS691" s="30"/>
      <c r="AT691" s="30"/>
      <c r="AU691" s="30"/>
      <c r="AV691" s="30"/>
      <c r="AW691" s="30"/>
      <c r="AX691" s="30"/>
      <c r="AY691" s="30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30"/>
      <c r="BK691" s="30"/>
      <c r="BL691" s="30"/>
      <c r="BM691" s="30"/>
      <c r="BN691" s="30"/>
      <c r="BO691" s="30"/>
      <c r="BP691" s="30"/>
      <c r="BQ691" s="30"/>
      <c r="BR691" s="30"/>
      <c r="BS691" s="30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30"/>
      <c r="CE691" s="30"/>
      <c r="CF691" s="30"/>
      <c r="CG691" s="30"/>
      <c r="CH691" s="30"/>
      <c r="CI691" s="30"/>
      <c r="CJ691" s="30"/>
      <c r="CK691" s="30"/>
      <c r="CL691" s="30"/>
      <c r="CM691" s="30"/>
      <c r="CN691" s="1"/>
      <c r="CO691" s="1"/>
      <c r="CP691" s="1"/>
      <c r="CQ691" s="1"/>
      <c r="CR691" s="1"/>
      <c r="CS691" s="1"/>
      <c r="CT691" s="1"/>
      <c r="CU691" s="1"/>
      <c r="CV691" s="1"/>
      <c r="CW691" s="1"/>
    </row>
    <row r="692" spans="2:101" ht="15" hidden="1" customHeight="1" x14ac:dyDescent="0.25"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30"/>
      <c r="W692" s="30"/>
      <c r="X692" s="30"/>
      <c r="Y692" s="30"/>
      <c r="Z692" s="30"/>
      <c r="AA692" s="30"/>
      <c r="AB692" s="30"/>
      <c r="AC692" s="30"/>
      <c r="AD692" s="30"/>
      <c r="AE692" s="30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30"/>
      <c r="AQ692" s="30"/>
      <c r="AR692" s="30"/>
      <c r="AS692" s="30"/>
      <c r="AT692" s="30"/>
      <c r="AU692" s="30"/>
      <c r="AV692" s="30"/>
      <c r="AW692" s="30"/>
      <c r="AX692" s="30"/>
      <c r="AY692" s="30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30"/>
      <c r="BK692" s="30"/>
      <c r="BL692" s="30"/>
      <c r="BM692" s="30"/>
      <c r="BN692" s="30"/>
      <c r="BO692" s="30"/>
      <c r="BP692" s="30"/>
      <c r="BQ692" s="30"/>
      <c r="BR692" s="30"/>
      <c r="BS692" s="30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30"/>
      <c r="CE692" s="30"/>
      <c r="CF692" s="30"/>
      <c r="CG692" s="30"/>
      <c r="CH692" s="30"/>
      <c r="CI692" s="30"/>
      <c r="CJ692" s="30"/>
      <c r="CK692" s="30"/>
      <c r="CL692" s="30"/>
      <c r="CM692" s="30"/>
      <c r="CN692" s="1"/>
      <c r="CO692" s="1"/>
      <c r="CP692" s="1"/>
      <c r="CQ692" s="1"/>
      <c r="CR692" s="1"/>
      <c r="CS692" s="1"/>
      <c r="CT692" s="1"/>
      <c r="CU692" s="1"/>
      <c r="CV692" s="1"/>
      <c r="CW692" s="1"/>
    </row>
    <row r="693" spans="2:101" ht="15" hidden="1" customHeight="1" x14ac:dyDescent="0.25"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30"/>
      <c r="W693" s="30"/>
      <c r="X693" s="30"/>
      <c r="Y693" s="30"/>
      <c r="Z693" s="30"/>
      <c r="AA693" s="30"/>
      <c r="AB693" s="30"/>
      <c r="AC693" s="30"/>
      <c r="AD693" s="30"/>
      <c r="AE693" s="30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30"/>
      <c r="AQ693" s="30"/>
      <c r="AR693" s="30"/>
      <c r="AS693" s="30"/>
      <c r="AT693" s="30"/>
      <c r="AU693" s="30"/>
      <c r="AV693" s="30"/>
      <c r="AW693" s="30"/>
      <c r="AX693" s="30"/>
      <c r="AY693" s="30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30"/>
      <c r="BK693" s="30"/>
      <c r="BL693" s="30"/>
      <c r="BM693" s="30"/>
      <c r="BN693" s="30"/>
      <c r="BO693" s="30"/>
      <c r="BP693" s="30"/>
      <c r="BQ693" s="30"/>
      <c r="BR693" s="30"/>
      <c r="BS693" s="30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30"/>
      <c r="CE693" s="30"/>
      <c r="CF693" s="30"/>
      <c r="CG693" s="30"/>
      <c r="CH693" s="30"/>
      <c r="CI693" s="30"/>
      <c r="CJ693" s="30"/>
      <c r="CK693" s="30"/>
      <c r="CL693" s="30"/>
      <c r="CM693" s="30"/>
      <c r="CN693" s="1"/>
      <c r="CO693" s="1"/>
      <c r="CP693" s="1"/>
      <c r="CQ693" s="1"/>
      <c r="CR693" s="1"/>
      <c r="CS693" s="1"/>
      <c r="CT693" s="1"/>
      <c r="CU693" s="1"/>
      <c r="CV693" s="1"/>
      <c r="CW693" s="1"/>
    </row>
    <row r="694" spans="2:101" ht="15" hidden="1" customHeight="1" x14ac:dyDescent="0.25"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30"/>
      <c r="W694" s="30"/>
      <c r="X694" s="30"/>
      <c r="Y694" s="30"/>
      <c r="Z694" s="30"/>
      <c r="AA694" s="30"/>
      <c r="AB694" s="30"/>
      <c r="AC694" s="30"/>
      <c r="AD694" s="30"/>
      <c r="AE694" s="30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30"/>
      <c r="AQ694" s="30"/>
      <c r="AR694" s="30"/>
      <c r="AS694" s="30"/>
      <c r="AT694" s="30"/>
      <c r="AU694" s="30"/>
      <c r="AV694" s="30"/>
      <c r="AW694" s="30"/>
      <c r="AX694" s="30"/>
      <c r="AY694" s="30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30"/>
      <c r="BK694" s="30"/>
      <c r="BL694" s="30"/>
      <c r="BM694" s="30"/>
      <c r="BN694" s="30"/>
      <c r="BO694" s="30"/>
      <c r="BP694" s="30"/>
      <c r="BQ694" s="30"/>
      <c r="BR694" s="30"/>
      <c r="BS694" s="30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30"/>
      <c r="CE694" s="30"/>
      <c r="CF694" s="30"/>
      <c r="CG694" s="30"/>
      <c r="CH694" s="30"/>
      <c r="CI694" s="30"/>
      <c r="CJ694" s="30"/>
      <c r="CK694" s="30"/>
      <c r="CL694" s="30"/>
      <c r="CM694" s="30"/>
      <c r="CN694" s="1"/>
      <c r="CO694" s="1"/>
      <c r="CP694" s="1"/>
      <c r="CQ694" s="1"/>
      <c r="CR694" s="1"/>
      <c r="CS694" s="1"/>
      <c r="CT694" s="1"/>
      <c r="CU694" s="1"/>
      <c r="CV694" s="1"/>
      <c r="CW694" s="1"/>
    </row>
    <row r="695" spans="2:101" ht="15" hidden="1" customHeight="1" x14ac:dyDescent="0.25"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30"/>
      <c r="W695" s="30"/>
      <c r="X695" s="30"/>
      <c r="Y695" s="30"/>
      <c r="Z695" s="30"/>
      <c r="AA695" s="30"/>
      <c r="AB695" s="30"/>
      <c r="AC695" s="30"/>
      <c r="AD695" s="30"/>
      <c r="AE695" s="30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30"/>
      <c r="AQ695" s="30"/>
      <c r="AR695" s="30"/>
      <c r="AS695" s="30"/>
      <c r="AT695" s="30"/>
      <c r="AU695" s="30"/>
      <c r="AV695" s="30"/>
      <c r="AW695" s="30"/>
      <c r="AX695" s="30"/>
      <c r="AY695" s="30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30"/>
      <c r="BK695" s="30"/>
      <c r="BL695" s="30"/>
      <c r="BM695" s="30"/>
      <c r="BN695" s="30"/>
      <c r="BO695" s="30"/>
      <c r="BP695" s="30"/>
      <c r="BQ695" s="30"/>
      <c r="BR695" s="30"/>
      <c r="BS695" s="30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30"/>
      <c r="CE695" s="30"/>
      <c r="CF695" s="30"/>
      <c r="CG695" s="30"/>
      <c r="CH695" s="30"/>
      <c r="CI695" s="30"/>
      <c r="CJ695" s="30"/>
      <c r="CK695" s="30"/>
      <c r="CL695" s="30"/>
      <c r="CM695" s="30"/>
      <c r="CN695" s="1"/>
      <c r="CO695" s="1"/>
      <c r="CP695" s="1"/>
      <c r="CQ695" s="1"/>
      <c r="CR695" s="1"/>
      <c r="CS695" s="1"/>
      <c r="CT695" s="1"/>
      <c r="CU695" s="1"/>
      <c r="CV695" s="1"/>
      <c r="CW695" s="1"/>
    </row>
    <row r="696" spans="2:101" ht="15" hidden="1" customHeight="1" x14ac:dyDescent="0.25"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30"/>
      <c r="W696" s="30"/>
      <c r="X696" s="30"/>
      <c r="Y696" s="30"/>
      <c r="Z696" s="30"/>
      <c r="AA696" s="30"/>
      <c r="AB696" s="30"/>
      <c r="AC696" s="30"/>
      <c r="AD696" s="30"/>
      <c r="AE696" s="30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30"/>
      <c r="AQ696" s="30"/>
      <c r="AR696" s="30"/>
      <c r="AS696" s="30"/>
      <c r="AT696" s="30"/>
      <c r="AU696" s="30"/>
      <c r="AV696" s="30"/>
      <c r="AW696" s="30"/>
      <c r="AX696" s="30"/>
      <c r="AY696" s="30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30"/>
      <c r="BK696" s="30"/>
      <c r="BL696" s="30"/>
      <c r="BM696" s="30"/>
      <c r="BN696" s="30"/>
      <c r="BO696" s="30"/>
      <c r="BP696" s="30"/>
      <c r="BQ696" s="30"/>
      <c r="BR696" s="30"/>
      <c r="BS696" s="30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30"/>
      <c r="CE696" s="30"/>
      <c r="CF696" s="30"/>
      <c r="CG696" s="30"/>
      <c r="CH696" s="30"/>
      <c r="CI696" s="30"/>
      <c r="CJ696" s="30"/>
      <c r="CK696" s="30"/>
      <c r="CL696" s="30"/>
      <c r="CM696" s="30"/>
      <c r="CN696" s="1"/>
      <c r="CO696" s="1"/>
      <c r="CP696" s="1"/>
      <c r="CQ696" s="1"/>
      <c r="CR696" s="1"/>
      <c r="CS696" s="1"/>
      <c r="CT696" s="1"/>
      <c r="CU696" s="1"/>
      <c r="CV696" s="1"/>
      <c r="CW696" s="1"/>
    </row>
    <row r="697" spans="2:101" ht="15" hidden="1" customHeight="1" x14ac:dyDescent="0.25"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30"/>
      <c r="W697" s="30"/>
      <c r="X697" s="30"/>
      <c r="Y697" s="30"/>
      <c r="Z697" s="30"/>
      <c r="AA697" s="30"/>
      <c r="AB697" s="30"/>
      <c r="AC697" s="30"/>
      <c r="AD697" s="30"/>
      <c r="AE697" s="30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30"/>
      <c r="AQ697" s="30"/>
      <c r="AR697" s="30"/>
      <c r="AS697" s="30"/>
      <c r="AT697" s="30"/>
      <c r="AU697" s="30"/>
      <c r="AV697" s="30"/>
      <c r="AW697" s="30"/>
      <c r="AX697" s="30"/>
      <c r="AY697" s="30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30"/>
      <c r="BK697" s="30"/>
      <c r="BL697" s="30"/>
      <c r="BM697" s="30"/>
      <c r="BN697" s="30"/>
      <c r="BO697" s="30"/>
      <c r="BP697" s="30"/>
      <c r="BQ697" s="30"/>
      <c r="BR697" s="30"/>
      <c r="BS697" s="30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30"/>
      <c r="CE697" s="30"/>
      <c r="CF697" s="30"/>
      <c r="CG697" s="30"/>
      <c r="CH697" s="30"/>
      <c r="CI697" s="30"/>
      <c r="CJ697" s="30"/>
      <c r="CK697" s="30"/>
      <c r="CL697" s="30"/>
      <c r="CM697" s="30"/>
      <c r="CN697" s="1"/>
      <c r="CO697" s="1"/>
      <c r="CP697" s="1"/>
      <c r="CQ697" s="1"/>
      <c r="CR697" s="1"/>
      <c r="CS697" s="1"/>
      <c r="CT697" s="1"/>
      <c r="CU697" s="1"/>
      <c r="CV697" s="1"/>
      <c r="CW697" s="1"/>
    </row>
    <row r="698" spans="2:101" ht="15" hidden="1" customHeight="1" x14ac:dyDescent="0.25"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30"/>
      <c r="W698" s="30"/>
      <c r="X698" s="30"/>
      <c r="Y698" s="30"/>
      <c r="Z698" s="30"/>
      <c r="AA698" s="30"/>
      <c r="AB698" s="30"/>
      <c r="AC698" s="30"/>
      <c r="AD698" s="30"/>
      <c r="AE698" s="30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30"/>
      <c r="AQ698" s="30"/>
      <c r="AR698" s="30"/>
      <c r="AS698" s="30"/>
      <c r="AT698" s="30"/>
      <c r="AU698" s="30"/>
      <c r="AV698" s="30"/>
      <c r="AW698" s="30"/>
      <c r="AX698" s="30"/>
      <c r="AY698" s="30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30"/>
      <c r="BK698" s="30"/>
      <c r="BL698" s="30"/>
      <c r="BM698" s="30"/>
      <c r="BN698" s="30"/>
      <c r="BO698" s="30"/>
      <c r="BP698" s="30"/>
      <c r="BQ698" s="30"/>
      <c r="BR698" s="30"/>
      <c r="BS698" s="30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30"/>
      <c r="CE698" s="30"/>
      <c r="CF698" s="30"/>
      <c r="CG698" s="30"/>
      <c r="CH698" s="30"/>
      <c r="CI698" s="30"/>
      <c r="CJ698" s="30"/>
      <c r="CK698" s="30"/>
      <c r="CL698" s="30"/>
      <c r="CM698" s="30"/>
      <c r="CN698" s="1"/>
      <c r="CO698" s="1"/>
      <c r="CP698" s="1"/>
      <c r="CQ698" s="1"/>
      <c r="CR698" s="1"/>
      <c r="CS698" s="1"/>
      <c r="CT698" s="1"/>
      <c r="CU698" s="1"/>
      <c r="CV698" s="1"/>
      <c r="CW698" s="1"/>
    </row>
    <row r="699" spans="2:101" ht="15" hidden="1" customHeight="1" x14ac:dyDescent="0.25"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30"/>
      <c r="W699" s="30"/>
      <c r="X699" s="30"/>
      <c r="Y699" s="30"/>
      <c r="Z699" s="30"/>
      <c r="AA699" s="30"/>
      <c r="AB699" s="30"/>
      <c r="AC699" s="30"/>
      <c r="AD699" s="30"/>
      <c r="AE699" s="30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30"/>
      <c r="AQ699" s="30"/>
      <c r="AR699" s="30"/>
      <c r="AS699" s="30"/>
      <c r="AT699" s="30"/>
      <c r="AU699" s="30"/>
      <c r="AV699" s="30"/>
      <c r="AW699" s="30"/>
      <c r="AX699" s="30"/>
      <c r="AY699" s="30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30"/>
      <c r="BK699" s="30"/>
      <c r="BL699" s="30"/>
      <c r="BM699" s="30"/>
      <c r="BN699" s="30"/>
      <c r="BO699" s="30"/>
      <c r="BP699" s="30"/>
      <c r="BQ699" s="30"/>
      <c r="BR699" s="30"/>
      <c r="BS699" s="30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30"/>
      <c r="CE699" s="30"/>
      <c r="CF699" s="30"/>
      <c r="CG699" s="30"/>
      <c r="CH699" s="30"/>
      <c r="CI699" s="30"/>
      <c r="CJ699" s="30"/>
      <c r="CK699" s="30"/>
      <c r="CL699" s="30"/>
      <c r="CM699" s="30"/>
      <c r="CN699" s="1"/>
      <c r="CO699" s="1"/>
      <c r="CP699" s="1"/>
      <c r="CQ699" s="1"/>
      <c r="CR699" s="1"/>
      <c r="CS699" s="1"/>
      <c r="CT699" s="1"/>
      <c r="CU699" s="1"/>
      <c r="CV699" s="1"/>
      <c r="CW699" s="1"/>
    </row>
    <row r="700" spans="2:101" ht="15" hidden="1" customHeight="1" x14ac:dyDescent="0.25"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30"/>
      <c r="W700" s="30"/>
      <c r="X700" s="30"/>
      <c r="Y700" s="30"/>
      <c r="Z700" s="30"/>
      <c r="AA700" s="30"/>
      <c r="AB700" s="30"/>
      <c r="AC700" s="30"/>
      <c r="AD700" s="30"/>
      <c r="AE700" s="30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30"/>
      <c r="AQ700" s="30"/>
      <c r="AR700" s="30"/>
      <c r="AS700" s="30"/>
      <c r="AT700" s="30"/>
      <c r="AU700" s="30"/>
      <c r="AV700" s="30"/>
      <c r="AW700" s="30"/>
      <c r="AX700" s="30"/>
      <c r="AY700" s="30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30"/>
      <c r="BK700" s="30"/>
      <c r="BL700" s="30"/>
      <c r="BM700" s="30"/>
      <c r="BN700" s="30"/>
      <c r="BO700" s="30"/>
      <c r="BP700" s="30"/>
      <c r="BQ700" s="30"/>
      <c r="BR700" s="30"/>
      <c r="BS700" s="30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30"/>
      <c r="CE700" s="30"/>
      <c r="CF700" s="30"/>
      <c r="CG700" s="30"/>
      <c r="CH700" s="30"/>
      <c r="CI700" s="30"/>
      <c r="CJ700" s="30"/>
      <c r="CK700" s="30"/>
      <c r="CL700" s="30"/>
      <c r="CM700" s="30"/>
      <c r="CN700" s="1"/>
      <c r="CO700" s="1"/>
      <c r="CP700" s="1"/>
      <c r="CQ700" s="1"/>
      <c r="CR700" s="1"/>
      <c r="CS700" s="1"/>
      <c r="CT700" s="1"/>
      <c r="CU700" s="1"/>
      <c r="CV700" s="1"/>
      <c r="CW700" s="1"/>
    </row>
    <row r="701" spans="2:101" ht="15" hidden="1" customHeight="1" x14ac:dyDescent="0.25"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30"/>
      <c r="W701" s="30"/>
      <c r="X701" s="30"/>
      <c r="Y701" s="30"/>
      <c r="Z701" s="30"/>
      <c r="AA701" s="30"/>
      <c r="AB701" s="30"/>
      <c r="AC701" s="30"/>
      <c r="AD701" s="30"/>
      <c r="AE701" s="30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30"/>
      <c r="AQ701" s="30"/>
      <c r="AR701" s="30"/>
      <c r="AS701" s="30"/>
      <c r="AT701" s="30"/>
      <c r="AU701" s="30"/>
      <c r="AV701" s="30"/>
      <c r="AW701" s="30"/>
      <c r="AX701" s="30"/>
      <c r="AY701" s="30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30"/>
      <c r="BK701" s="30"/>
      <c r="BL701" s="30"/>
      <c r="BM701" s="30"/>
      <c r="BN701" s="30"/>
      <c r="BO701" s="30"/>
      <c r="BP701" s="30"/>
      <c r="BQ701" s="30"/>
      <c r="BR701" s="30"/>
      <c r="BS701" s="30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30"/>
      <c r="CE701" s="30"/>
      <c r="CF701" s="30"/>
      <c r="CG701" s="30"/>
      <c r="CH701" s="30"/>
      <c r="CI701" s="30"/>
      <c r="CJ701" s="30"/>
      <c r="CK701" s="30"/>
      <c r="CL701" s="30"/>
      <c r="CM701" s="30"/>
      <c r="CN701" s="1"/>
      <c r="CO701" s="1"/>
      <c r="CP701" s="1"/>
      <c r="CQ701" s="1"/>
      <c r="CR701" s="1"/>
      <c r="CS701" s="1"/>
      <c r="CT701" s="1"/>
      <c r="CU701" s="1"/>
      <c r="CV701" s="1"/>
      <c r="CW701" s="1"/>
    </row>
    <row r="702" spans="2:101" ht="15" hidden="1" customHeight="1" x14ac:dyDescent="0.25"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30"/>
      <c r="W702" s="30"/>
      <c r="X702" s="30"/>
      <c r="Y702" s="30"/>
      <c r="Z702" s="30"/>
      <c r="AA702" s="30"/>
      <c r="AB702" s="30"/>
      <c r="AC702" s="30"/>
      <c r="AD702" s="30"/>
      <c r="AE702" s="30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30"/>
      <c r="AQ702" s="30"/>
      <c r="AR702" s="30"/>
      <c r="AS702" s="30"/>
      <c r="AT702" s="30"/>
      <c r="AU702" s="30"/>
      <c r="AV702" s="30"/>
      <c r="AW702" s="30"/>
      <c r="AX702" s="30"/>
      <c r="AY702" s="30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30"/>
      <c r="BK702" s="30"/>
      <c r="BL702" s="30"/>
      <c r="BM702" s="30"/>
      <c r="BN702" s="30"/>
      <c r="BO702" s="30"/>
      <c r="BP702" s="30"/>
      <c r="BQ702" s="30"/>
      <c r="BR702" s="30"/>
      <c r="BS702" s="30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30"/>
      <c r="CE702" s="30"/>
      <c r="CF702" s="30"/>
      <c r="CG702" s="30"/>
      <c r="CH702" s="30"/>
      <c r="CI702" s="30"/>
      <c r="CJ702" s="30"/>
      <c r="CK702" s="30"/>
      <c r="CL702" s="30"/>
      <c r="CM702" s="30"/>
      <c r="CN702" s="1"/>
      <c r="CO702" s="1"/>
      <c r="CP702" s="1"/>
      <c r="CQ702" s="1"/>
      <c r="CR702" s="1"/>
      <c r="CS702" s="1"/>
      <c r="CT702" s="1"/>
      <c r="CU702" s="1"/>
      <c r="CV702" s="1"/>
      <c r="CW702" s="1"/>
    </row>
    <row r="703" spans="2:101" ht="15" hidden="1" customHeight="1" x14ac:dyDescent="0.25"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30"/>
      <c r="W703" s="30"/>
      <c r="X703" s="30"/>
      <c r="Y703" s="30"/>
      <c r="Z703" s="30"/>
      <c r="AA703" s="30"/>
      <c r="AB703" s="30"/>
      <c r="AC703" s="30"/>
      <c r="AD703" s="30"/>
      <c r="AE703" s="30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30"/>
      <c r="AQ703" s="30"/>
      <c r="AR703" s="30"/>
      <c r="AS703" s="30"/>
      <c r="AT703" s="30"/>
      <c r="AU703" s="30"/>
      <c r="AV703" s="30"/>
      <c r="AW703" s="30"/>
      <c r="AX703" s="30"/>
      <c r="AY703" s="30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30"/>
      <c r="BK703" s="30"/>
      <c r="BL703" s="30"/>
      <c r="BM703" s="30"/>
      <c r="BN703" s="30"/>
      <c r="BO703" s="30"/>
      <c r="BP703" s="30"/>
      <c r="BQ703" s="30"/>
      <c r="BR703" s="30"/>
      <c r="BS703" s="30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30"/>
      <c r="CE703" s="30"/>
      <c r="CF703" s="30"/>
      <c r="CG703" s="30"/>
      <c r="CH703" s="30"/>
      <c r="CI703" s="30"/>
      <c r="CJ703" s="30"/>
      <c r="CK703" s="30"/>
      <c r="CL703" s="30"/>
      <c r="CM703" s="30"/>
      <c r="CN703" s="1"/>
      <c r="CO703" s="1"/>
      <c r="CP703" s="1"/>
      <c r="CQ703" s="1"/>
      <c r="CR703" s="1"/>
      <c r="CS703" s="1"/>
      <c r="CT703" s="1"/>
      <c r="CU703" s="1"/>
      <c r="CV703" s="1"/>
      <c r="CW703" s="1"/>
    </row>
    <row r="704" spans="2:101" ht="15" hidden="1" customHeight="1" x14ac:dyDescent="0.25"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30"/>
      <c r="W704" s="30"/>
      <c r="X704" s="30"/>
      <c r="Y704" s="30"/>
      <c r="Z704" s="30"/>
      <c r="AA704" s="30"/>
      <c r="AB704" s="30"/>
      <c r="AC704" s="30"/>
      <c r="AD704" s="30"/>
      <c r="AE704" s="30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30"/>
      <c r="AQ704" s="30"/>
      <c r="AR704" s="30"/>
      <c r="AS704" s="30"/>
      <c r="AT704" s="30"/>
      <c r="AU704" s="30"/>
      <c r="AV704" s="30"/>
      <c r="AW704" s="30"/>
      <c r="AX704" s="30"/>
      <c r="AY704" s="30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1"/>
      <c r="CO704" s="1"/>
      <c r="CP704" s="1"/>
      <c r="CQ704" s="1"/>
      <c r="CR704" s="1"/>
      <c r="CS704" s="1"/>
      <c r="CT704" s="1"/>
      <c r="CU704" s="1"/>
      <c r="CV704" s="1"/>
      <c r="CW704" s="1"/>
    </row>
    <row r="705" spans="2:101" ht="15" hidden="1" customHeight="1" x14ac:dyDescent="0.25"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30"/>
      <c r="W705" s="30"/>
      <c r="X705" s="30"/>
      <c r="Y705" s="30"/>
      <c r="Z705" s="30"/>
      <c r="AA705" s="30"/>
      <c r="AB705" s="30"/>
      <c r="AC705" s="30"/>
      <c r="AD705" s="30"/>
      <c r="AE705" s="30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30"/>
      <c r="AQ705" s="30"/>
      <c r="AR705" s="30"/>
      <c r="AS705" s="30"/>
      <c r="AT705" s="30"/>
      <c r="AU705" s="30"/>
      <c r="AV705" s="30"/>
      <c r="AW705" s="30"/>
      <c r="AX705" s="30"/>
      <c r="AY705" s="30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1"/>
      <c r="CO705" s="1"/>
      <c r="CP705" s="1"/>
      <c r="CQ705" s="1"/>
      <c r="CR705" s="1"/>
      <c r="CS705" s="1"/>
      <c r="CT705" s="1"/>
      <c r="CU705" s="1"/>
      <c r="CV705" s="1"/>
      <c r="CW705" s="1"/>
    </row>
    <row r="706" spans="2:101" ht="15" hidden="1" customHeight="1" x14ac:dyDescent="0.25"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30"/>
      <c r="W706" s="30"/>
      <c r="X706" s="30"/>
      <c r="Y706" s="30"/>
      <c r="Z706" s="30"/>
      <c r="AA706" s="30"/>
      <c r="AB706" s="30"/>
      <c r="AC706" s="30"/>
      <c r="AD706" s="30"/>
      <c r="AE706" s="30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30"/>
      <c r="AQ706" s="30"/>
      <c r="AR706" s="30"/>
      <c r="AS706" s="30"/>
      <c r="AT706" s="30"/>
      <c r="AU706" s="30"/>
      <c r="AV706" s="30"/>
      <c r="AW706" s="30"/>
      <c r="AX706" s="30"/>
      <c r="AY706" s="30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1"/>
      <c r="CO706" s="1"/>
      <c r="CP706" s="1"/>
      <c r="CQ706" s="1"/>
      <c r="CR706" s="1"/>
      <c r="CS706" s="1"/>
      <c r="CT706" s="1"/>
      <c r="CU706" s="1"/>
      <c r="CV706" s="1"/>
      <c r="CW706" s="1"/>
    </row>
    <row r="707" spans="2:101" ht="15" hidden="1" customHeight="1" x14ac:dyDescent="0.25"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30"/>
      <c r="W707" s="30"/>
      <c r="X707" s="30"/>
      <c r="Y707" s="30"/>
      <c r="Z707" s="30"/>
      <c r="AA707" s="30"/>
      <c r="AB707" s="30"/>
      <c r="AC707" s="30"/>
      <c r="AD707" s="30"/>
      <c r="AE707" s="30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30"/>
      <c r="AQ707" s="30"/>
      <c r="AR707" s="30"/>
      <c r="AS707" s="30"/>
      <c r="AT707" s="30"/>
      <c r="AU707" s="30"/>
      <c r="AV707" s="30"/>
      <c r="AW707" s="30"/>
      <c r="AX707" s="30"/>
      <c r="AY707" s="30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1"/>
      <c r="CO707" s="1"/>
      <c r="CP707" s="1"/>
      <c r="CQ707" s="1"/>
      <c r="CR707" s="1"/>
      <c r="CS707" s="1"/>
      <c r="CT707" s="1"/>
      <c r="CU707" s="1"/>
      <c r="CV707" s="1"/>
      <c r="CW707" s="1"/>
    </row>
    <row r="708" spans="2:101" ht="15" hidden="1" customHeight="1" x14ac:dyDescent="0.25"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30"/>
      <c r="W708" s="30"/>
      <c r="X708" s="30"/>
      <c r="Y708" s="30"/>
      <c r="Z708" s="30"/>
      <c r="AA708" s="30"/>
      <c r="AB708" s="30"/>
      <c r="AC708" s="30"/>
      <c r="AD708" s="30"/>
      <c r="AE708" s="30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30"/>
      <c r="AQ708" s="30"/>
      <c r="AR708" s="30"/>
      <c r="AS708" s="30"/>
      <c r="AT708" s="30"/>
      <c r="AU708" s="30"/>
      <c r="AV708" s="30"/>
      <c r="AW708" s="30"/>
      <c r="AX708" s="30"/>
      <c r="AY708" s="30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1"/>
      <c r="CO708" s="1"/>
      <c r="CP708" s="1"/>
      <c r="CQ708" s="1"/>
      <c r="CR708" s="1"/>
      <c r="CS708" s="1"/>
      <c r="CT708" s="1"/>
      <c r="CU708" s="1"/>
      <c r="CV708" s="1"/>
      <c r="CW708" s="1"/>
    </row>
    <row r="709" spans="2:101" ht="15" hidden="1" customHeight="1" x14ac:dyDescent="0.25"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30"/>
      <c r="W709" s="30"/>
      <c r="X709" s="30"/>
      <c r="Y709" s="30"/>
      <c r="Z709" s="30"/>
      <c r="AA709" s="30"/>
      <c r="AB709" s="30"/>
      <c r="AC709" s="30"/>
      <c r="AD709" s="30"/>
      <c r="AE709" s="30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30"/>
      <c r="AQ709" s="30"/>
      <c r="AR709" s="30"/>
      <c r="AS709" s="30"/>
      <c r="AT709" s="30"/>
      <c r="AU709" s="30"/>
      <c r="AV709" s="30"/>
      <c r="AW709" s="30"/>
      <c r="AX709" s="30"/>
      <c r="AY709" s="30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1"/>
      <c r="CO709" s="1"/>
      <c r="CP709" s="1"/>
      <c r="CQ709" s="1"/>
      <c r="CR709" s="1"/>
      <c r="CS709" s="1"/>
      <c r="CT709" s="1"/>
      <c r="CU709" s="1"/>
      <c r="CV709" s="1"/>
      <c r="CW709" s="1"/>
    </row>
    <row r="710" spans="2:101" ht="15" hidden="1" customHeight="1" x14ac:dyDescent="0.25"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30"/>
      <c r="W710" s="30"/>
      <c r="X710" s="30"/>
      <c r="Y710" s="30"/>
      <c r="Z710" s="30"/>
      <c r="AA710" s="30"/>
      <c r="AB710" s="30"/>
      <c r="AC710" s="30"/>
      <c r="AD710" s="30"/>
      <c r="AE710" s="30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30"/>
      <c r="AQ710" s="30"/>
      <c r="AR710" s="30"/>
      <c r="AS710" s="30"/>
      <c r="AT710" s="30"/>
      <c r="AU710" s="30"/>
      <c r="AV710" s="30"/>
      <c r="AW710" s="30"/>
      <c r="AX710" s="30"/>
      <c r="AY710" s="30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1"/>
      <c r="CO710" s="1"/>
      <c r="CP710" s="1"/>
      <c r="CQ710" s="1"/>
      <c r="CR710" s="1"/>
      <c r="CS710" s="1"/>
      <c r="CT710" s="1"/>
      <c r="CU710" s="1"/>
      <c r="CV710" s="1"/>
      <c r="CW710" s="1"/>
    </row>
    <row r="711" spans="2:101" ht="15" hidden="1" customHeight="1" x14ac:dyDescent="0.25"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30"/>
      <c r="W711" s="30"/>
      <c r="X711" s="30"/>
      <c r="Y711" s="30"/>
      <c r="Z711" s="30"/>
      <c r="AA711" s="30"/>
      <c r="AB711" s="30"/>
      <c r="AC711" s="30"/>
      <c r="AD711" s="30"/>
      <c r="AE711" s="30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30"/>
      <c r="AQ711" s="30"/>
      <c r="AR711" s="30"/>
      <c r="AS711" s="30"/>
      <c r="AT711" s="30"/>
      <c r="AU711" s="30"/>
      <c r="AV711" s="30"/>
      <c r="AW711" s="30"/>
      <c r="AX711" s="30"/>
      <c r="AY711" s="30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1"/>
      <c r="CO711" s="1"/>
      <c r="CP711" s="1"/>
      <c r="CQ711" s="1"/>
      <c r="CR711" s="1"/>
      <c r="CS711" s="1"/>
      <c r="CT711" s="1"/>
      <c r="CU711" s="1"/>
      <c r="CV711" s="1"/>
      <c r="CW711" s="1"/>
    </row>
    <row r="712" spans="2:101" ht="15" hidden="1" customHeight="1" x14ac:dyDescent="0.25"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30"/>
      <c r="W712" s="30"/>
      <c r="X712" s="30"/>
      <c r="Y712" s="30"/>
      <c r="Z712" s="30"/>
      <c r="AA712" s="30"/>
      <c r="AB712" s="30"/>
      <c r="AC712" s="30"/>
      <c r="AD712" s="30"/>
      <c r="AE712" s="30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30"/>
      <c r="AQ712" s="30"/>
      <c r="AR712" s="30"/>
      <c r="AS712" s="30"/>
      <c r="AT712" s="30"/>
      <c r="AU712" s="30"/>
      <c r="AV712" s="30"/>
      <c r="AW712" s="30"/>
      <c r="AX712" s="30"/>
      <c r="AY712" s="30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1"/>
      <c r="CO712" s="1"/>
      <c r="CP712" s="1"/>
      <c r="CQ712" s="1"/>
      <c r="CR712" s="1"/>
      <c r="CS712" s="1"/>
      <c r="CT712" s="1"/>
      <c r="CU712" s="1"/>
      <c r="CV712" s="1"/>
      <c r="CW712" s="1"/>
    </row>
    <row r="713" spans="2:101" ht="15" hidden="1" customHeight="1" x14ac:dyDescent="0.25"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30"/>
      <c r="W713" s="30"/>
      <c r="X713" s="30"/>
      <c r="Y713" s="30"/>
      <c r="Z713" s="30"/>
      <c r="AA713" s="30"/>
      <c r="AB713" s="30"/>
      <c r="AC713" s="30"/>
      <c r="AD713" s="30"/>
      <c r="AE713" s="30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30"/>
      <c r="AQ713" s="30"/>
      <c r="AR713" s="30"/>
      <c r="AS713" s="30"/>
      <c r="AT713" s="30"/>
      <c r="AU713" s="30"/>
      <c r="AV713" s="30"/>
      <c r="AW713" s="30"/>
      <c r="AX713" s="30"/>
      <c r="AY713" s="30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1"/>
      <c r="CO713" s="1"/>
      <c r="CP713" s="1"/>
      <c r="CQ713" s="1"/>
      <c r="CR713" s="1"/>
      <c r="CS713" s="1"/>
      <c r="CT713" s="1"/>
      <c r="CU713" s="1"/>
      <c r="CV713" s="1"/>
      <c r="CW713" s="1"/>
    </row>
    <row r="714" spans="2:101" ht="15" hidden="1" customHeight="1" x14ac:dyDescent="0.25"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30"/>
      <c r="W714" s="30"/>
      <c r="X714" s="30"/>
      <c r="Y714" s="30"/>
      <c r="Z714" s="30"/>
      <c r="AA714" s="30"/>
      <c r="AB714" s="30"/>
      <c r="AC714" s="30"/>
      <c r="AD714" s="30"/>
      <c r="AE714" s="30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30"/>
      <c r="AQ714" s="30"/>
      <c r="AR714" s="30"/>
      <c r="AS714" s="30"/>
      <c r="AT714" s="30"/>
      <c r="AU714" s="30"/>
      <c r="AV714" s="30"/>
      <c r="AW714" s="30"/>
      <c r="AX714" s="30"/>
      <c r="AY714" s="30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1"/>
      <c r="CO714" s="1"/>
      <c r="CP714" s="1"/>
      <c r="CQ714" s="1"/>
      <c r="CR714" s="1"/>
      <c r="CS714" s="1"/>
      <c r="CT714" s="1"/>
      <c r="CU714" s="1"/>
      <c r="CV714" s="1"/>
      <c r="CW714" s="1"/>
    </row>
    <row r="715" spans="2:101" ht="15" hidden="1" customHeight="1" x14ac:dyDescent="0.25"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30"/>
      <c r="W715" s="30"/>
      <c r="X715" s="30"/>
      <c r="Y715" s="30"/>
      <c r="Z715" s="30"/>
      <c r="AA715" s="30"/>
      <c r="AB715" s="30"/>
      <c r="AC715" s="30"/>
      <c r="AD715" s="30"/>
      <c r="AE715" s="30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30"/>
      <c r="AQ715" s="30"/>
      <c r="AR715" s="30"/>
      <c r="AS715" s="30"/>
      <c r="AT715" s="30"/>
      <c r="AU715" s="30"/>
      <c r="AV715" s="30"/>
      <c r="AW715" s="30"/>
      <c r="AX715" s="30"/>
      <c r="AY715" s="30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1"/>
      <c r="CO715" s="1"/>
      <c r="CP715" s="1"/>
      <c r="CQ715" s="1"/>
      <c r="CR715" s="1"/>
      <c r="CS715" s="1"/>
      <c r="CT715" s="1"/>
      <c r="CU715" s="1"/>
      <c r="CV715" s="1"/>
      <c r="CW715" s="1"/>
    </row>
    <row r="716" spans="2:101" ht="15" hidden="1" customHeight="1" x14ac:dyDescent="0.25"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30"/>
      <c r="W716" s="30"/>
      <c r="X716" s="30"/>
      <c r="Y716" s="30"/>
      <c r="Z716" s="30"/>
      <c r="AA716" s="30"/>
      <c r="AB716" s="30"/>
      <c r="AC716" s="30"/>
      <c r="AD716" s="30"/>
      <c r="AE716" s="30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30"/>
      <c r="AQ716" s="30"/>
      <c r="AR716" s="30"/>
      <c r="AS716" s="30"/>
      <c r="AT716" s="30"/>
      <c r="AU716" s="30"/>
      <c r="AV716" s="30"/>
      <c r="AW716" s="30"/>
      <c r="AX716" s="30"/>
      <c r="AY716" s="30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1"/>
      <c r="CO716" s="1"/>
      <c r="CP716" s="1"/>
      <c r="CQ716" s="1"/>
      <c r="CR716" s="1"/>
      <c r="CS716" s="1"/>
      <c r="CT716" s="1"/>
      <c r="CU716" s="1"/>
      <c r="CV716" s="1"/>
      <c r="CW716" s="1"/>
    </row>
    <row r="717" spans="2:101" ht="15" hidden="1" customHeight="1" x14ac:dyDescent="0.25"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30"/>
      <c r="W717" s="30"/>
      <c r="X717" s="30"/>
      <c r="Y717" s="30"/>
      <c r="Z717" s="30"/>
      <c r="AA717" s="30"/>
      <c r="AB717" s="30"/>
      <c r="AC717" s="30"/>
      <c r="AD717" s="30"/>
      <c r="AE717" s="30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30"/>
      <c r="AQ717" s="30"/>
      <c r="AR717" s="30"/>
      <c r="AS717" s="30"/>
      <c r="AT717" s="30"/>
      <c r="AU717" s="30"/>
      <c r="AV717" s="30"/>
      <c r="AW717" s="30"/>
      <c r="AX717" s="30"/>
      <c r="AY717" s="30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1"/>
      <c r="CO717" s="1"/>
      <c r="CP717" s="1"/>
      <c r="CQ717" s="1"/>
      <c r="CR717" s="1"/>
      <c r="CS717" s="1"/>
      <c r="CT717" s="1"/>
      <c r="CU717" s="1"/>
      <c r="CV717" s="1"/>
      <c r="CW717" s="1"/>
    </row>
    <row r="718" spans="2:101" ht="15" hidden="1" customHeight="1" x14ac:dyDescent="0.25"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30"/>
      <c r="W718" s="30"/>
      <c r="X718" s="30"/>
      <c r="Y718" s="30"/>
      <c r="Z718" s="30"/>
      <c r="AA718" s="30"/>
      <c r="AB718" s="30"/>
      <c r="AC718" s="30"/>
      <c r="AD718" s="30"/>
      <c r="AE718" s="30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30"/>
      <c r="AQ718" s="30"/>
      <c r="AR718" s="30"/>
      <c r="AS718" s="30"/>
      <c r="AT718" s="30"/>
      <c r="AU718" s="30"/>
      <c r="AV718" s="30"/>
      <c r="AW718" s="30"/>
      <c r="AX718" s="30"/>
      <c r="AY718" s="30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1"/>
      <c r="CO718" s="1"/>
      <c r="CP718" s="1"/>
      <c r="CQ718" s="1"/>
      <c r="CR718" s="1"/>
      <c r="CS718" s="1"/>
      <c r="CT718" s="1"/>
      <c r="CU718" s="1"/>
      <c r="CV718" s="1"/>
      <c r="CW718" s="1"/>
    </row>
    <row r="719" spans="2:101" ht="15" hidden="1" customHeight="1" x14ac:dyDescent="0.25"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30"/>
      <c r="W719" s="30"/>
      <c r="X719" s="30"/>
      <c r="Y719" s="30"/>
      <c r="Z719" s="30"/>
      <c r="AA719" s="30"/>
      <c r="AB719" s="30"/>
      <c r="AC719" s="30"/>
      <c r="AD719" s="30"/>
      <c r="AE719" s="30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30"/>
      <c r="AQ719" s="30"/>
      <c r="AR719" s="30"/>
      <c r="AS719" s="30"/>
      <c r="AT719" s="30"/>
      <c r="AU719" s="30"/>
      <c r="AV719" s="30"/>
      <c r="AW719" s="30"/>
      <c r="AX719" s="30"/>
      <c r="AY719" s="30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1"/>
      <c r="CO719" s="1"/>
      <c r="CP719" s="1"/>
      <c r="CQ719" s="1"/>
      <c r="CR719" s="1"/>
      <c r="CS719" s="1"/>
      <c r="CT719" s="1"/>
      <c r="CU719" s="1"/>
      <c r="CV719" s="1"/>
      <c r="CW719" s="1"/>
    </row>
    <row r="720" spans="2:101" ht="15" hidden="1" customHeight="1" x14ac:dyDescent="0.25"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30"/>
      <c r="W720" s="30"/>
      <c r="X720" s="30"/>
      <c r="Y720" s="30"/>
      <c r="Z720" s="30"/>
      <c r="AA720" s="30"/>
      <c r="AB720" s="30"/>
      <c r="AC720" s="30"/>
      <c r="AD720" s="30"/>
      <c r="AE720" s="30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30"/>
      <c r="AQ720" s="30"/>
      <c r="AR720" s="30"/>
      <c r="AS720" s="30"/>
      <c r="AT720" s="30"/>
      <c r="AU720" s="30"/>
      <c r="AV720" s="30"/>
      <c r="AW720" s="30"/>
      <c r="AX720" s="30"/>
      <c r="AY720" s="30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30"/>
      <c r="BK720" s="30"/>
      <c r="BL720" s="30"/>
      <c r="BM720" s="30"/>
      <c r="BN720" s="30"/>
      <c r="BO720" s="30"/>
      <c r="BP720" s="30"/>
      <c r="BQ720" s="30"/>
      <c r="BR720" s="30"/>
      <c r="BS720" s="30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30"/>
      <c r="CE720" s="30"/>
      <c r="CF720" s="30"/>
      <c r="CG720" s="30"/>
      <c r="CH720" s="30"/>
      <c r="CI720" s="30"/>
      <c r="CJ720" s="30"/>
      <c r="CK720" s="30"/>
      <c r="CL720" s="30"/>
      <c r="CM720" s="30"/>
      <c r="CN720" s="1"/>
      <c r="CO720" s="1"/>
      <c r="CP720" s="1"/>
      <c r="CQ720" s="1"/>
      <c r="CR720" s="1"/>
      <c r="CS720" s="1"/>
      <c r="CT720" s="1"/>
      <c r="CU720" s="1"/>
      <c r="CV720" s="1"/>
      <c r="CW720" s="1"/>
    </row>
    <row r="721" spans="2:101" ht="15" hidden="1" customHeight="1" x14ac:dyDescent="0.25"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30"/>
      <c r="W721" s="30"/>
      <c r="X721" s="30"/>
      <c r="Y721" s="30"/>
      <c r="Z721" s="30"/>
      <c r="AA721" s="30"/>
      <c r="AB721" s="30"/>
      <c r="AC721" s="30"/>
      <c r="AD721" s="30"/>
      <c r="AE721" s="30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30"/>
      <c r="AQ721" s="30"/>
      <c r="AR721" s="30"/>
      <c r="AS721" s="30"/>
      <c r="AT721" s="30"/>
      <c r="AU721" s="30"/>
      <c r="AV721" s="30"/>
      <c r="AW721" s="30"/>
      <c r="AX721" s="30"/>
      <c r="AY721" s="30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30"/>
      <c r="BK721" s="30"/>
      <c r="BL721" s="30"/>
      <c r="BM721" s="30"/>
      <c r="BN721" s="30"/>
      <c r="BO721" s="30"/>
      <c r="BP721" s="30"/>
      <c r="BQ721" s="30"/>
      <c r="BR721" s="30"/>
      <c r="BS721" s="30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30"/>
      <c r="CE721" s="30"/>
      <c r="CF721" s="30"/>
      <c r="CG721" s="30"/>
      <c r="CH721" s="30"/>
      <c r="CI721" s="30"/>
      <c r="CJ721" s="30"/>
      <c r="CK721" s="30"/>
      <c r="CL721" s="30"/>
      <c r="CM721" s="30"/>
      <c r="CN721" s="1"/>
      <c r="CO721" s="1"/>
      <c r="CP721" s="1"/>
      <c r="CQ721" s="1"/>
      <c r="CR721" s="1"/>
      <c r="CS721" s="1"/>
      <c r="CT721" s="1"/>
      <c r="CU721" s="1"/>
      <c r="CV721" s="1"/>
      <c r="CW721" s="1"/>
    </row>
    <row r="722" spans="2:101" ht="15" hidden="1" customHeight="1" x14ac:dyDescent="0.25"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30"/>
      <c r="W722" s="30"/>
      <c r="X722" s="30"/>
      <c r="Y722" s="30"/>
      <c r="Z722" s="30"/>
      <c r="AA722" s="30"/>
      <c r="AB722" s="30"/>
      <c r="AC722" s="30"/>
      <c r="AD722" s="30"/>
      <c r="AE722" s="30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30"/>
      <c r="AQ722" s="30"/>
      <c r="AR722" s="30"/>
      <c r="AS722" s="30"/>
      <c r="AT722" s="30"/>
      <c r="AU722" s="30"/>
      <c r="AV722" s="30"/>
      <c r="AW722" s="30"/>
      <c r="AX722" s="30"/>
      <c r="AY722" s="30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30"/>
      <c r="BK722" s="30"/>
      <c r="BL722" s="30"/>
      <c r="BM722" s="30"/>
      <c r="BN722" s="30"/>
      <c r="BO722" s="30"/>
      <c r="BP722" s="30"/>
      <c r="BQ722" s="30"/>
      <c r="BR722" s="30"/>
      <c r="BS722" s="30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30"/>
      <c r="CE722" s="30"/>
      <c r="CF722" s="30"/>
      <c r="CG722" s="30"/>
      <c r="CH722" s="30"/>
      <c r="CI722" s="30"/>
      <c r="CJ722" s="30"/>
      <c r="CK722" s="30"/>
      <c r="CL722" s="30"/>
      <c r="CM722" s="30"/>
      <c r="CN722" s="1"/>
      <c r="CO722" s="1"/>
      <c r="CP722" s="1"/>
      <c r="CQ722" s="1"/>
      <c r="CR722" s="1"/>
      <c r="CS722" s="1"/>
      <c r="CT722" s="1"/>
      <c r="CU722" s="1"/>
      <c r="CV722" s="1"/>
      <c r="CW722" s="1"/>
    </row>
    <row r="723" spans="2:101" ht="15" hidden="1" customHeight="1" x14ac:dyDescent="0.25"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30"/>
      <c r="W723" s="30"/>
      <c r="X723" s="30"/>
      <c r="Y723" s="30"/>
      <c r="Z723" s="30"/>
      <c r="AA723" s="30"/>
      <c r="AB723" s="30"/>
      <c r="AC723" s="30"/>
      <c r="AD723" s="30"/>
      <c r="AE723" s="30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30"/>
      <c r="AQ723" s="30"/>
      <c r="AR723" s="30"/>
      <c r="AS723" s="30"/>
      <c r="AT723" s="30"/>
      <c r="AU723" s="30"/>
      <c r="AV723" s="30"/>
      <c r="AW723" s="30"/>
      <c r="AX723" s="30"/>
      <c r="AY723" s="30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30"/>
      <c r="BK723" s="30"/>
      <c r="BL723" s="30"/>
      <c r="BM723" s="30"/>
      <c r="BN723" s="30"/>
      <c r="BO723" s="30"/>
      <c r="BP723" s="30"/>
      <c r="BQ723" s="30"/>
      <c r="BR723" s="30"/>
      <c r="BS723" s="30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30"/>
      <c r="CE723" s="30"/>
      <c r="CF723" s="30"/>
      <c r="CG723" s="30"/>
      <c r="CH723" s="30"/>
      <c r="CI723" s="30"/>
      <c r="CJ723" s="30"/>
      <c r="CK723" s="30"/>
      <c r="CL723" s="30"/>
      <c r="CM723" s="30"/>
      <c r="CN723" s="1"/>
      <c r="CO723" s="1"/>
      <c r="CP723" s="1"/>
      <c r="CQ723" s="1"/>
      <c r="CR723" s="1"/>
      <c r="CS723" s="1"/>
      <c r="CT723" s="1"/>
      <c r="CU723" s="1"/>
      <c r="CV723" s="1"/>
      <c r="CW723" s="1"/>
    </row>
    <row r="724" spans="2:101" ht="15" hidden="1" customHeight="1" x14ac:dyDescent="0.25"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30"/>
      <c r="W724" s="30"/>
      <c r="X724" s="30"/>
      <c r="Y724" s="30"/>
      <c r="Z724" s="30"/>
      <c r="AA724" s="30"/>
      <c r="AB724" s="30"/>
      <c r="AC724" s="30"/>
      <c r="AD724" s="30"/>
      <c r="AE724" s="30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30"/>
      <c r="AQ724" s="30"/>
      <c r="AR724" s="30"/>
      <c r="AS724" s="30"/>
      <c r="AT724" s="30"/>
      <c r="AU724" s="30"/>
      <c r="AV724" s="30"/>
      <c r="AW724" s="30"/>
      <c r="AX724" s="30"/>
      <c r="AY724" s="30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30"/>
      <c r="BK724" s="30"/>
      <c r="BL724" s="30"/>
      <c r="BM724" s="30"/>
      <c r="BN724" s="30"/>
      <c r="BO724" s="30"/>
      <c r="BP724" s="30"/>
      <c r="BQ724" s="30"/>
      <c r="BR724" s="30"/>
      <c r="BS724" s="30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30"/>
      <c r="CE724" s="30"/>
      <c r="CF724" s="30"/>
      <c r="CG724" s="30"/>
      <c r="CH724" s="30"/>
      <c r="CI724" s="30"/>
      <c r="CJ724" s="30"/>
      <c r="CK724" s="30"/>
      <c r="CL724" s="30"/>
      <c r="CM724" s="30"/>
      <c r="CN724" s="1"/>
      <c r="CO724" s="1"/>
      <c r="CP724" s="1"/>
      <c r="CQ724" s="1"/>
      <c r="CR724" s="1"/>
      <c r="CS724" s="1"/>
      <c r="CT724" s="1"/>
      <c r="CU724" s="1"/>
      <c r="CV724" s="1"/>
      <c r="CW724" s="1"/>
    </row>
    <row r="725" spans="2:101" ht="15" hidden="1" customHeight="1" x14ac:dyDescent="0.25"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30"/>
      <c r="W725" s="30"/>
      <c r="X725" s="30"/>
      <c r="Y725" s="30"/>
      <c r="Z725" s="30"/>
      <c r="AA725" s="30"/>
      <c r="AB725" s="30"/>
      <c r="AC725" s="30"/>
      <c r="AD725" s="30"/>
      <c r="AE725" s="30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30"/>
      <c r="AQ725" s="30"/>
      <c r="AR725" s="30"/>
      <c r="AS725" s="30"/>
      <c r="AT725" s="30"/>
      <c r="AU725" s="30"/>
      <c r="AV725" s="30"/>
      <c r="AW725" s="30"/>
      <c r="AX725" s="30"/>
      <c r="AY725" s="30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30"/>
      <c r="BK725" s="30"/>
      <c r="BL725" s="30"/>
      <c r="BM725" s="30"/>
      <c r="BN725" s="30"/>
      <c r="BO725" s="30"/>
      <c r="BP725" s="30"/>
      <c r="BQ725" s="30"/>
      <c r="BR725" s="30"/>
      <c r="BS725" s="30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30"/>
      <c r="CE725" s="30"/>
      <c r="CF725" s="30"/>
      <c r="CG725" s="30"/>
      <c r="CH725" s="30"/>
      <c r="CI725" s="30"/>
      <c r="CJ725" s="30"/>
      <c r="CK725" s="30"/>
      <c r="CL725" s="30"/>
      <c r="CM725" s="30"/>
      <c r="CN725" s="1"/>
      <c r="CO725" s="1"/>
      <c r="CP725" s="1"/>
      <c r="CQ725" s="1"/>
      <c r="CR725" s="1"/>
      <c r="CS725" s="1"/>
      <c r="CT725" s="1"/>
      <c r="CU725" s="1"/>
      <c r="CV725" s="1"/>
      <c r="CW725" s="1"/>
    </row>
    <row r="726" spans="2:101" ht="15" hidden="1" customHeight="1" x14ac:dyDescent="0.25"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30"/>
      <c r="W726" s="30"/>
      <c r="X726" s="30"/>
      <c r="Y726" s="30"/>
      <c r="Z726" s="30"/>
      <c r="AA726" s="30"/>
      <c r="AB726" s="30"/>
      <c r="AC726" s="30"/>
      <c r="AD726" s="30"/>
      <c r="AE726" s="30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30"/>
      <c r="AQ726" s="30"/>
      <c r="AR726" s="30"/>
      <c r="AS726" s="30"/>
      <c r="AT726" s="30"/>
      <c r="AU726" s="30"/>
      <c r="AV726" s="30"/>
      <c r="AW726" s="30"/>
      <c r="AX726" s="30"/>
      <c r="AY726" s="30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30"/>
      <c r="BK726" s="30"/>
      <c r="BL726" s="30"/>
      <c r="BM726" s="30"/>
      <c r="BN726" s="30"/>
      <c r="BO726" s="30"/>
      <c r="BP726" s="30"/>
      <c r="BQ726" s="30"/>
      <c r="BR726" s="30"/>
      <c r="BS726" s="30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30"/>
      <c r="CE726" s="30"/>
      <c r="CF726" s="30"/>
      <c r="CG726" s="30"/>
      <c r="CH726" s="30"/>
      <c r="CI726" s="30"/>
      <c r="CJ726" s="30"/>
      <c r="CK726" s="30"/>
      <c r="CL726" s="30"/>
      <c r="CM726" s="30"/>
      <c r="CN726" s="1"/>
      <c r="CO726" s="1"/>
      <c r="CP726" s="1"/>
      <c r="CQ726" s="1"/>
      <c r="CR726" s="1"/>
      <c r="CS726" s="1"/>
      <c r="CT726" s="1"/>
      <c r="CU726" s="1"/>
      <c r="CV726" s="1"/>
      <c r="CW726" s="1"/>
    </row>
    <row r="727" spans="2:101" ht="15" hidden="1" customHeight="1" x14ac:dyDescent="0.25"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30"/>
      <c r="W727" s="30"/>
      <c r="X727" s="30"/>
      <c r="Y727" s="30"/>
      <c r="Z727" s="30"/>
      <c r="AA727" s="30"/>
      <c r="AB727" s="30"/>
      <c r="AC727" s="30"/>
      <c r="AD727" s="30"/>
      <c r="AE727" s="30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30"/>
      <c r="AQ727" s="30"/>
      <c r="AR727" s="30"/>
      <c r="AS727" s="30"/>
      <c r="AT727" s="30"/>
      <c r="AU727" s="30"/>
      <c r="AV727" s="30"/>
      <c r="AW727" s="30"/>
      <c r="AX727" s="30"/>
      <c r="AY727" s="30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30"/>
      <c r="BK727" s="30"/>
      <c r="BL727" s="30"/>
      <c r="BM727" s="30"/>
      <c r="BN727" s="30"/>
      <c r="BO727" s="30"/>
      <c r="BP727" s="30"/>
      <c r="BQ727" s="30"/>
      <c r="BR727" s="30"/>
      <c r="BS727" s="30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30"/>
      <c r="CE727" s="30"/>
      <c r="CF727" s="30"/>
      <c r="CG727" s="30"/>
      <c r="CH727" s="30"/>
      <c r="CI727" s="30"/>
      <c r="CJ727" s="30"/>
      <c r="CK727" s="30"/>
      <c r="CL727" s="30"/>
      <c r="CM727" s="30"/>
      <c r="CN727" s="1"/>
      <c r="CO727" s="1"/>
      <c r="CP727" s="1"/>
      <c r="CQ727" s="1"/>
      <c r="CR727" s="1"/>
      <c r="CS727" s="1"/>
      <c r="CT727" s="1"/>
      <c r="CU727" s="1"/>
      <c r="CV727" s="1"/>
      <c r="CW727" s="1"/>
    </row>
    <row r="728" spans="2:101" ht="15" hidden="1" customHeight="1" x14ac:dyDescent="0.25"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30"/>
      <c r="W728" s="30"/>
      <c r="X728" s="30"/>
      <c r="Y728" s="30"/>
      <c r="Z728" s="30"/>
      <c r="AA728" s="30"/>
      <c r="AB728" s="30"/>
      <c r="AC728" s="30"/>
      <c r="AD728" s="30"/>
      <c r="AE728" s="30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30"/>
      <c r="AQ728" s="30"/>
      <c r="AR728" s="30"/>
      <c r="AS728" s="30"/>
      <c r="AT728" s="30"/>
      <c r="AU728" s="30"/>
      <c r="AV728" s="30"/>
      <c r="AW728" s="30"/>
      <c r="AX728" s="30"/>
      <c r="AY728" s="30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30"/>
      <c r="BK728" s="30"/>
      <c r="BL728" s="30"/>
      <c r="BM728" s="30"/>
      <c r="BN728" s="30"/>
      <c r="BO728" s="30"/>
      <c r="BP728" s="30"/>
      <c r="BQ728" s="30"/>
      <c r="BR728" s="30"/>
      <c r="BS728" s="30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30"/>
      <c r="CE728" s="30"/>
      <c r="CF728" s="30"/>
      <c r="CG728" s="30"/>
      <c r="CH728" s="30"/>
      <c r="CI728" s="30"/>
      <c r="CJ728" s="30"/>
      <c r="CK728" s="30"/>
      <c r="CL728" s="30"/>
      <c r="CM728" s="30"/>
      <c r="CN728" s="1"/>
      <c r="CO728" s="1"/>
      <c r="CP728" s="1"/>
      <c r="CQ728" s="1"/>
      <c r="CR728" s="1"/>
      <c r="CS728" s="1"/>
      <c r="CT728" s="1"/>
      <c r="CU728" s="1"/>
      <c r="CV728" s="1"/>
      <c r="CW728" s="1"/>
    </row>
    <row r="729" spans="2:101" ht="15" hidden="1" customHeight="1" x14ac:dyDescent="0.25"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30"/>
      <c r="W729" s="30"/>
      <c r="X729" s="30"/>
      <c r="Y729" s="30"/>
      <c r="Z729" s="30"/>
      <c r="AA729" s="30"/>
      <c r="AB729" s="30"/>
      <c r="AC729" s="30"/>
      <c r="AD729" s="30"/>
      <c r="AE729" s="30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30"/>
      <c r="AQ729" s="30"/>
      <c r="AR729" s="30"/>
      <c r="AS729" s="30"/>
      <c r="AT729" s="30"/>
      <c r="AU729" s="30"/>
      <c r="AV729" s="30"/>
      <c r="AW729" s="30"/>
      <c r="AX729" s="30"/>
      <c r="AY729" s="30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30"/>
      <c r="BK729" s="30"/>
      <c r="BL729" s="30"/>
      <c r="BM729" s="30"/>
      <c r="BN729" s="30"/>
      <c r="BO729" s="30"/>
      <c r="BP729" s="30"/>
      <c r="BQ729" s="30"/>
      <c r="BR729" s="30"/>
      <c r="BS729" s="30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30"/>
      <c r="CE729" s="30"/>
      <c r="CF729" s="30"/>
      <c r="CG729" s="30"/>
      <c r="CH729" s="30"/>
      <c r="CI729" s="30"/>
      <c r="CJ729" s="30"/>
      <c r="CK729" s="30"/>
      <c r="CL729" s="30"/>
      <c r="CM729" s="30"/>
      <c r="CN729" s="1"/>
      <c r="CO729" s="1"/>
      <c r="CP729" s="1"/>
      <c r="CQ729" s="1"/>
      <c r="CR729" s="1"/>
      <c r="CS729" s="1"/>
      <c r="CT729" s="1"/>
      <c r="CU729" s="1"/>
      <c r="CV729" s="1"/>
      <c r="CW729" s="1"/>
    </row>
    <row r="730" spans="2:101" ht="15" hidden="1" customHeight="1" x14ac:dyDescent="0.25"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30"/>
      <c r="W730" s="30"/>
      <c r="X730" s="30"/>
      <c r="Y730" s="30"/>
      <c r="Z730" s="30"/>
      <c r="AA730" s="30"/>
      <c r="AB730" s="30"/>
      <c r="AC730" s="30"/>
      <c r="AD730" s="30"/>
      <c r="AE730" s="30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30"/>
      <c r="BK730" s="30"/>
      <c r="BL730" s="30"/>
      <c r="BM730" s="30"/>
      <c r="BN730" s="30"/>
      <c r="BO730" s="30"/>
      <c r="BP730" s="30"/>
      <c r="BQ730" s="30"/>
      <c r="BR730" s="30"/>
      <c r="BS730" s="30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30"/>
      <c r="CE730" s="30"/>
      <c r="CF730" s="30"/>
      <c r="CG730" s="30"/>
      <c r="CH730" s="30"/>
      <c r="CI730" s="30"/>
      <c r="CJ730" s="30"/>
      <c r="CK730" s="30"/>
      <c r="CL730" s="30"/>
      <c r="CM730" s="30"/>
      <c r="CN730" s="1"/>
      <c r="CO730" s="1"/>
      <c r="CP730" s="1"/>
      <c r="CQ730" s="1"/>
      <c r="CR730" s="1"/>
      <c r="CS730" s="1"/>
      <c r="CT730" s="1"/>
      <c r="CU730" s="1"/>
      <c r="CV730" s="1"/>
      <c r="CW730" s="1"/>
    </row>
    <row r="731" spans="2:101" ht="15" hidden="1" customHeight="1" x14ac:dyDescent="0.25"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30"/>
      <c r="W731" s="30"/>
      <c r="X731" s="30"/>
      <c r="Y731" s="30"/>
      <c r="Z731" s="30"/>
      <c r="AA731" s="30"/>
      <c r="AB731" s="30"/>
      <c r="AC731" s="30"/>
      <c r="AD731" s="30"/>
      <c r="AE731" s="30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30"/>
      <c r="AQ731" s="30"/>
      <c r="AR731" s="30"/>
      <c r="AS731" s="30"/>
      <c r="AT731" s="30"/>
      <c r="AU731" s="30"/>
      <c r="AV731" s="30"/>
      <c r="AW731" s="30"/>
      <c r="AX731" s="30"/>
      <c r="AY731" s="30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30"/>
      <c r="BK731" s="30"/>
      <c r="BL731" s="30"/>
      <c r="BM731" s="30"/>
      <c r="BN731" s="30"/>
      <c r="BO731" s="30"/>
      <c r="BP731" s="30"/>
      <c r="BQ731" s="30"/>
      <c r="BR731" s="30"/>
      <c r="BS731" s="30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30"/>
      <c r="CE731" s="30"/>
      <c r="CF731" s="30"/>
      <c r="CG731" s="30"/>
      <c r="CH731" s="30"/>
      <c r="CI731" s="30"/>
      <c r="CJ731" s="30"/>
      <c r="CK731" s="30"/>
      <c r="CL731" s="30"/>
      <c r="CM731" s="30"/>
      <c r="CN731" s="1"/>
      <c r="CO731" s="1"/>
      <c r="CP731" s="1"/>
      <c r="CQ731" s="1"/>
      <c r="CR731" s="1"/>
      <c r="CS731" s="1"/>
      <c r="CT731" s="1"/>
      <c r="CU731" s="1"/>
      <c r="CV731" s="1"/>
      <c r="CW731" s="1"/>
    </row>
    <row r="732" spans="2:101" ht="15" hidden="1" customHeight="1" x14ac:dyDescent="0.25"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30"/>
      <c r="W732" s="30"/>
      <c r="X732" s="30"/>
      <c r="Y732" s="30"/>
      <c r="Z732" s="30"/>
      <c r="AA732" s="30"/>
      <c r="AB732" s="30"/>
      <c r="AC732" s="30"/>
      <c r="AD732" s="30"/>
      <c r="AE732" s="30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30"/>
      <c r="AQ732" s="30"/>
      <c r="AR732" s="30"/>
      <c r="AS732" s="30"/>
      <c r="AT732" s="30"/>
      <c r="AU732" s="30"/>
      <c r="AV732" s="30"/>
      <c r="AW732" s="30"/>
      <c r="AX732" s="30"/>
      <c r="AY732" s="30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30"/>
      <c r="BK732" s="30"/>
      <c r="BL732" s="30"/>
      <c r="BM732" s="30"/>
      <c r="BN732" s="30"/>
      <c r="BO732" s="30"/>
      <c r="BP732" s="30"/>
      <c r="BQ732" s="30"/>
      <c r="BR732" s="30"/>
      <c r="BS732" s="30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30"/>
      <c r="CE732" s="30"/>
      <c r="CF732" s="30"/>
      <c r="CG732" s="30"/>
      <c r="CH732" s="30"/>
      <c r="CI732" s="30"/>
      <c r="CJ732" s="30"/>
      <c r="CK732" s="30"/>
      <c r="CL732" s="30"/>
      <c r="CM732" s="30"/>
      <c r="CN732" s="1"/>
      <c r="CO732" s="1"/>
      <c r="CP732" s="1"/>
      <c r="CQ732" s="1"/>
      <c r="CR732" s="1"/>
      <c r="CS732" s="1"/>
      <c r="CT732" s="1"/>
      <c r="CU732" s="1"/>
      <c r="CV732" s="1"/>
      <c r="CW732" s="1"/>
    </row>
    <row r="733" spans="2:101" ht="15" hidden="1" customHeight="1" x14ac:dyDescent="0.25"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30"/>
      <c r="W733" s="30"/>
      <c r="X733" s="30"/>
      <c r="Y733" s="30"/>
      <c r="Z733" s="30"/>
      <c r="AA733" s="30"/>
      <c r="AB733" s="30"/>
      <c r="AC733" s="30"/>
      <c r="AD733" s="30"/>
      <c r="AE733" s="30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30"/>
      <c r="AQ733" s="30"/>
      <c r="AR733" s="30"/>
      <c r="AS733" s="30"/>
      <c r="AT733" s="30"/>
      <c r="AU733" s="30"/>
      <c r="AV733" s="30"/>
      <c r="AW733" s="30"/>
      <c r="AX733" s="30"/>
      <c r="AY733" s="30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30"/>
      <c r="BK733" s="30"/>
      <c r="BL733" s="30"/>
      <c r="BM733" s="30"/>
      <c r="BN733" s="30"/>
      <c r="BO733" s="30"/>
      <c r="BP733" s="30"/>
      <c r="BQ733" s="30"/>
      <c r="BR733" s="30"/>
      <c r="BS733" s="30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30"/>
      <c r="CE733" s="30"/>
      <c r="CF733" s="30"/>
      <c r="CG733" s="30"/>
      <c r="CH733" s="30"/>
      <c r="CI733" s="30"/>
      <c r="CJ733" s="30"/>
      <c r="CK733" s="30"/>
      <c r="CL733" s="30"/>
      <c r="CM733" s="30"/>
      <c r="CN733" s="1"/>
      <c r="CO733" s="1"/>
      <c r="CP733" s="1"/>
      <c r="CQ733" s="1"/>
      <c r="CR733" s="1"/>
      <c r="CS733" s="1"/>
      <c r="CT733" s="1"/>
      <c r="CU733" s="1"/>
      <c r="CV733" s="1"/>
      <c r="CW733" s="1"/>
    </row>
    <row r="734" spans="2:101" ht="15" hidden="1" customHeight="1" x14ac:dyDescent="0.25"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30"/>
      <c r="W734" s="30"/>
      <c r="X734" s="30"/>
      <c r="Y734" s="30"/>
      <c r="Z734" s="30"/>
      <c r="AA734" s="30"/>
      <c r="AB734" s="30"/>
      <c r="AC734" s="30"/>
      <c r="AD734" s="30"/>
      <c r="AE734" s="30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30"/>
      <c r="AQ734" s="30"/>
      <c r="AR734" s="30"/>
      <c r="AS734" s="30"/>
      <c r="AT734" s="30"/>
      <c r="AU734" s="30"/>
      <c r="AV734" s="30"/>
      <c r="AW734" s="30"/>
      <c r="AX734" s="30"/>
      <c r="AY734" s="30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30"/>
      <c r="BK734" s="30"/>
      <c r="BL734" s="30"/>
      <c r="BM734" s="30"/>
      <c r="BN734" s="30"/>
      <c r="BO734" s="30"/>
      <c r="BP734" s="30"/>
      <c r="BQ734" s="30"/>
      <c r="BR734" s="30"/>
      <c r="BS734" s="30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30"/>
      <c r="CE734" s="30"/>
      <c r="CF734" s="30"/>
      <c r="CG734" s="30"/>
      <c r="CH734" s="30"/>
      <c r="CI734" s="30"/>
      <c r="CJ734" s="30"/>
      <c r="CK734" s="30"/>
      <c r="CL734" s="30"/>
      <c r="CM734" s="30"/>
      <c r="CN734" s="1"/>
      <c r="CO734" s="1"/>
      <c r="CP734" s="1"/>
      <c r="CQ734" s="1"/>
      <c r="CR734" s="1"/>
      <c r="CS734" s="1"/>
      <c r="CT734" s="1"/>
      <c r="CU734" s="1"/>
      <c r="CV734" s="1"/>
      <c r="CW734" s="1"/>
    </row>
    <row r="735" spans="2:101" ht="15" hidden="1" customHeight="1" x14ac:dyDescent="0.25"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30"/>
      <c r="W735" s="30"/>
      <c r="X735" s="30"/>
      <c r="Y735" s="30"/>
      <c r="Z735" s="30"/>
      <c r="AA735" s="30"/>
      <c r="AB735" s="30"/>
      <c r="AC735" s="30"/>
      <c r="AD735" s="30"/>
      <c r="AE735" s="30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30"/>
      <c r="AQ735" s="30"/>
      <c r="AR735" s="30"/>
      <c r="AS735" s="30"/>
      <c r="AT735" s="30"/>
      <c r="AU735" s="30"/>
      <c r="AV735" s="30"/>
      <c r="AW735" s="30"/>
      <c r="AX735" s="30"/>
      <c r="AY735" s="30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30"/>
      <c r="BK735" s="30"/>
      <c r="BL735" s="30"/>
      <c r="BM735" s="30"/>
      <c r="BN735" s="30"/>
      <c r="BO735" s="30"/>
      <c r="BP735" s="30"/>
      <c r="BQ735" s="30"/>
      <c r="BR735" s="30"/>
      <c r="BS735" s="30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30"/>
      <c r="CE735" s="30"/>
      <c r="CF735" s="30"/>
      <c r="CG735" s="30"/>
      <c r="CH735" s="30"/>
      <c r="CI735" s="30"/>
      <c r="CJ735" s="30"/>
      <c r="CK735" s="30"/>
      <c r="CL735" s="30"/>
      <c r="CM735" s="30"/>
      <c r="CN735" s="1"/>
      <c r="CO735" s="1"/>
      <c r="CP735" s="1"/>
      <c r="CQ735" s="1"/>
      <c r="CR735" s="1"/>
      <c r="CS735" s="1"/>
      <c r="CT735" s="1"/>
      <c r="CU735" s="1"/>
      <c r="CV735" s="1"/>
      <c r="CW735" s="1"/>
    </row>
    <row r="736" spans="2:101" ht="15" hidden="1" customHeight="1" x14ac:dyDescent="0.25"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30"/>
      <c r="W736" s="30"/>
      <c r="X736" s="30"/>
      <c r="Y736" s="30"/>
      <c r="Z736" s="30"/>
      <c r="AA736" s="30"/>
      <c r="AB736" s="30"/>
      <c r="AC736" s="30"/>
      <c r="AD736" s="30"/>
      <c r="AE736" s="30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30"/>
      <c r="AQ736" s="30"/>
      <c r="AR736" s="30"/>
      <c r="AS736" s="30"/>
      <c r="AT736" s="30"/>
      <c r="AU736" s="30"/>
      <c r="AV736" s="30"/>
      <c r="AW736" s="30"/>
      <c r="AX736" s="30"/>
      <c r="AY736" s="30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30"/>
      <c r="BK736" s="30"/>
      <c r="BL736" s="30"/>
      <c r="BM736" s="30"/>
      <c r="BN736" s="30"/>
      <c r="BO736" s="30"/>
      <c r="BP736" s="30"/>
      <c r="BQ736" s="30"/>
      <c r="BR736" s="30"/>
      <c r="BS736" s="30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30"/>
      <c r="CE736" s="30"/>
      <c r="CF736" s="30"/>
      <c r="CG736" s="30"/>
      <c r="CH736" s="30"/>
      <c r="CI736" s="30"/>
      <c r="CJ736" s="30"/>
      <c r="CK736" s="30"/>
      <c r="CL736" s="30"/>
      <c r="CM736" s="30"/>
      <c r="CN736" s="1"/>
      <c r="CO736" s="1"/>
      <c r="CP736" s="1"/>
      <c r="CQ736" s="1"/>
      <c r="CR736" s="1"/>
      <c r="CS736" s="1"/>
      <c r="CT736" s="1"/>
      <c r="CU736" s="1"/>
      <c r="CV736" s="1"/>
      <c r="CW736" s="1"/>
    </row>
    <row r="737" spans="2:101" ht="15" hidden="1" customHeight="1" x14ac:dyDescent="0.25"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30"/>
      <c r="W737" s="30"/>
      <c r="X737" s="30"/>
      <c r="Y737" s="30"/>
      <c r="Z737" s="30"/>
      <c r="AA737" s="30"/>
      <c r="AB737" s="30"/>
      <c r="AC737" s="30"/>
      <c r="AD737" s="30"/>
      <c r="AE737" s="30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30"/>
      <c r="AQ737" s="30"/>
      <c r="AR737" s="30"/>
      <c r="AS737" s="30"/>
      <c r="AT737" s="30"/>
      <c r="AU737" s="30"/>
      <c r="AV737" s="30"/>
      <c r="AW737" s="30"/>
      <c r="AX737" s="30"/>
      <c r="AY737" s="30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30"/>
      <c r="BK737" s="30"/>
      <c r="BL737" s="30"/>
      <c r="BM737" s="30"/>
      <c r="BN737" s="30"/>
      <c r="BO737" s="30"/>
      <c r="BP737" s="30"/>
      <c r="BQ737" s="30"/>
      <c r="BR737" s="30"/>
      <c r="BS737" s="30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30"/>
      <c r="CE737" s="30"/>
      <c r="CF737" s="30"/>
      <c r="CG737" s="30"/>
      <c r="CH737" s="30"/>
      <c r="CI737" s="30"/>
      <c r="CJ737" s="30"/>
      <c r="CK737" s="30"/>
      <c r="CL737" s="30"/>
      <c r="CM737" s="30"/>
      <c r="CN737" s="1"/>
      <c r="CO737" s="1"/>
      <c r="CP737" s="1"/>
      <c r="CQ737" s="1"/>
      <c r="CR737" s="1"/>
      <c r="CS737" s="1"/>
      <c r="CT737" s="1"/>
      <c r="CU737" s="1"/>
      <c r="CV737" s="1"/>
      <c r="CW737" s="1"/>
    </row>
    <row r="738" spans="2:101" ht="15" hidden="1" customHeight="1" x14ac:dyDescent="0.25"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30"/>
      <c r="W738" s="30"/>
      <c r="X738" s="30"/>
      <c r="Y738" s="30"/>
      <c r="Z738" s="30"/>
      <c r="AA738" s="30"/>
      <c r="AB738" s="30"/>
      <c r="AC738" s="30"/>
      <c r="AD738" s="30"/>
      <c r="AE738" s="30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30"/>
      <c r="AQ738" s="30"/>
      <c r="AR738" s="30"/>
      <c r="AS738" s="30"/>
      <c r="AT738" s="30"/>
      <c r="AU738" s="30"/>
      <c r="AV738" s="30"/>
      <c r="AW738" s="30"/>
      <c r="AX738" s="30"/>
      <c r="AY738" s="30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30"/>
      <c r="BK738" s="30"/>
      <c r="BL738" s="30"/>
      <c r="BM738" s="30"/>
      <c r="BN738" s="30"/>
      <c r="BO738" s="30"/>
      <c r="BP738" s="30"/>
      <c r="BQ738" s="30"/>
      <c r="BR738" s="30"/>
      <c r="BS738" s="30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30"/>
      <c r="CE738" s="30"/>
      <c r="CF738" s="30"/>
      <c r="CG738" s="30"/>
      <c r="CH738" s="30"/>
      <c r="CI738" s="30"/>
      <c r="CJ738" s="30"/>
      <c r="CK738" s="30"/>
      <c r="CL738" s="30"/>
      <c r="CM738" s="30"/>
      <c r="CN738" s="1"/>
      <c r="CO738" s="1"/>
      <c r="CP738" s="1"/>
      <c r="CQ738" s="1"/>
      <c r="CR738" s="1"/>
      <c r="CS738" s="1"/>
      <c r="CT738" s="1"/>
      <c r="CU738" s="1"/>
      <c r="CV738" s="1"/>
      <c r="CW738" s="1"/>
    </row>
    <row r="739" spans="2:101" ht="15" hidden="1" customHeight="1" x14ac:dyDescent="0.25"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30"/>
      <c r="W739" s="30"/>
      <c r="X739" s="30"/>
      <c r="Y739" s="30"/>
      <c r="Z739" s="30"/>
      <c r="AA739" s="30"/>
      <c r="AB739" s="30"/>
      <c r="AC739" s="30"/>
      <c r="AD739" s="30"/>
      <c r="AE739" s="30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30"/>
      <c r="AQ739" s="30"/>
      <c r="AR739" s="30"/>
      <c r="AS739" s="30"/>
      <c r="AT739" s="30"/>
      <c r="AU739" s="30"/>
      <c r="AV739" s="30"/>
      <c r="AW739" s="30"/>
      <c r="AX739" s="30"/>
      <c r="AY739" s="30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30"/>
      <c r="BK739" s="30"/>
      <c r="BL739" s="30"/>
      <c r="BM739" s="30"/>
      <c r="BN739" s="30"/>
      <c r="BO739" s="30"/>
      <c r="BP739" s="30"/>
      <c r="BQ739" s="30"/>
      <c r="BR739" s="30"/>
      <c r="BS739" s="30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30"/>
      <c r="CE739" s="30"/>
      <c r="CF739" s="30"/>
      <c r="CG739" s="30"/>
      <c r="CH739" s="30"/>
      <c r="CI739" s="30"/>
      <c r="CJ739" s="30"/>
      <c r="CK739" s="30"/>
      <c r="CL739" s="30"/>
      <c r="CM739" s="30"/>
      <c r="CN739" s="1"/>
      <c r="CO739" s="1"/>
      <c r="CP739" s="1"/>
      <c r="CQ739" s="1"/>
      <c r="CR739" s="1"/>
      <c r="CS739" s="1"/>
      <c r="CT739" s="1"/>
      <c r="CU739" s="1"/>
      <c r="CV739" s="1"/>
      <c r="CW739" s="1"/>
    </row>
    <row r="740" spans="2:101" ht="15" hidden="1" customHeight="1" x14ac:dyDescent="0.25"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30"/>
      <c r="W740" s="30"/>
      <c r="X740" s="30"/>
      <c r="Y740" s="30"/>
      <c r="Z740" s="30"/>
      <c r="AA740" s="30"/>
      <c r="AB740" s="30"/>
      <c r="AC740" s="30"/>
      <c r="AD740" s="30"/>
      <c r="AE740" s="30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30"/>
      <c r="AQ740" s="30"/>
      <c r="AR740" s="30"/>
      <c r="AS740" s="30"/>
      <c r="AT740" s="30"/>
      <c r="AU740" s="30"/>
      <c r="AV740" s="30"/>
      <c r="AW740" s="30"/>
      <c r="AX740" s="30"/>
      <c r="AY740" s="30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30"/>
      <c r="BK740" s="30"/>
      <c r="BL740" s="30"/>
      <c r="BM740" s="30"/>
      <c r="BN740" s="30"/>
      <c r="BO740" s="30"/>
      <c r="BP740" s="30"/>
      <c r="BQ740" s="30"/>
      <c r="BR740" s="30"/>
      <c r="BS740" s="30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30"/>
      <c r="CE740" s="30"/>
      <c r="CF740" s="30"/>
      <c r="CG740" s="30"/>
      <c r="CH740" s="30"/>
      <c r="CI740" s="30"/>
      <c r="CJ740" s="30"/>
      <c r="CK740" s="30"/>
      <c r="CL740" s="30"/>
      <c r="CM740" s="30"/>
      <c r="CN740" s="1"/>
      <c r="CO740" s="1"/>
      <c r="CP740" s="1"/>
      <c r="CQ740" s="1"/>
      <c r="CR740" s="1"/>
      <c r="CS740" s="1"/>
      <c r="CT740" s="1"/>
      <c r="CU740" s="1"/>
      <c r="CV740" s="1"/>
      <c r="CW740" s="1"/>
    </row>
    <row r="741" spans="2:101" ht="15" hidden="1" customHeight="1" x14ac:dyDescent="0.25"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30"/>
      <c r="W741" s="30"/>
      <c r="X741" s="30"/>
      <c r="Y741" s="30"/>
      <c r="Z741" s="30"/>
      <c r="AA741" s="30"/>
      <c r="AB741" s="30"/>
      <c r="AC741" s="30"/>
      <c r="AD741" s="30"/>
      <c r="AE741" s="30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30"/>
      <c r="AQ741" s="30"/>
      <c r="AR741" s="30"/>
      <c r="AS741" s="30"/>
      <c r="AT741" s="30"/>
      <c r="AU741" s="30"/>
      <c r="AV741" s="30"/>
      <c r="AW741" s="30"/>
      <c r="AX741" s="30"/>
      <c r="AY741" s="30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30"/>
      <c r="BK741" s="30"/>
      <c r="BL741" s="30"/>
      <c r="BM741" s="30"/>
      <c r="BN741" s="30"/>
      <c r="BO741" s="30"/>
      <c r="BP741" s="30"/>
      <c r="BQ741" s="30"/>
      <c r="BR741" s="30"/>
      <c r="BS741" s="30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30"/>
      <c r="CE741" s="30"/>
      <c r="CF741" s="30"/>
      <c r="CG741" s="30"/>
      <c r="CH741" s="30"/>
      <c r="CI741" s="30"/>
      <c r="CJ741" s="30"/>
      <c r="CK741" s="30"/>
      <c r="CL741" s="30"/>
      <c r="CM741" s="30"/>
      <c r="CN741" s="1"/>
      <c r="CO741" s="1"/>
      <c r="CP741" s="1"/>
      <c r="CQ741" s="1"/>
      <c r="CR741" s="1"/>
      <c r="CS741" s="1"/>
      <c r="CT741" s="1"/>
      <c r="CU741" s="1"/>
      <c r="CV741" s="1"/>
      <c r="CW741" s="1"/>
    </row>
    <row r="742" spans="2:101" ht="15" hidden="1" customHeight="1" x14ac:dyDescent="0.25"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30"/>
      <c r="W742" s="30"/>
      <c r="X742" s="30"/>
      <c r="Y742" s="30"/>
      <c r="Z742" s="30"/>
      <c r="AA742" s="30"/>
      <c r="AB742" s="30"/>
      <c r="AC742" s="30"/>
      <c r="AD742" s="30"/>
      <c r="AE742" s="30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30"/>
      <c r="AQ742" s="30"/>
      <c r="AR742" s="30"/>
      <c r="AS742" s="30"/>
      <c r="AT742" s="30"/>
      <c r="AU742" s="30"/>
      <c r="AV742" s="30"/>
      <c r="AW742" s="30"/>
      <c r="AX742" s="30"/>
      <c r="AY742" s="30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30"/>
      <c r="BK742" s="30"/>
      <c r="BL742" s="30"/>
      <c r="BM742" s="30"/>
      <c r="BN742" s="30"/>
      <c r="BO742" s="30"/>
      <c r="BP742" s="30"/>
      <c r="BQ742" s="30"/>
      <c r="BR742" s="30"/>
      <c r="BS742" s="30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30"/>
      <c r="CE742" s="30"/>
      <c r="CF742" s="30"/>
      <c r="CG742" s="30"/>
      <c r="CH742" s="30"/>
      <c r="CI742" s="30"/>
      <c r="CJ742" s="30"/>
      <c r="CK742" s="30"/>
      <c r="CL742" s="30"/>
      <c r="CM742" s="30"/>
      <c r="CN742" s="1"/>
      <c r="CO742" s="1"/>
      <c r="CP742" s="1"/>
      <c r="CQ742" s="1"/>
      <c r="CR742" s="1"/>
      <c r="CS742" s="1"/>
      <c r="CT742" s="1"/>
      <c r="CU742" s="1"/>
      <c r="CV742" s="1"/>
      <c r="CW742" s="1"/>
    </row>
    <row r="743" spans="2:101" ht="15" hidden="1" customHeight="1" x14ac:dyDescent="0.25"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30"/>
      <c r="W743" s="30"/>
      <c r="X743" s="30"/>
      <c r="Y743" s="30"/>
      <c r="Z743" s="30"/>
      <c r="AA743" s="30"/>
      <c r="AB743" s="30"/>
      <c r="AC743" s="30"/>
      <c r="AD743" s="30"/>
      <c r="AE743" s="30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30"/>
      <c r="AQ743" s="30"/>
      <c r="AR743" s="30"/>
      <c r="AS743" s="30"/>
      <c r="AT743" s="30"/>
      <c r="AU743" s="30"/>
      <c r="AV743" s="30"/>
      <c r="AW743" s="30"/>
      <c r="AX743" s="30"/>
      <c r="AY743" s="30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30"/>
      <c r="BK743" s="30"/>
      <c r="BL743" s="30"/>
      <c r="BM743" s="30"/>
      <c r="BN743" s="30"/>
      <c r="BO743" s="30"/>
      <c r="BP743" s="30"/>
      <c r="BQ743" s="30"/>
      <c r="BR743" s="30"/>
      <c r="BS743" s="30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30"/>
      <c r="CE743" s="30"/>
      <c r="CF743" s="30"/>
      <c r="CG743" s="30"/>
      <c r="CH743" s="30"/>
      <c r="CI743" s="30"/>
      <c r="CJ743" s="30"/>
      <c r="CK743" s="30"/>
      <c r="CL743" s="30"/>
      <c r="CM743" s="30"/>
      <c r="CN743" s="1"/>
      <c r="CO743" s="1"/>
      <c r="CP743" s="1"/>
      <c r="CQ743" s="1"/>
      <c r="CR743" s="1"/>
      <c r="CS743" s="1"/>
      <c r="CT743" s="1"/>
      <c r="CU743" s="1"/>
      <c r="CV743" s="1"/>
      <c r="CW743" s="1"/>
    </row>
    <row r="744" spans="2:101" ht="15" hidden="1" customHeight="1" x14ac:dyDescent="0.25"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30"/>
      <c r="W744" s="30"/>
      <c r="X744" s="30"/>
      <c r="Y744" s="30"/>
      <c r="Z744" s="30"/>
      <c r="AA744" s="30"/>
      <c r="AB744" s="30"/>
      <c r="AC744" s="30"/>
      <c r="AD744" s="30"/>
      <c r="AE744" s="30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30"/>
      <c r="AQ744" s="30"/>
      <c r="AR744" s="30"/>
      <c r="AS744" s="30"/>
      <c r="AT744" s="30"/>
      <c r="AU744" s="30"/>
      <c r="AV744" s="30"/>
      <c r="AW744" s="30"/>
      <c r="AX744" s="30"/>
      <c r="AY744" s="30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30"/>
      <c r="BK744" s="30"/>
      <c r="BL744" s="30"/>
      <c r="BM744" s="30"/>
      <c r="BN744" s="30"/>
      <c r="BO744" s="30"/>
      <c r="BP744" s="30"/>
      <c r="BQ744" s="30"/>
      <c r="BR744" s="30"/>
      <c r="BS744" s="30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30"/>
      <c r="CE744" s="30"/>
      <c r="CF744" s="30"/>
      <c r="CG744" s="30"/>
      <c r="CH744" s="30"/>
      <c r="CI744" s="30"/>
      <c r="CJ744" s="30"/>
      <c r="CK744" s="30"/>
      <c r="CL744" s="30"/>
      <c r="CM744" s="30"/>
      <c r="CN744" s="1"/>
      <c r="CO744" s="1"/>
      <c r="CP744" s="1"/>
      <c r="CQ744" s="1"/>
      <c r="CR744" s="1"/>
      <c r="CS744" s="1"/>
      <c r="CT744" s="1"/>
      <c r="CU744" s="1"/>
      <c r="CV744" s="1"/>
      <c r="CW744" s="1"/>
    </row>
    <row r="745" spans="2:101" ht="15" hidden="1" customHeight="1" x14ac:dyDescent="0.25"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30"/>
      <c r="W745" s="30"/>
      <c r="X745" s="30"/>
      <c r="Y745" s="30"/>
      <c r="Z745" s="30"/>
      <c r="AA745" s="30"/>
      <c r="AB745" s="30"/>
      <c r="AC745" s="30"/>
      <c r="AD745" s="30"/>
      <c r="AE745" s="30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30"/>
      <c r="AQ745" s="30"/>
      <c r="AR745" s="30"/>
      <c r="AS745" s="30"/>
      <c r="AT745" s="30"/>
      <c r="AU745" s="30"/>
      <c r="AV745" s="30"/>
      <c r="AW745" s="30"/>
      <c r="AX745" s="30"/>
      <c r="AY745" s="30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30"/>
      <c r="BK745" s="30"/>
      <c r="BL745" s="30"/>
      <c r="BM745" s="30"/>
      <c r="BN745" s="30"/>
      <c r="BO745" s="30"/>
      <c r="BP745" s="30"/>
      <c r="BQ745" s="30"/>
      <c r="BR745" s="30"/>
      <c r="BS745" s="30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30"/>
      <c r="CE745" s="30"/>
      <c r="CF745" s="30"/>
      <c r="CG745" s="30"/>
      <c r="CH745" s="30"/>
      <c r="CI745" s="30"/>
      <c r="CJ745" s="30"/>
      <c r="CK745" s="30"/>
      <c r="CL745" s="30"/>
      <c r="CM745" s="30"/>
      <c r="CN745" s="1"/>
      <c r="CO745" s="1"/>
      <c r="CP745" s="1"/>
      <c r="CQ745" s="1"/>
      <c r="CR745" s="1"/>
      <c r="CS745" s="1"/>
      <c r="CT745" s="1"/>
      <c r="CU745" s="1"/>
      <c r="CV745" s="1"/>
      <c r="CW745" s="1"/>
    </row>
    <row r="746" spans="2:101" ht="15" hidden="1" customHeight="1" x14ac:dyDescent="0.25"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30"/>
      <c r="W746" s="30"/>
      <c r="X746" s="30"/>
      <c r="Y746" s="30"/>
      <c r="Z746" s="30"/>
      <c r="AA746" s="30"/>
      <c r="AB746" s="30"/>
      <c r="AC746" s="30"/>
      <c r="AD746" s="30"/>
      <c r="AE746" s="30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30"/>
      <c r="AQ746" s="30"/>
      <c r="AR746" s="30"/>
      <c r="AS746" s="30"/>
      <c r="AT746" s="30"/>
      <c r="AU746" s="30"/>
      <c r="AV746" s="30"/>
      <c r="AW746" s="30"/>
      <c r="AX746" s="30"/>
      <c r="AY746" s="30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30"/>
      <c r="BK746" s="30"/>
      <c r="BL746" s="30"/>
      <c r="BM746" s="30"/>
      <c r="BN746" s="30"/>
      <c r="BO746" s="30"/>
      <c r="BP746" s="30"/>
      <c r="BQ746" s="30"/>
      <c r="BR746" s="30"/>
      <c r="BS746" s="30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30"/>
      <c r="CE746" s="30"/>
      <c r="CF746" s="30"/>
      <c r="CG746" s="30"/>
      <c r="CH746" s="30"/>
      <c r="CI746" s="30"/>
      <c r="CJ746" s="30"/>
      <c r="CK746" s="30"/>
      <c r="CL746" s="30"/>
      <c r="CM746" s="30"/>
      <c r="CN746" s="1"/>
      <c r="CO746" s="1"/>
      <c r="CP746" s="1"/>
      <c r="CQ746" s="1"/>
      <c r="CR746" s="1"/>
      <c r="CS746" s="1"/>
      <c r="CT746" s="1"/>
      <c r="CU746" s="1"/>
      <c r="CV746" s="1"/>
      <c r="CW746" s="1"/>
    </row>
    <row r="747" spans="2:101" ht="15" hidden="1" customHeight="1" x14ac:dyDescent="0.25"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30"/>
      <c r="W747" s="30"/>
      <c r="X747" s="30"/>
      <c r="Y747" s="30"/>
      <c r="Z747" s="30"/>
      <c r="AA747" s="30"/>
      <c r="AB747" s="30"/>
      <c r="AC747" s="30"/>
      <c r="AD747" s="30"/>
      <c r="AE747" s="30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30"/>
      <c r="AQ747" s="30"/>
      <c r="AR747" s="30"/>
      <c r="AS747" s="30"/>
      <c r="AT747" s="30"/>
      <c r="AU747" s="30"/>
      <c r="AV747" s="30"/>
      <c r="AW747" s="30"/>
      <c r="AX747" s="30"/>
      <c r="AY747" s="30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30"/>
      <c r="BK747" s="30"/>
      <c r="BL747" s="30"/>
      <c r="BM747" s="30"/>
      <c r="BN747" s="30"/>
      <c r="BO747" s="30"/>
      <c r="BP747" s="30"/>
      <c r="BQ747" s="30"/>
      <c r="BR747" s="30"/>
      <c r="BS747" s="30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30"/>
      <c r="CE747" s="30"/>
      <c r="CF747" s="30"/>
      <c r="CG747" s="30"/>
      <c r="CH747" s="30"/>
      <c r="CI747" s="30"/>
      <c r="CJ747" s="30"/>
      <c r="CK747" s="30"/>
      <c r="CL747" s="30"/>
      <c r="CM747" s="30"/>
      <c r="CN747" s="1"/>
      <c r="CO747" s="1"/>
      <c r="CP747" s="1"/>
      <c r="CQ747" s="1"/>
      <c r="CR747" s="1"/>
      <c r="CS747" s="1"/>
      <c r="CT747" s="1"/>
      <c r="CU747" s="1"/>
      <c r="CV747" s="1"/>
      <c r="CW747" s="1"/>
    </row>
    <row r="748" spans="2:101" ht="15" hidden="1" customHeight="1" x14ac:dyDescent="0.25"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30"/>
      <c r="W748" s="30"/>
      <c r="X748" s="30"/>
      <c r="Y748" s="30"/>
      <c r="Z748" s="30"/>
      <c r="AA748" s="30"/>
      <c r="AB748" s="30"/>
      <c r="AC748" s="30"/>
      <c r="AD748" s="30"/>
      <c r="AE748" s="30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30"/>
      <c r="AQ748" s="30"/>
      <c r="AR748" s="30"/>
      <c r="AS748" s="30"/>
      <c r="AT748" s="30"/>
      <c r="AU748" s="30"/>
      <c r="AV748" s="30"/>
      <c r="AW748" s="30"/>
      <c r="AX748" s="30"/>
      <c r="AY748" s="30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30"/>
      <c r="BK748" s="30"/>
      <c r="BL748" s="30"/>
      <c r="BM748" s="30"/>
      <c r="BN748" s="30"/>
      <c r="BO748" s="30"/>
      <c r="BP748" s="30"/>
      <c r="BQ748" s="30"/>
      <c r="BR748" s="30"/>
      <c r="BS748" s="30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30"/>
      <c r="CE748" s="30"/>
      <c r="CF748" s="30"/>
      <c r="CG748" s="30"/>
      <c r="CH748" s="30"/>
      <c r="CI748" s="30"/>
      <c r="CJ748" s="30"/>
      <c r="CK748" s="30"/>
      <c r="CL748" s="30"/>
      <c r="CM748" s="30"/>
      <c r="CN748" s="1"/>
      <c r="CO748" s="1"/>
      <c r="CP748" s="1"/>
      <c r="CQ748" s="1"/>
      <c r="CR748" s="1"/>
      <c r="CS748" s="1"/>
      <c r="CT748" s="1"/>
      <c r="CU748" s="1"/>
      <c r="CV748" s="1"/>
      <c r="CW748" s="1"/>
    </row>
    <row r="749" spans="2:101" ht="15" hidden="1" customHeight="1" x14ac:dyDescent="0.25"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30"/>
      <c r="W749" s="30"/>
      <c r="X749" s="30"/>
      <c r="Y749" s="30"/>
      <c r="Z749" s="30"/>
      <c r="AA749" s="30"/>
      <c r="AB749" s="30"/>
      <c r="AC749" s="30"/>
      <c r="AD749" s="30"/>
      <c r="AE749" s="30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30"/>
      <c r="AQ749" s="30"/>
      <c r="AR749" s="30"/>
      <c r="AS749" s="30"/>
      <c r="AT749" s="30"/>
      <c r="AU749" s="30"/>
      <c r="AV749" s="30"/>
      <c r="AW749" s="30"/>
      <c r="AX749" s="30"/>
      <c r="AY749" s="30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30"/>
      <c r="BK749" s="30"/>
      <c r="BL749" s="30"/>
      <c r="BM749" s="30"/>
      <c r="BN749" s="30"/>
      <c r="BO749" s="30"/>
      <c r="BP749" s="30"/>
      <c r="BQ749" s="30"/>
      <c r="BR749" s="30"/>
      <c r="BS749" s="30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30"/>
      <c r="CE749" s="30"/>
      <c r="CF749" s="30"/>
      <c r="CG749" s="30"/>
      <c r="CH749" s="30"/>
      <c r="CI749" s="30"/>
      <c r="CJ749" s="30"/>
      <c r="CK749" s="30"/>
      <c r="CL749" s="30"/>
      <c r="CM749" s="30"/>
      <c r="CN749" s="1"/>
      <c r="CO749" s="1"/>
      <c r="CP749" s="1"/>
      <c r="CQ749" s="1"/>
      <c r="CR749" s="1"/>
      <c r="CS749" s="1"/>
      <c r="CT749" s="1"/>
      <c r="CU749" s="1"/>
      <c r="CV749" s="1"/>
      <c r="CW749" s="1"/>
    </row>
    <row r="750" spans="2:101" ht="15" hidden="1" customHeight="1" x14ac:dyDescent="0.25"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30"/>
      <c r="W750" s="30"/>
      <c r="X750" s="30"/>
      <c r="Y750" s="30"/>
      <c r="Z750" s="30"/>
      <c r="AA750" s="30"/>
      <c r="AB750" s="30"/>
      <c r="AC750" s="30"/>
      <c r="AD750" s="30"/>
      <c r="AE750" s="30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30"/>
      <c r="AQ750" s="30"/>
      <c r="AR750" s="30"/>
      <c r="AS750" s="30"/>
      <c r="AT750" s="30"/>
      <c r="AU750" s="30"/>
      <c r="AV750" s="30"/>
      <c r="AW750" s="30"/>
      <c r="AX750" s="30"/>
      <c r="AY750" s="30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30"/>
      <c r="BK750" s="30"/>
      <c r="BL750" s="30"/>
      <c r="BM750" s="30"/>
      <c r="BN750" s="30"/>
      <c r="BO750" s="30"/>
      <c r="BP750" s="30"/>
      <c r="BQ750" s="30"/>
      <c r="BR750" s="30"/>
      <c r="BS750" s="30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30"/>
      <c r="CE750" s="30"/>
      <c r="CF750" s="30"/>
      <c r="CG750" s="30"/>
      <c r="CH750" s="30"/>
      <c r="CI750" s="30"/>
      <c r="CJ750" s="30"/>
      <c r="CK750" s="30"/>
      <c r="CL750" s="30"/>
      <c r="CM750" s="30"/>
      <c r="CN750" s="1"/>
      <c r="CO750" s="1"/>
      <c r="CP750" s="1"/>
      <c r="CQ750" s="1"/>
      <c r="CR750" s="1"/>
      <c r="CS750" s="1"/>
      <c r="CT750" s="1"/>
      <c r="CU750" s="1"/>
      <c r="CV750" s="1"/>
      <c r="CW750" s="1"/>
    </row>
    <row r="751" spans="2:101" ht="15" hidden="1" customHeight="1" x14ac:dyDescent="0.25"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30"/>
      <c r="W751" s="30"/>
      <c r="X751" s="30"/>
      <c r="Y751" s="30"/>
      <c r="Z751" s="30"/>
      <c r="AA751" s="30"/>
      <c r="AB751" s="30"/>
      <c r="AC751" s="30"/>
      <c r="AD751" s="30"/>
      <c r="AE751" s="30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30"/>
      <c r="AQ751" s="30"/>
      <c r="AR751" s="30"/>
      <c r="AS751" s="30"/>
      <c r="AT751" s="30"/>
      <c r="AU751" s="30"/>
      <c r="AV751" s="30"/>
      <c r="AW751" s="30"/>
      <c r="AX751" s="30"/>
      <c r="AY751" s="30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30"/>
      <c r="BK751" s="30"/>
      <c r="BL751" s="30"/>
      <c r="BM751" s="30"/>
      <c r="BN751" s="30"/>
      <c r="BO751" s="30"/>
      <c r="BP751" s="30"/>
      <c r="BQ751" s="30"/>
      <c r="BR751" s="30"/>
      <c r="BS751" s="30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30"/>
      <c r="CE751" s="30"/>
      <c r="CF751" s="30"/>
      <c r="CG751" s="30"/>
      <c r="CH751" s="30"/>
      <c r="CI751" s="30"/>
      <c r="CJ751" s="30"/>
      <c r="CK751" s="30"/>
      <c r="CL751" s="30"/>
      <c r="CM751" s="30"/>
      <c r="CN751" s="1"/>
      <c r="CO751" s="1"/>
      <c r="CP751" s="1"/>
      <c r="CQ751" s="1"/>
      <c r="CR751" s="1"/>
      <c r="CS751" s="1"/>
      <c r="CT751" s="1"/>
      <c r="CU751" s="1"/>
      <c r="CV751" s="1"/>
      <c r="CW751" s="1"/>
    </row>
    <row r="752" spans="2:101" ht="15" hidden="1" customHeight="1" x14ac:dyDescent="0.25"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30"/>
      <c r="W752" s="30"/>
      <c r="X752" s="30"/>
      <c r="Y752" s="30"/>
      <c r="Z752" s="30"/>
      <c r="AA752" s="30"/>
      <c r="AB752" s="30"/>
      <c r="AC752" s="30"/>
      <c r="AD752" s="30"/>
      <c r="AE752" s="30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30"/>
      <c r="AQ752" s="30"/>
      <c r="AR752" s="30"/>
      <c r="AS752" s="30"/>
      <c r="AT752" s="30"/>
      <c r="AU752" s="30"/>
      <c r="AV752" s="30"/>
      <c r="AW752" s="30"/>
      <c r="AX752" s="30"/>
      <c r="AY752" s="30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30"/>
      <c r="BK752" s="30"/>
      <c r="BL752" s="30"/>
      <c r="BM752" s="30"/>
      <c r="BN752" s="30"/>
      <c r="BO752" s="30"/>
      <c r="BP752" s="30"/>
      <c r="BQ752" s="30"/>
      <c r="BR752" s="30"/>
      <c r="BS752" s="30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30"/>
      <c r="CE752" s="30"/>
      <c r="CF752" s="30"/>
      <c r="CG752" s="30"/>
      <c r="CH752" s="30"/>
      <c r="CI752" s="30"/>
      <c r="CJ752" s="30"/>
      <c r="CK752" s="30"/>
      <c r="CL752" s="30"/>
      <c r="CM752" s="30"/>
      <c r="CN752" s="1"/>
      <c r="CO752" s="1"/>
      <c r="CP752" s="1"/>
      <c r="CQ752" s="1"/>
      <c r="CR752" s="1"/>
      <c r="CS752" s="1"/>
      <c r="CT752" s="1"/>
      <c r="CU752" s="1"/>
      <c r="CV752" s="1"/>
      <c r="CW752" s="1"/>
    </row>
    <row r="753" spans="2:101" ht="15" hidden="1" customHeight="1" x14ac:dyDescent="0.25"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30"/>
      <c r="W753" s="30"/>
      <c r="X753" s="30"/>
      <c r="Y753" s="30"/>
      <c r="Z753" s="30"/>
      <c r="AA753" s="30"/>
      <c r="AB753" s="30"/>
      <c r="AC753" s="30"/>
      <c r="AD753" s="30"/>
      <c r="AE753" s="30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30"/>
      <c r="AQ753" s="30"/>
      <c r="AR753" s="30"/>
      <c r="AS753" s="30"/>
      <c r="AT753" s="30"/>
      <c r="AU753" s="30"/>
      <c r="AV753" s="30"/>
      <c r="AW753" s="30"/>
      <c r="AX753" s="30"/>
      <c r="AY753" s="30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30"/>
      <c r="BK753" s="30"/>
      <c r="BL753" s="30"/>
      <c r="BM753" s="30"/>
      <c r="BN753" s="30"/>
      <c r="BO753" s="30"/>
      <c r="BP753" s="30"/>
      <c r="BQ753" s="30"/>
      <c r="BR753" s="30"/>
      <c r="BS753" s="30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30"/>
      <c r="CE753" s="30"/>
      <c r="CF753" s="30"/>
      <c r="CG753" s="30"/>
      <c r="CH753" s="30"/>
      <c r="CI753" s="30"/>
      <c r="CJ753" s="30"/>
      <c r="CK753" s="30"/>
      <c r="CL753" s="30"/>
      <c r="CM753" s="30"/>
      <c r="CN753" s="1"/>
      <c r="CO753" s="1"/>
      <c r="CP753" s="1"/>
      <c r="CQ753" s="1"/>
      <c r="CR753" s="1"/>
      <c r="CS753" s="1"/>
      <c r="CT753" s="1"/>
      <c r="CU753" s="1"/>
      <c r="CV753" s="1"/>
      <c r="CW753" s="1"/>
    </row>
    <row r="754" spans="2:101" ht="15" hidden="1" customHeight="1" x14ac:dyDescent="0.25"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30"/>
      <c r="W754" s="30"/>
      <c r="X754" s="30"/>
      <c r="Y754" s="30"/>
      <c r="Z754" s="30"/>
      <c r="AA754" s="30"/>
      <c r="AB754" s="30"/>
      <c r="AC754" s="30"/>
      <c r="AD754" s="30"/>
      <c r="AE754" s="30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30"/>
      <c r="AQ754" s="30"/>
      <c r="AR754" s="30"/>
      <c r="AS754" s="30"/>
      <c r="AT754" s="30"/>
      <c r="AU754" s="30"/>
      <c r="AV754" s="30"/>
      <c r="AW754" s="30"/>
      <c r="AX754" s="30"/>
      <c r="AY754" s="30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30"/>
      <c r="BK754" s="30"/>
      <c r="BL754" s="30"/>
      <c r="BM754" s="30"/>
      <c r="BN754" s="30"/>
      <c r="BO754" s="30"/>
      <c r="BP754" s="30"/>
      <c r="BQ754" s="30"/>
      <c r="BR754" s="30"/>
      <c r="BS754" s="30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30"/>
      <c r="CE754" s="30"/>
      <c r="CF754" s="30"/>
      <c r="CG754" s="30"/>
      <c r="CH754" s="30"/>
      <c r="CI754" s="30"/>
      <c r="CJ754" s="30"/>
      <c r="CK754" s="30"/>
      <c r="CL754" s="30"/>
      <c r="CM754" s="30"/>
      <c r="CN754" s="1"/>
      <c r="CO754" s="1"/>
      <c r="CP754" s="1"/>
      <c r="CQ754" s="1"/>
      <c r="CR754" s="1"/>
      <c r="CS754" s="1"/>
      <c r="CT754" s="1"/>
      <c r="CU754" s="1"/>
      <c r="CV754" s="1"/>
      <c r="CW754" s="1"/>
    </row>
    <row r="755" spans="2:101" ht="15" hidden="1" customHeight="1" x14ac:dyDescent="0.25"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30"/>
      <c r="W755" s="30"/>
      <c r="X755" s="30"/>
      <c r="Y755" s="30"/>
      <c r="Z755" s="30"/>
      <c r="AA755" s="30"/>
      <c r="AB755" s="30"/>
      <c r="AC755" s="30"/>
      <c r="AD755" s="30"/>
      <c r="AE755" s="30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30"/>
      <c r="AQ755" s="30"/>
      <c r="AR755" s="30"/>
      <c r="AS755" s="30"/>
      <c r="AT755" s="30"/>
      <c r="AU755" s="30"/>
      <c r="AV755" s="30"/>
      <c r="AW755" s="30"/>
      <c r="AX755" s="30"/>
      <c r="AY755" s="30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30"/>
      <c r="BK755" s="30"/>
      <c r="BL755" s="30"/>
      <c r="BM755" s="30"/>
      <c r="BN755" s="30"/>
      <c r="BO755" s="30"/>
      <c r="BP755" s="30"/>
      <c r="BQ755" s="30"/>
      <c r="BR755" s="30"/>
      <c r="BS755" s="30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30"/>
      <c r="CE755" s="30"/>
      <c r="CF755" s="30"/>
      <c r="CG755" s="30"/>
      <c r="CH755" s="30"/>
      <c r="CI755" s="30"/>
      <c r="CJ755" s="30"/>
      <c r="CK755" s="30"/>
      <c r="CL755" s="30"/>
      <c r="CM755" s="30"/>
      <c r="CN755" s="1"/>
      <c r="CO755" s="1"/>
      <c r="CP755" s="1"/>
      <c r="CQ755" s="1"/>
      <c r="CR755" s="1"/>
      <c r="CS755" s="1"/>
      <c r="CT755" s="1"/>
      <c r="CU755" s="1"/>
      <c r="CV755" s="1"/>
      <c r="CW755" s="1"/>
    </row>
    <row r="756" spans="2:101" ht="15" hidden="1" customHeight="1" x14ac:dyDescent="0.25"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30"/>
      <c r="W756" s="30"/>
      <c r="X756" s="30"/>
      <c r="Y756" s="30"/>
      <c r="Z756" s="30"/>
      <c r="AA756" s="30"/>
      <c r="AB756" s="30"/>
      <c r="AC756" s="30"/>
      <c r="AD756" s="30"/>
      <c r="AE756" s="30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30"/>
      <c r="AQ756" s="30"/>
      <c r="AR756" s="30"/>
      <c r="AS756" s="30"/>
      <c r="AT756" s="30"/>
      <c r="AU756" s="30"/>
      <c r="AV756" s="30"/>
      <c r="AW756" s="30"/>
      <c r="AX756" s="30"/>
      <c r="AY756" s="30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30"/>
      <c r="BK756" s="30"/>
      <c r="BL756" s="30"/>
      <c r="BM756" s="30"/>
      <c r="BN756" s="30"/>
      <c r="BO756" s="30"/>
      <c r="BP756" s="30"/>
      <c r="BQ756" s="30"/>
      <c r="BR756" s="30"/>
      <c r="BS756" s="30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30"/>
      <c r="CE756" s="30"/>
      <c r="CF756" s="30"/>
      <c r="CG756" s="30"/>
      <c r="CH756" s="30"/>
      <c r="CI756" s="30"/>
      <c r="CJ756" s="30"/>
      <c r="CK756" s="30"/>
      <c r="CL756" s="30"/>
      <c r="CM756" s="30"/>
      <c r="CN756" s="1"/>
      <c r="CO756" s="1"/>
      <c r="CP756" s="1"/>
      <c r="CQ756" s="1"/>
      <c r="CR756" s="1"/>
      <c r="CS756" s="1"/>
      <c r="CT756" s="1"/>
      <c r="CU756" s="1"/>
      <c r="CV756" s="1"/>
      <c r="CW756" s="1"/>
    </row>
    <row r="757" spans="2:101" ht="15" hidden="1" customHeight="1" x14ac:dyDescent="0.25"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30"/>
      <c r="W757" s="30"/>
      <c r="X757" s="30"/>
      <c r="Y757" s="30"/>
      <c r="Z757" s="30"/>
      <c r="AA757" s="30"/>
      <c r="AB757" s="30"/>
      <c r="AC757" s="30"/>
      <c r="AD757" s="30"/>
      <c r="AE757" s="30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30"/>
      <c r="AQ757" s="30"/>
      <c r="AR757" s="30"/>
      <c r="AS757" s="30"/>
      <c r="AT757" s="30"/>
      <c r="AU757" s="30"/>
      <c r="AV757" s="30"/>
      <c r="AW757" s="30"/>
      <c r="AX757" s="30"/>
      <c r="AY757" s="30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30"/>
      <c r="BK757" s="30"/>
      <c r="BL757" s="30"/>
      <c r="BM757" s="30"/>
      <c r="BN757" s="30"/>
      <c r="BO757" s="30"/>
      <c r="BP757" s="30"/>
      <c r="BQ757" s="30"/>
      <c r="BR757" s="30"/>
      <c r="BS757" s="30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30"/>
      <c r="CE757" s="30"/>
      <c r="CF757" s="30"/>
      <c r="CG757" s="30"/>
      <c r="CH757" s="30"/>
      <c r="CI757" s="30"/>
      <c r="CJ757" s="30"/>
      <c r="CK757" s="30"/>
      <c r="CL757" s="30"/>
      <c r="CM757" s="30"/>
      <c r="CN757" s="1"/>
      <c r="CO757" s="1"/>
      <c r="CP757" s="1"/>
      <c r="CQ757" s="1"/>
      <c r="CR757" s="1"/>
      <c r="CS757" s="1"/>
      <c r="CT757" s="1"/>
      <c r="CU757" s="1"/>
      <c r="CV757" s="1"/>
      <c r="CW757" s="1"/>
    </row>
    <row r="758" spans="2:101" ht="15" hidden="1" customHeight="1" x14ac:dyDescent="0.25"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30"/>
      <c r="W758" s="30"/>
      <c r="X758" s="30"/>
      <c r="Y758" s="30"/>
      <c r="Z758" s="30"/>
      <c r="AA758" s="30"/>
      <c r="AB758" s="30"/>
      <c r="AC758" s="30"/>
      <c r="AD758" s="30"/>
      <c r="AE758" s="30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30"/>
      <c r="BK758" s="30"/>
      <c r="BL758" s="30"/>
      <c r="BM758" s="30"/>
      <c r="BN758" s="30"/>
      <c r="BO758" s="30"/>
      <c r="BP758" s="30"/>
      <c r="BQ758" s="30"/>
      <c r="BR758" s="30"/>
      <c r="BS758" s="30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30"/>
      <c r="CE758" s="30"/>
      <c r="CF758" s="30"/>
      <c r="CG758" s="30"/>
      <c r="CH758" s="30"/>
      <c r="CI758" s="30"/>
      <c r="CJ758" s="30"/>
      <c r="CK758" s="30"/>
      <c r="CL758" s="30"/>
      <c r="CM758" s="30"/>
      <c r="CN758" s="1"/>
      <c r="CO758" s="1"/>
      <c r="CP758" s="1"/>
      <c r="CQ758" s="1"/>
      <c r="CR758" s="1"/>
      <c r="CS758" s="1"/>
      <c r="CT758" s="1"/>
      <c r="CU758" s="1"/>
      <c r="CV758" s="1"/>
      <c r="CW758" s="1"/>
    </row>
    <row r="759" spans="2:101" ht="15" hidden="1" customHeight="1" x14ac:dyDescent="0.25"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30"/>
      <c r="W759" s="30"/>
      <c r="X759" s="30"/>
      <c r="Y759" s="30"/>
      <c r="Z759" s="30"/>
      <c r="AA759" s="30"/>
      <c r="AB759" s="30"/>
      <c r="AC759" s="30"/>
      <c r="AD759" s="30"/>
      <c r="AE759" s="30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30"/>
      <c r="AQ759" s="30"/>
      <c r="AR759" s="30"/>
      <c r="AS759" s="30"/>
      <c r="AT759" s="30"/>
      <c r="AU759" s="30"/>
      <c r="AV759" s="30"/>
      <c r="AW759" s="30"/>
      <c r="AX759" s="30"/>
      <c r="AY759" s="30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30"/>
      <c r="BK759" s="30"/>
      <c r="BL759" s="30"/>
      <c r="BM759" s="30"/>
      <c r="BN759" s="30"/>
      <c r="BO759" s="30"/>
      <c r="BP759" s="30"/>
      <c r="BQ759" s="30"/>
      <c r="BR759" s="30"/>
      <c r="BS759" s="30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30"/>
      <c r="CE759" s="30"/>
      <c r="CF759" s="30"/>
      <c r="CG759" s="30"/>
      <c r="CH759" s="30"/>
      <c r="CI759" s="30"/>
      <c r="CJ759" s="30"/>
      <c r="CK759" s="30"/>
      <c r="CL759" s="30"/>
      <c r="CM759" s="30"/>
      <c r="CN759" s="1"/>
      <c r="CO759" s="1"/>
      <c r="CP759" s="1"/>
      <c r="CQ759" s="1"/>
      <c r="CR759" s="1"/>
      <c r="CS759" s="1"/>
      <c r="CT759" s="1"/>
      <c r="CU759" s="1"/>
      <c r="CV759" s="1"/>
      <c r="CW759" s="1"/>
    </row>
    <row r="760" spans="2:101" ht="15" hidden="1" customHeight="1" x14ac:dyDescent="0.25"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30"/>
      <c r="W760" s="30"/>
      <c r="X760" s="30"/>
      <c r="Y760" s="30"/>
      <c r="Z760" s="30"/>
      <c r="AA760" s="30"/>
      <c r="AB760" s="30"/>
      <c r="AC760" s="30"/>
      <c r="AD760" s="30"/>
      <c r="AE760" s="30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30"/>
      <c r="AQ760" s="30"/>
      <c r="AR760" s="30"/>
      <c r="AS760" s="30"/>
      <c r="AT760" s="30"/>
      <c r="AU760" s="30"/>
      <c r="AV760" s="30"/>
      <c r="AW760" s="30"/>
      <c r="AX760" s="30"/>
      <c r="AY760" s="30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30"/>
      <c r="BK760" s="30"/>
      <c r="BL760" s="30"/>
      <c r="BM760" s="30"/>
      <c r="BN760" s="30"/>
      <c r="BO760" s="30"/>
      <c r="BP760" s="30"/>
      <c r="BQ760" s="30"/>
      <c r="BR760" s="30"/>
      <c r="BS760" s="30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30"/>
      <c r="CE760" s="30"/>
      <c r="CF760" s="30"/>
      <c r="CG760" s="30"/>
      <c r="CH760" s="30"/>
      <c r="CI760" s="30"/>
      <c r="CJ760" s="30"/>
      <c r="CK760" s="30"/>
      <c r="CL760" s="30"/>
      <c r="CM760" s="30"/>
      <c r="CN760" s="1"/>
      <c r="CO760" s="1"/>
      <c r="CP760" s="1"/>
      <c r="CQ760" s="1"/>
      <c r="CR760" s="1"/>
      <c r="CS760" s="1"/>
      <c r="CT760" s="1"/>
      <c r="CU760" s="1"/>
      <c r="CV760" s="1"/>
      <c r="CW760" s="1"/>
    </row>
    <row r="761" spans="2:101" ht="15" hidden="1" customHeight="1" x14ac:dyDescent="0.25"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30"/>
      <c r="W761" s="30"/>
      <c r="X761" s="30"/>
      <c r="Y761" s="30"/>
      <c r="Z761" s="30"/>
      <c r="AA761" s="30"/>
      <c r="AB761" s="30"/>
      <c r="AC761" s="30"/>
      <c r="AD761" s="30"/>
      <c r="AE761" s="30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30"/>
      <c r="AQ761" s="30"/>
      <c r="AR761" s="30"/>
      <c r="AS761" s="30"/>
      <c r="AT761" s="30"/>
      <c r="AU761" s="30"/>
      <c r="AV761" s="30"/>
      <c r="AW761" s="30"/>
      <c r="AX761" s="30"/>
      <c r="AY761" s="30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30"/>
      <c r="BK761" s="30"/>
      <c r="BL761" s="30"/>
      <c r="BM761" s="30"/>
      <c r="BN761" s="30"/>
      <c r="BO761" s="30"/>
      <c r="BP761" s="30"/>
      <c r="BQ761" s="30"/>
      <c r="BR761" s="30"/>
      <c r="BS761" s="30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30"/>
      <c r="CE761" s="30"/>
      <c r="CF761" s="30"/>
      <c r="CG761" s="30"/>
      <c r="CH761" s="30"/>
      <c r="CI761" s="30"/>
      <c r="CJ761" s="30"/>
      <c r="CK761" s="30"/>
      <c r="CL761" s="30"/>
      <c r="CM761" s="30"/>
      <c r="CN761" s="1"/>
      <c r="CO761" s="1"/>
      <c r="CP761" s="1"/>
      <c r="CQ761" s="1"/>
      <c r="CR761" s="1"/>
      <c r="CS761" s="1"/>
      <c r="CT761" s="1"/>
      <c r="CU761" s="1"/>
      <c r="CV761" s="1"/>
      <c r="CW761" s="1"/>
    </row>
    <row r="762" spans="2:101" ht="15" hidden="1" customHeight="1" x14ac:dyDescent="0.25"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30"/>
      <c r="W762" s="30"/>
      <c r="X762" s="30"/>
      <c r="Y762" s="30"/>
      <c r="Z762" s="30"/>
      <c r="AA762" s="30"/>
      <c r="AB762" s="30"/>
      <c r="AC762" s="30"/>
      <c r="AD762" s="30"/>
      <c r="AE762" s="30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30"/>
      <c r="AQ762" s="30"/>
      <c r="AR762" s="30"/>
      <c r="AS762" s="30"/>
      <c r="AT762" s="30"/>
      <c r="AU762" s="30"/>
      <c r="AV762" s="30"/>
      <c r="AW762" s="30"/>
      <c r="AX762" s="30"/>
      <c r="AY762" s="30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30"/>
      <c r="BK762" s="30"/>
      <c r="BL762" s="30"/>
      <c r="BM762" s="30"/>
      <c r="BN762" s="30"/>
      <c r="BO762" s="30"/>
      <c r="BP762" s="30"/>
      <c r="BQ762" s="30"/>
      <c r="BR762" s="30"/>
      <c r="BS762" s="30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30"/>
      <c r="CE762" s="30"/>
      <c r="CF762" s="30"/>
      <c r="CG762" s="30"/>
      <c r="CH762" s="30"/>
      <c r="CI762" s="30"/>
      <c r="CJ762" s="30"/>
      <c r="CK762" s="30"/>
      <c r="CL762" s="30"/>
      <c r="CM762" s="30"/>
      <c r="CN762" s="1"/>
      <c r="CO762" s="1"/>
      <c r="CP762" s="1"/>
      <c r="CQ762" s="1"/>
      <c r="CR762" s="1"/>
      <c r="CS762" s="1"/>
      <c r="CT762" s="1"/>
      <c r="CU762" s="1"/>
      <c r="CV762" s="1"/>
      <c r="CW762" s="1"/>
    </row>
    <row r="763" spans="2:101" ht="15" hidden="1" customHeight="1" x14ac:dyDescent="0.25"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30"/>
      <c r="W763" s="30"/>
      <c r="X763" s="30"/>
      <c r="Y763" s="30"/>
      <c r="Z763" s="30"/>
      <c r="AA763" s="30"/>
      <c r="AB763" s="30"/>
      <c r="AC763" s="30"/>
      <c r="AD763" s="30"/>
      <c r="AE763" s="30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30"/>
      <c r="AQ763" s="30"/>
      <c r="AR763" s="30"/>
      <c r="AS763" s="30"/>
      <c r="AT763" s="30"/>
      <c r="AU763" s="30"/>
      <c r="AV763" s="30"/>
      <c r="AW763" s="30"/>
      <c r="AX763" s="30"/>
      <c r="AY763" s="30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30"/>
      <c r="BK763" s="30"/>
      <c r="BL763" s="30"/>
      <c r="BM763" s="30"/>
      <c r="BN763" s="30"/>
      <c r="BO763" s="30"/>
      <c r="BP763" s="30"/>
      <c r="BQ763" s="30"/>
      <c r="BR763" s="30"/>
      <c r="BS763" s="30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30"/>
      <c r="CE763" s="30"/>
      <c r="CF763" s="30"/>
      <c r="CG763" s="30"/>
      <c r="CH763" s="30"/>
      <c r="CI763" s="30"/>
      <c r="CJ763" s="30"/>
      <c r="CK763" s="30"/>
      <c r="CL763" s="30"/>
      <c r="CM763" s="30"/>
      <c r="CN763" s="1"/>
      <c r="CO763" s="1"/>
      <c r="CP763" s="1"/>
      <c r="CQ763" s="1"/>
      <c r="CR763" s="1"/>
      <c r="CS763" s="1"/>
      <c r="CT763" s="1"/>
      <c r="CU763" s="1"/>
      <c r="CV763" s="1"/>
      <c r="CW763" s="1"/>
    </row>
    <row r="764" spans="2:101" ht="15" hidden="1" customHeight="1" x14ac:dyDescent="0.25"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30"/>
      <c r="W764" s="30"/>
      <c r="X764" s="30"/>
      <c r="Y764" s="30"/>
      <c r="Z764" s="30"/>
      <c r="AA764" s="30"/>
      <c r="AB764" s="30"/>
      <c r="AC764" s="30"/>
      <c r="AD764" s="30"/>
      <c r="AE764" s="30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30"/>
      <c r="AQ764" s="30"/>
      <c r="AR764" s="30"/>
      <c r="AS764" s="30"/>
      <c r="AT764" s="30"/>
      <c r="AU764" s="30"/>
      <c r="AV764" s="30"/>
      <c r="AW764" s="30"/>
      <c r="AX764" s="30"/>
      <c r="AY764" s="30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30"/>
      <c r="BK764" s="30"/>
      <c r="BL764" s="30"/>
      <c r="BM764" s="30"/>
      <c r="BN764" s="30"/>
      <c r="BO764" s="30"/>
      <c r="BP764" s="30"/>
      <c r="BQ764" s="30"/>
      <c r="BR764" s="30"/>
      <c r="BS764" s="30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30"/>
      <c r="CE764" s="30"/>
      <c r="CF764" s="30"/>
      <c r="CG764" s="30"/>
      <c r="CH764" s="30"/>
      <c r="CI764" s="30"/>
      <c r="CJ764" s="30"/>
      <c r="CK764" s="30"/>
      <c r="CL764" s="30"/>
      <c r="CM764" s="30"/>
      <c r="CN764" s="1"/>
      <c r="CO764" s="1"/>
      <c r="CP764" s="1"/>
      <c r="CQ764" s="1"/>
      <c r="CR764" s="1"/>
      <c r="CS764" s="1"/>
      <c r="CT764" s="1"/>
      <c r="CU764" s="1"/>
      <c r="CV764" s="1"/>
      <c r="CW764" s="1"/>
    </row>
    <row r="765" spans="2:101" ht="15" hidden="1" customHeight="1" x14ac:dyDescent="0.25"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30"/>
      <c r="W765" s="30"/>
      <c r="X765" s="30"/>
      <c r="Y765" s="30"/>
      <c r="Z765" s="30"/>
      <c r="AA765" s="30"/>
      <c r="AB765" s="30"/>
      <c r="AC765" s="30"/>
      <c r="AD765" s="30"/>
      <c r="AE765" s="30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30"/>
      <c r="AQ765" s="30"/>
      <c r="AR765" s="30"/>
      <c r="AS765" s="30"/>
      <c r="AT765" s="30"/>
      <c r="AU765" s="30"/>
      <c r="AV765" s="30"/>
      <c r="AW765" s="30"/>
      <c r="AX765" s="30"/>
      <c r="AY765" s="30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30"/>
      <c r="BK765" s="30"/>
      <c r="BL765" s="30"/>
      <c r="BM765" s="30"/>
      <c r="BN765" s="30"/>
      <c r="BO765" s="30"/>
      <c r="BP765" s="30"/>
      <c r="BQ765" s="30"/>
      <c r="BR765" s="30"/>
      <c r="BS765" s="30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30"/>
      <c r="CE765" s="30"/>
      <c r="CF765" s="30"/>
      <c r="CG765" s="30"/>
      <c r="CH765" s="30"/>
      <c r="CI765" s="30"/>
      <c r="CJ765" s="30"/>
      <c r="CK765" s="30"/>
      <c r="CL765" s="30"/>
      <c r="CM765" s="30"/>
      <c r="CN765" s="1"/>
      <c r="CO765" s="1"/>
      <c r="CP765" s="1"/>
      <c r="CQ765" s="1"/>
      <c r="CR765" s="1"/>
      <c r="CS765" s="1"/>
      <c r="CT765" s="1"/>
      <c r="CU765" s="1"/>
      <c r="CV765" s="1"/>
      <c r="CW765" s="1"/>
    </row>
    <row r="766" spans="2:101" ht="15" hidden="1" customHeight="1" x14ac:dyDescent="0.25"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30"/>
      <c r="W766" s="30"/>
      <c r="X766" s="30"/>
      <c r="Y766" s="30"/>
      <c r="Z766" s="30"/>
      <c r="AA766" s="30"/>
      <c r="AB766" s="30"/>
      <c r="AC766" s="30"/>
      <c r="AD766" s="30"/>
      <c r="AE766" s="30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30"/>
      <c r="AQ766" s="30"/>
      <c r="AR766" s="30"/>
      <c r="AS766" s="30"/>
      <c r="AT766" s="30"/>
      <c r="AU766" s="30"/>
      <c r="AV766" s="30"/>
      <c r="AW766" s="30"/>
      <c r="AX766" s="30"/>
      <c r="AY766" s="30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30"/>
      <c r="BK766" s="30"/>
      <c r="BL766" s="30"/>
      <c r="BM766" s="30"/>
      <c r="BN766" s="30"/>
      <c r="BO766" s="30"/>
      <c r="BP766" s="30"/>
      <c r="BQ766" s="30"/>
      <c r="BR766" s="30"/>
      <c r="BS766" s="30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30"/>
      <c r="CE766" s="30"/>
      <c r="CF766" s="30"/>
      <c r="CG766" s="30"/>
      <c r="CH766" s="30"/>
      <c r="CI766" s="30"/>
      <c r="CJ766" s="30"/>
      <c r="CK766" s="30"/>
      <c r="CL766" s="30"/>
      <c r="CM766" s="30"/>
      <c r="CN766" s="1"/>
      <c r="CO766" s="1"/>
      <c r="CP766" s="1"/>
      <c r="CQ766" s="1"/>
      <c r="CR766" s="1"/>
      <c r="CS766" s="1"/>
      <c r="CT766" s="1"/>
      <c r="CU766" s="1"/>
      <c r="CV766" s="1"/>
      <c r="CW766" s="1"/>
    </row>
    <row r="767" spans="2:101" ht="15" hidden="1" customHeight="1" x14ac:dyDescent="0.25"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30"/>
      <c r="W767" s="30"/>
      <c r="X767" s="30"/>
      <c r="Y767" s="30"/>
      <c r="Z767" s="30"/>
      <c r="AA767" s="30"/>
      <c r="AB767" s="30"/>
      <c r="AC767" s="30"/>
      <c r="AD767" s="30"/>
      <c r="AE767" s="30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30"/>
      <c r="AQ767" s="30"/>
      <c r="AR767" s="30"/>
      <c r="AS767" s="30"/>
      <c r="AT767" s="30"/>
      <c r="AU767" s="30"/>
      <c r="AV767" s="30"/>
      <c r="AW767" s="30"/>
      <c r="AX767" s="30"/>
      <c r="AY767" s="30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30"/>
      <c r="BK767" s="30"/>
      <c r="BL767" s="30"/>
      <c r="BM767" s="30"/>
      <c r="BN767" s="30"/>
      <c r="BO767" s="30"/>
      <c r="BP767" s="30"/>
      <c r="BQ767" s="30"/>
      <c r="BR767" s="30"/>
      <c r="BS767" s="30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30"/>
      <c r="CE767" s="30"/>
      <c r="CF767" s="30"/>
      <c r="CG767" s="30"/>
      <c r="CH767" s="30"/>
      <c r="CI767" s="30"/>
      <c r="CJ767" s="30"/>
      <c r="CK767" s="30"/>
      <c r="CL767" s="30"/>
      <c r="CM767" s="30"/>
      <c r="CN767" s="1"/>
      <c r="CO767" s="1"/>
      <c r="CP767" s="1"/>
      <c r="CQ767" s="1"/>
      <c r="CR767" s="1"/>
      <c r="CS767" s="1"/>
      <c r="CT767" s="1"/>
      <c r="CU767" s="1"/>
      <c r="CV767" s="1"/>
      <c r="CW767" s="1"/>
    </row>
    <row r="768" spans="2:101" ht="15" hidden="1" customHeight="1" x14ac:dyDescent="0.25"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30"/>
      <c r="W768" s="30"/>
      <c r="X768" s="30"/>
      <c r="Y768" s="30"/>
      <c r="Z768" s="30"/>
      <c r="AA768" s="30"/>
      <c r="AB768" s="30"/>
      <c r="AC768" s="30"/>
      <c r="AD768" s="30"/>
      <c r="AE768" s="30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30"/>
      <c r="AQ768" s="30"/>
      <c r="AR768" s="30"/>
      <c r="AS768" s="30"/>
      <c r="AT768" s="30"/>
      <c r="AU768" s="30"/>
      <c r="AV768" s="30"/>
      <c r="AW768" s="30"/>
      <c r="AX768" s="30"/>
      <c r="AY768" s="30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30"/>
      <c r="BK768" s="30"/>
      <c r="BL768" s="30"/>
      <c r="BM768" s="30"/>
      <c r="BN768" s="30"/>
      <c r="BO768" s="30"/>
      <c r="BP768" s="30"/>
      <c r="BQ768" s="30"/>
      <c r="BR768" s="30"/>
      <c r="BS768" s="30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30"/>
      <c r="CE768" s="30"/>
      <c r="CF768" s="30"/>
      <c r="CG768" s="30"/>
      <c r="CH768" s="30"/>
      <c r="CI768" s="30"/>
      <c r="CJ768" s="30"/>
      <c r="CK768" s="30"/>
      <c r="CL768" s="30"/>
      <c r="CM768" s="30"/>
      <c r="CN768" s="1"/>
      <c r="CO768" s="1"/>
      <c r="CP768" s="1"/>
      <c r="CQ768" s="1"/>
      <c r="CR768" s="1"/>
      <c r="CS768" s="1"/>
      <c r="CT768" s="1"/>
      <c r="CU768" s="1"/>
      <c r="CV768" s="1"/>
      <c r="CW768" s="1"/>
    </row>
    <row r="769" spans="2:101" ht="15" hidden="1" customHeight="1" x14ac:dyDescent="0.25"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30"/>
      <c r="W769" s="30"/>
      <c r="X769" s="30"/>
      <c r="Y769" s="30"/>
      <c r="Z769" s="30"/>
      <c r="AA769" s="30"/>
      <c r="AB769" s="30"/>
      <c r="AC769" s="30"/>
      <c r="AD769" s="30"/>
      <c r="AE769" s="30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30"/>
      <c r="AQ769" s="30"/>
      <c r="AR769" s="30"/>
      <c r="AS769" s="30"/>
      <c r="AT769" s="30"/>
      <c r="AU769" s="30"/>
      <c r="AV769" s="30"/>
      <c r="AW769" s="30"/>
      <c r="AX769" s="30"/>
      <c r="AY769" s="30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30"/>
      <c r="BK769" s="30"/>
      <c r="BL769" s="30"/>
      <c r="BM769" s="30"/>
      <c r="BN769" s="30"/>
      <c r="BO769" s="30"/>
      <c r="BP769" s="30"/>
      <c r="BQ769" s="30"/>
      <c r="BR769" s="30"/>
      <c r="BS769" s="30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30"/>
      <c r="CE769" s="30"/>
      <c r="CF769" s="30"/>
      <c r="CG769" s="30"/>
      <c r="CH769" s="30"/>
      <c r="CI769" s="30"/>
      <c r="CJ769" s="30"/>
      <c r="CK769" s="30"/>
      <c r="CL769" s="30"/>
      <c r="CM769" s="30"/>
      <c r="CN769" s="1"/>
      <c r="CO769" s="1"/>
      <c r="CP769" s="1"/>
      <c r="CQ769" s="1"/>
      <c r="CR769" s="1"/>
      <c r="CS769" s="1"/>
      <c r="CT769" s="1"/>
      <c r="CU769" s="1"/>
      <c r="CV769" s="1"/>
      <c r="CW769" s="1"/>
    </row>
    <row r="770" spans="2:101" ht="15" hidden="1" customHeight="1" x14ac:dyDescent="0.25"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30"/>
      <c r="W770" s="30"/>
      <c r="X770" s="30"/>
      <c r="Y770" s="30"/>
      <c r="Z770" s="30"/>
      <c r="AA770" s="30"/>
      <c r="AB770" s="30"/>
      <c r="AC770" s="30"/>
      <c r="AD770" s="30"/>
      <c r="AE770" s="30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30"/>
      <c r="AQ770" s="30"/>
      <c r="AR770" s="30"/>
      <c r="AS770" s="30"/>
      <c r="AT770" s="30"/>
      <c r="AU770" s="30"/>
      <c r="AV770" s="30"/>
      <c r="AW770" s="30"/>
      <c r="AX770" s="30"/>
      <c r="AY770" s="30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30"/>
      <c r="BK770" s="30"/>
      <c r="BL770" s="30"/>
      <c r="BM770" s="30"/>
      <c r="BN770" s="30"/>
      <c r="BO770" s="30"/>
      <c r="BP770" s="30"/>
      <c r="BQ770" s="30"/>
      <c r="BR770" s="30"/>
      <c r="BS770" s="30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30"/>
      <c r="CE770" s="30"/>
      <c r="CF770" s="30"/>
      <c r="CG770" s="30"/>
      <c r="CH770" s="30"/>
      <c r="CI770" s="30"/>
      <c r="CJ770" s="30"/>
      <c r="CK770" s="30"/>
      <c r="CL770" s="30"/>
      <c r="CM770" s="30"/>
      <c r="CN770" s="1"/>
      <c r="CO770" s="1"/>
      <c r="CP770" s="1"/>
      <c r="CQ770" s="1"/>
      <c r="CR770" s="1"/>
      <c r="CS770" s="1"/>
      <c r="CT770" s="1"/>
      <c r="CU770" s="1"/>
      <c r="CV770" s="1"/>
      <c r="CW770" s="1"/>
    </row>
    <row r="771" spans="2:101" ht="15" hidden="1" customHeight="1" x14ac:dyDescent="0.25"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30"/>
      <c r="W771" s="30"/>
      <c r="X771" s="30"/>
      <c r="Y771" s="30"/>
      <c r="Z771" s="30"/>
      <c r="AA771" s="30"/>
      <c r="AB771" s="30"/>
      <c r="AC771" s="30"/>
      <c r="AD771" s="30"/>
      <c r="AE771" s="30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30"/>
      <c r="AQ771" s="30"/>
      <c r="AR771" s="30"/>
      <c r="AS771" s="30"/>
      <c r="AT771" s="30"/>
      <c r="AU771" s="30"/>
      <c r="AV771" s="30"/>
      <c r="AW771" s="30"/>
      <c r="AX771" s="30"/>
      <c r="AY771" s="30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30"/>
      <c r="BK771" s="30"/>
      <c r="BL771" s="30"/>
      <c r="BM771" s="30"/>
      <c r="BN771" s="30"/>
      <c r="BO771" s="30"/>
      <c r="BP771" s="30"/>
      <c r="BQ771" s="30"/>
      <c r="BR771" s="30"/>
      <c r="BS771" s="30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30"/>
      <c r="CE771" s="30"/>
      <c r="CF771" s="30"/>
      <c r="CG771" s="30"/>
      <c r="CH771" s="30"/>
      <c r="CI771" s="30"/>
      <c r="CJ771" s="30"/>
      <c r="CK771" s="30"/>
      <c r="CL771" s="30"/>
      <c r="CM771" s="30"/>
      <c r="CN771" s="1"/>
      <c r="CO771" s="1"/>
      <c r="CP771" s="1"/>
      <c r="CQ771" s="1"/>
      <c r="CR771" s="1"/>
      <c r="CS771" s="1"/>
      <c r="CT771" s="1"/>
      <c r="CU771" s="1"/>
      <c r="CV771" s="1"/>
      <c r="CW771" s="1"/>
    </row>
    <row r="772" spans="2:101" ht="15" hidden="1" customHeight="1" x14ac:dyDescent="0.25"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30"/>
      <c r="W772" s="30"/>
      <c r="X772" s="30"/>
      <c r="Y772" s="30"/>
      <c r="Z772" s="30"/>
      <c r="AA772" s="30"/>
      <c r="AB772" s="30"/>
      <c r="AC772" s="30"/>
      <c r="AD772" s="30"/>
      <c r="AE772" s="30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30"/>
      <c r="AQ772" s="30"/>
      <c r="AR772" s="30"/>
      <c r="AS772" s="30"/>
      <c r="AT772" s="30"/>
      <c r="AU772" s="30"/>
      <c r="AV772" s="30"/>
      <c r="AW772" s="30"/>
      <c r="AX772" s="30"/>
      <c r="AY772" s="30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30"/>
      <c r="BK772" s="30"/>
      <c r="BL772" s="30"/>
      <c r="BM772" s="30"/>
      <c r="BN772" s="30"/>
      <c r="BO772" s="30"/>
      <c r="BP772" s="30"/>
      <c r="BQ772" s="30"/>
      <c r="BR772" s="30"/>
      <c r="BS772" s="30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30"/>
      <c r="CE772" s="30"/>
      <c r="CF772" s="30"/>
      <c r="CG772" s="30"/>
      <c r="CH772" s="30"/>
      <c r="CI772" s="30"/>
      <c r="CJ772" s="30"/>
      <c r="CK772" s="30"/>
      <c r="CL772" s="30"/>
      <c r="CM772" s="30"/>
      <c r="CN772" s="1"/>
      <c r="CO772" s="1"/>
      <c r="CP772" s="1"/>
      <c r="CQ772" s="1"/>
      <c r="CR772" s="1"/>
      <c r="CS772" s="1"/>
      <c r="CT772" s="1"/>
      <c r="CU772" s="1"/>
      <c r="CV772" s="1"/>
      <c r="CW772" s="1"/>
    </row>
    <row r="773" spans="2:101" ht="15" hidden="1" customHeight="1" x14ac:dyDescent="0.25"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30"/>
      <c r="W773" s="30"/>
      <c r="X773" s="30"/>
      <c r="Y773" s="30"/>
      <c r="Z773" s="30"/>
      <c r="AA773" s="30"/>
      <c r="AB773" s="30"/>
      <c r="AC773" s="30"/>
      <c r="AD773" s="30"/>
      <c r="AE773" s="30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30"/>
      <c r="AQ773" s="30"/>
      <c r="AR773" s="30"/>
      <c r="AS773" s="30"/>
      <c r="AT773" s="30"/>
      <c r="AU773" s="30"/>
      <c r="AV773" s="30"/>
      <c r="AW773" s="30"/>
      <c r="AX773" s="30"/>
      <c r="AY773" s="30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30"/>
      <c r="BK773" s="30"/>
      <c r="BL773" s="30"/>
      <c r="BM773" s="30"/>
      <c r="BN773" s="30"/>
      <c r="BO773" s="30"/>
      <c r="BP773" s="30"/>
      <c r="BQ773" s="30"/>
      <c r="BR773" s="30"/>
      <c r="BS773" s="30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30"/>
      <c r="CE773" s="30"/>
      <c r="CF773" s="30"/>
      <c r="CG773" s="30"/>
      <c r="CH773" s="30"/>
      <c r="CI773" s="30"/>
      <c r="CJ773" s="30"/>
      <c r="CK773" s="30"/>
      <c r="CL773" s="30"/>
      <c r="CM773" s="30"/>
      <c r="CN773" s="1"/>
      <c r="CO773" s="1"/>
      <c r="CP773" s="1"/>
      <c r="CQ773" s="1"/>
      <c r="CR773" s="1"/>
      <c r="CS773" s="1"/>
      <c r="CT773" s="1"/>
      <c r="CU773" s="1"/>
      <c r="CV773" s="1"/>
      <c r="CW773" s="1"/>
    </row>
    <row r="774" spans="2:101" ht="15" hidden="1" customHeight="1" x14ac:dyDescent="0.25"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30"/>
      <c r="W774" s="30"/>
      <c r="X774" s="30"/>
      <c r="Y774" s="30"/>
      <c r="Z774" s="30"/>
      <c r="AA774" s="30"/>
      <c r="AB774" s="30"/>
      <c r="AC774" s="30"/>
      <c r="AD774" s="30"/>
      <c r="AE774" s="30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30"/>
      <c r="AQ774" s="30"/>
      <c r="AR774" s="30"/>
      <c r="AS774" s="30"/>
      <c r="AT774" s="30"/>
      <c r="AU774" s="30"/>
      <c r="AV774" s="30"/>
      <c r="AW774" s="30"/>
      <c r="AX774" s="30"/>
      <c r="AY774" s="30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30"/>
      <c r="BK774" s="30"/>
      <c r="BL774" s="30"/>
      <c r="BM774" s="30"/>
      <c r="BN774" s="30"/>
      <c r="BO774" s="30"/>
      <c r="BP774" s="30"/>
      <c r="BQ774" s="30"/>
      <c r="BR774" s="30"/>
      <c r="BS774" s="30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30"/>
      <c r="CE774" s="30"/>
      <c r="CF774" s="30"/>
      <c r="CG774" s="30"/>
      <c r="CH774" s="30"/>
      <c r="CI774" s="30"/>
      <c r="CJ774" s="30"/>
      <c r="CK774" s="30"/>
      <c r="CL774" s="30"/>
      <c r="CM774" s="30"/>
      <c r="CN774" s="1"/>
      <c r="CO774" s="1"/>
      <c r="CP774" s="1"/>
      <c r="CQ774" s="1"/>
      <c r="CR774" s="1"/>
      <c r="CS774" s="1"/>
      <c r="CT774" s="1"/>
      <c r="CU774" s="1"/>
      <c r="CV774" s="1"/>
      <c r="CW774" s="1"/>
    </row>
    <row r="775" spans="2:101" ht="15" hidden="1" customHeight="1" x14ac:dyDescent="0.25"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30"/>
      <c r="W775" s="30"/>
      <c r="X775" s="30"/>
      <c r="Y775" s="30"/>
      <c r="Z775" s="30"/>
      <c r="AA775" s="30"/>
      <c r="AB775" s="30"/>
      <c r="AC775" s="30"/>
      <c r="AD775" s="30"/>
      <c r="AE775" s="30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30"/>
      <c r="AQ775" s="30"/>
      <c r="AR775" s="30"/>
      <c r="AS775" s="30"/>
      <c r="AT775" s="30"/>
      <c r="AU775" s="30"/>
      <c r="AV775" s="30"/>
      <c r="AW775" s="30"/>
      <c r="AX775" s="30"/>
      <c r="AY775" s="30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30"/>
      <c r="BK775" s="30"/>
      <c r="BL775" s="30"/>
      <c r="BM775" s="30"/>
      <c r="BN775" s="30"/>
      <c r="BO775" s="30"/>
      <c r="BP775" s="30"/>
      <c r="BQ775" s="30"/>
      <c r="BR775" s="30"/>
      <c r="BS775" s="30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30"/>
      <c r="CE775" s="30"/>
      <c r="CF775" s="30"/>
      <c r="CG775" s="30"/>
      <c r="CH775" s="30"/>
      <c r="CI775" s="30"/>
      <c r="CJ775" s="30"/>
      <c r="CK775" s="30"/>
      <c r="CL775" s="30"/>
      <c r="CM775" s="30"/>
      <c r="CN775" s="1"/>
      <c r="CO775" s="1"/>
      <c r="CP775" s="1"/>
      <c r="CQ775" s="1"/>
      <c r="CR775" s="1"/>
      <c r="CS775" s="1"/>
      <c r="CT775" s="1"/>
      <c r="CU775" s="1"/>
      <c r="CV775" s="1"/>
      <c r="CW775" s="1"/>
    </row>
    <row r="776" spans="2:101" ht="15" hidden="1" customHeight="1" x14ac:dyDescent="0.25"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30"/>
      <c r="W776" s="30"/>
      <c r="X776" s="30"/>
      <c r="Y776" s="30"/>
      <c r="Z776" s="30"/>
      <c r="AA776" s="30"/>
      <c r="AB776" s="30"/>
      <c r="AC776" s="30"/>
      <c r="AD776" s="30"/>
      <c r="AE776" s="30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30"/>
      <c r="AQ776" s="30"/>
      <c r="AR776" s="30"/>
      <c r="AS776" s="30"/>
      <c r="AT776" s="30"/>
      <c r="AU776" s="30"/>
      <c r="AV776" s="30"/>
      <c r="AW776" s="30"/>
      <c r="AX776" s="30"/>
      <c r="AY776" s="30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30"/>
      <c r="BK776" s="30"/>
      <c r="BL776" s="30"/>
      <c r="BM776" s="30"/>
      <c r="BN776" s="30"/>
      <c r="BO776" s="30"/>
      <c r="BP776" s="30"/>
      <c r="BQ776" s="30"/>
      <c r="BR776" s="30"/>
      <c r="BS776" s="30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30"/>
      <c r="CE776" s="30"/>
      <c r="CF776" s="30"/>
      <c r="CG776" s="30"/>
      <c r="CH776" s="30"/>
      <c r="CI776" s="30"/>
      <c r="CJ776" s="30"/>
      <c r="CK776" s="30"/>
      <c r="CL776" s="30"/>
      <c r="CM776" s="30"/>
      <c r="CN776" s="1"/>
      <c r="CO776" s="1"/>
      <c r="CP776" s="1"/>
      <c r="CQ776" s="1"/>
      <c r="CR776" s="1"/>
      <c r="CS776" s="1"/>
      <c r="CT776" s="1"/>
      <c r="CU776" s="1"/>
      <c r="CV776" s="1"/>
      <c r="CW776" s="1"/>
    </row>
    <row r="777" spans="2:101" ht="15" hidden="1" customHeight="1" x14ac:dyDescent="0.25"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30"/>
      <c r="W777" s="30"/>
      <c r="X777" s="30"/>
      <c r="Y777" s="30"/>
      <c r="Z777" s="30"/>
      <c r="AA777" s="30"/>
      <c r="AB777" s="30"/>
      <c r="AC777" s="30"/>
      <c r="AD777" s="30"/>
      <c r="AE777" s="30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30"/>
      <c r="AQ777" s="30"/>
      <c r="AR777" s="30"/>
      <c r="AS777" s="30"/>
      <c r="AT777" s="30"/>
      <c r="AU777" s="30"/>
      <c r="AV777" s="30"/>
      <c r="AW777" s="30"/>
      <c r="AX777" s="30"/>
      <c r="AY777" s="30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30"/>
      <c r="BK777" s="30"/>
      <c r="BL777" s="30"/>
      <c r="BM777" s="30"/>
      <c r="BN777" s="30"/>
      <c r="BO777" s="30"/>
      <c r="BP777" s="30"/>
      <c r="BQ777" s="30"/>
      <c r="BR777" s="30"/>
      <c r="BS777" s="30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30"/>
      <c r="CE777" s="30"/>
      <c r="CF777" s="30"/>
      <c r="CG777" s="30"/>
      <c r="CH777" s="30"/>
      <c r="CI777" s="30"/>
      <c r="CJ777" s="30"/>
      <c r="CK777" s="30"/>
      <c r="CL777" s="30"/>
      <c r="CM777" s="30"/>
      <c r="CN777" s="1"/>
      <c r="CO777" s="1"/>
      <c r="CP777" s="1"/>
      <c r="CQ777" s="1"/>
      <c r="CR777" s="1"/>
      <c r="CS777" s="1"/>
      <c r="CT777" s="1"/>
      <c r="CU777" s="1"/>
      <c r="CV777" s="1"/>
      <c r="CW777" s="1"/>
    </row>
    <row r="778" spans="2:101" ht="15" hidden="1" customHeight="1" x14ac:dyDescent="0.25"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30"/>
      <c r="W778" s="30"/>
      <c r="X778" s="30"/>
      <c r="Y778" s="30"/>
      <c r="Z778" s="30"/>
      <c r="AA778" s="30"/>
      <c r="AB778" s="30"/>
      <c r="AC778" s="30"/>
      <c r="AD778" s="30"/>
      <c r="AE778" s="30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30"/>
      <c r="AQ778" s="30"/>
      <c r="AR778" s="30"/>
      <c r="AS778" s="30"/>
      <c r="AT778" s="30"/>
      <c r="AU778" s="30"/>
      <c r="AV778" s="30"/>
      <c r="AW778" s="30"/>
      <c r="AX778" s="30"/>
      <c r="AY778" s="30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30"/>
      <c r="BK778" s="30"/>
      <c r="BL778" s="30"/>
      <c r="BM778" s="30"/>
      <c r="BN778" s="30"/>
      <c r="BO778" s="30"/>
      <c r="BP778" s="30"/>
      <c r="BQ778" s="30"/>
      <c r="BR778" s="30"/>
      <c r="BS778" s="30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30"/>
      <c r="CE778" s="30"/>
      <c r="CF778" s="30"/>
      <c r="CG778" s="30"/>
      <c r="CH778" s="30"/>
      <c r="CI778" s="30"/>
      <c r="CJ778" s="30"/>
      <c r="CK778" s="30"/>
      <c r="CL778" s="30"/>
      <c r="CM778" s="30"/>
      <c r="CN778" s="1"/>
      <c r="CO778" s="1"/>
      <c r="CP778" s="1"/>
      <c r="CQ778" s="1"/>
      <c r="CR778" s="1"/>
      <c r="CS778" s="1"/>
      <c r="CT778" s="1"/>
      <c r="CU778" s="1"/>
      <c r="CV778" s="1"/>
      <c r="CW778" s="1"/>
    </row>
    <row r="779" spans="2:101" ht="15" hidden="1" customHeight="1" x14ac:dyDescent="0.25"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30"/>
      <c r="W779" s="30"/>
      <c r="X779" s="30"/>
      <c r="Y779" s="30"/>
      <c r="Z779" s="30"/>
      <c r="AA779" s="30"/>
      <c r="AB779" s="30"/>
      <c r="AC779" s="30"/>
      <c r="AD779" s="30"/>
      <c r="AE779" s="30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30"/>
      <c r="AQ779" s="30"/>
      <c r="AR779" s="30"/>
      <c r="AS779" s="30"/>
      <c r="AT779" s="30"/>
      <c r="AU779" s="30"/>
      <c r="AV779" s="30"/>
      <c r="AW779" s="30"/>
      <c r="AX779" s="30"/>
      <c r="AY779" s="30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30"/>
      <c r="BK779" s="30"/>
      <c r="BL779" s="30"/>
      <c r="BM779" s="30"/>
      <c r="BN779" s="30"/>
      <c r="BO779" s="30"/>
      <c r="BP779" s="30"/>
      <c r="BQ779" s="30"/>
      <c r="BR779" s="30"/>
      <c r="BS779" s="30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30"/>
      <c r="CE779" s="30"/>
      <c r="CF779" s="30"/>
      <c r="CG779" s="30"/>
      <c r="CH779" s="30"/>
      <c r="CI779" s="30"/>
      <c r="CJ779" s="30"/>
      <c r="CK779" s="30"/>
      <c r="CL779" s="30"/>
      <c r="CM779" s="30"/>
      <c r="CN779" s="1"/>
      <c r="CO779" s="1"/>
      <c r="CP779" s="1"/>
      <c r="CQ779" s="1"/>
      <c r="CR779" s="1"/>
      <c r="CS779" s="1"/>
      <c r="CT779" s="1"/>
      <c r="CU779" s="1"/>
      <c r="CV779" s="1"/>
      <c r="CW779" s="1"/>
    </row>
    <row r="780" spans="2:101" ht="15" hidden="1" customHeight="1" x14ac:dyDescent="0.25"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30"/>
      <c r="W780" s="30"/>
      <c r="X780" s="30"/>
      <c r="Y780" s="30"/>
      <c r="Z780" s="30"/>
      <c r="AA780" s="30"/>
      <c r="AB780" s="30"/>
      <c r="AC780" s="30"/>
      <c r="AD780" s="30"/>
      <c r="AE780" s="30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30"/>
      <c r="AQ780" s="30"/>
      <c r="AR780" s="30"/>
      <c r="AS780" s="30"/>
      <c r="AT780" s="30"/>
      <c r="AU780" s="30"/>
      <c r="AV780" s="30"/>
      <c r="AW780" s="30"/>
      <c r="AX780" s="30"/>
      <c r="AY780" s="30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30"/>
      <c r="BK780" s="30"/>
      <c r="BL780" s="30"/>
      <c r="BM780" s="30"/>
      <c r="BN780" s="30"/>
      <c r="BO780" s="30"/>
      <c r="BP780" s="30"/>
      <c r="BQ780" s="30"/>
      <c r="BR780" s="30"/>
      <c r="BS780" s="30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30"/>
      <c r="CE780" s="30"/>
      <c r="CF780" s="30"/>
      <c r="CG780" s="30"/>
      <c r="CH780" s="30"/>
      <c r="CI780" s="30"/>
      <c r="CJ780" s="30"/>
      <c r="CK780" s="30"/>
      <c r="CL780" s="30"/>
      <c r="CM780" s="30"/>
      <c r="CN780" s="1"/>
      <c r="CO780" s="1"/>
      <c r="CP780" s="1"/>
      <c r="CQ780" s="1"/>
      <c r="CR780" s="1"/>
      <c r="CS780" s="1"/>
      <c r="CT780" s="1"/>
      <c r="CU780" s="1"/>
      <c r="CV780" s="1"/>
      <c r="CW780" s="1"/>
    </row>
    <row r="781" spans="2:101" ht="15" hidden="1" customHeight="1" x14ac:dyDescent="0.25"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30"/>
      <c r="W781" s="30"/>
      <c r="X781" s="30"/>
      <c r="Y781" s="30"/>
      <c r="Z781" s="30"/>
      <c r="AA781" s="30"/>
      <c r="AB781" s="30"/>
      <c r="AC781" s="30"/>
      <c r="AD781" s="30"/>
      <c r="AE781" s="30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30"/>
      <c r="AQ781" s="30"/>
      <c r="AR781" s="30"/>
      <c r="AS781" s="30"/>
      <c r="AT781" s="30"/>
      <c r="AU781" s="30"/>
      <c r="AV781" s="30"/>
      <c r="AW781" s="30"/>
      <c r="AX781" s="30"/>
      <c r="AY781" s="30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30"/>
      <c r="BK781" s="30"/>
      <c r="BL781" s="30"/>
      <c r="BM781" s="30"/>
      <c r="BN781" s="30"/>
      <c r="BO781" s="30"/>
      <c r="BP781" s="30"/>
      <c r="BQ781" s="30"/>
      <c r="BR781" s="30"/>
      <c r="BS781" s="30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30"/>
      <c r="CE781" s="30"/>
      <c r="CF781" s="30"/>
      <c r="CG781" s="30"/>
      <c r="CH781" s="30"/>
      <c r="CI781" s="30"/>
      <c r="CJ781" s="30"/>
      <c r="CK781" s="30"/>
      <c r="CL781" s="30"/>
      <c r="CM781" s="30"/>
      <c r="CN781" s="1"/>
      <c r="CO781" s="1"/>
      <c r="CP781" s="1"/>
      <c r="CQ781" s="1"/>
      <c r="CR781" s="1"/>
      <c r="CS781" s="1"/>
      <c r="CT781" s="1"/>
      <c r="CU781" s="1"/>
      <c r="CV781" s="1"/>
      <c r="CW781" s="1"/>
    </row>
    <row r="782" spans="2:101" ht="15" hidden="1" customHeight="1" x14ac:dyDescent="0.25"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30"/>
      <c r="W782" s="30"/>
      <c r="X782" s="30"/>
      <c r="Y782" s="30"/>
      <c r="Z782" s="30"/>
      <c r="AA782" s="30"/>
      <c r="AB782" s="30"/>
      <c r="AC782" s="30"/>
      <c r="AD782" s="30"/>
      <c r="AE782" s="30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30"/>
      <c r="AQ782" s="30"/>
      <c r="AR782" s="30"/>
      <c r="AS782" s="30"/>
      <c r="AT782" s="30"/>
      <c r="AU782" s="30"/>
      <c r="AV782" s="30"/>
      <c r="AW782" s="30"/>
      <c r="AX782" s="30"/>
      <c r="AY782" s="30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30"/>
      <c r="BK782" s="30"/>
      <c r="BL782" s="30"/>
      <c r="BM782" s="30"/>
      <c r="BN782" s="30"/>
      <c r="BO782" s="30"/>
      <c r="BP782" s="30"/>
      <c r="BQ782" s="30"/>
      <c r="BR782" s="30"/>
      <c r="BS782" s="30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30"/>
      <c r="CE782" s="30"/>
      <c r="CF782" s="30"/>
      <c r="CG782" s="30"/>
      <c r="CH782" s="30"/>
      <c r="CI782" s="30"/>
      <c r="CJ782" s="30"/>
      <c r="CK782" s="30"/>
      <c r="CL782" s="30"/>
      <c r="CM782" s="30"/>
      <c r="CN782" s="1"/>
      <c r="CO782" s="1"/>
      <c r="CP782" s="1"/>
      <c r="CQ782" s="1"/>
      <c r="CR782" s="1"/>
      <c r="CS782" s="1"/>
      <c r="CT782" s="1"/>
      <c r="CU782" s="1"/>
      <c r="CV782" s="1"/>
      <c r="CW782" s="1"/>
    </row>
    <row r="783" spans="2:101" ht="15" hidden="1" customHeight="1" x14ac:dyDescent="0.25"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30"/>
      <c r="W783" s="30"/>
      <c r="X783" s="30"/>
      <c r="Y783" s="30"/>
      <c r="Z783" s="30"/>
      <c r="AA783" s="30"/>
      <c r="AB783" s="30"/>
      <c r="AC783" s="30"/>
      <c r="AD783" s="30"/>
      <c r="AE783" s="30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30"/>
      <c r="AQ783" s="30"/>
      <c r="AR783" s="30"/>
      <c r="AS783" s="30"/>
      <c r="AT783" s="30"/>
      <c r="AU783" s="30"/>
      <c r="AV783" s="30"/>
      <c r="AW783" s="30"/>
      <c r="AX783" s="30"/>
      <c r="AY783" s="30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30"/>
      <c r="BK783" s="30"/>
      <c r="BL783" s="30"/>
      <c r="BM783" s="30"/>
      <c r="BN783" s="30"/>
      <c r="BO783" s="30"/>
      <c r="BP783" s="30"/>
      <c r="BQ783" s="30"/>
      <c r="BR783" s="30"/>
      <c r="BS783" s="30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30"/>
      <c r="CE783" s="30"/>
      <c r="CF783" s="30"/>
      <c r="CG783" s="30"/>
      <c r="CH783" s="30"/>
      <c r="CI783" s="30"/>
      <c r="CJ783" s="30"/>
      <c r="CK783" s="30"/>
      <c r="CL783" s="30"/>
      <c r="CM783" s="30"/>
      <c r="CN783" s="1"/>
      <c r="CO783" s="1"/>
      <c r="CP783" s="1"/>
      <c r="CQ783" s="1"/>
      <c r="CR783" s="1"/>
      <c r="CS783" s="1"/>
      <c r="CT783" s="1"/>
      <c r="CU783" s="1"/>
      <c r="CV783" s="1"/>
      <c r="CW783" s="1"/>
    </row>
    <row r="784" spans="2:101" ht="15" hidden="1" customHeight="1" x14ac:dyDescent="0.25"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30"/>
      <c r="W784" s="30"/>
      <c r="X784" s="30"/>
      <c r="Y784" s="30"/>
      <c r="Z784" s="30"/>
      <c r="AA784" s="30"/>
      <c r="AB784" s="30"/>
      <c r="AC784" s="30"/>
      <c r="AD784" s="30"/>
      <c r="AE784" s="30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30"/>
      <c r="AQ784" s="30"/>
      <c r="AR784" s="30"/>
      <c r="AS784" s="30"/>
      <c r="AT784" s="30"/>
      <c r="AU784" s="30"/>
      <c r="AV784" s="30"/>
      <c r="AW784" s="30"/>
      <c r="AX784" s="30"/>
      <c r="AY784" s="30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30"/>
      <c r="BK784" s="30"/>
      <c r="BL784" s="30"/>
      <c r="BM784" s="30"/>
      <c r="BN784" s="30"/>
      <c r="BO784" s="30"/>
      <c r="BP784" s="30"/>
      <c r="BQ784" s="30"/>
      <c r="BR784" s="30"/>
      <c r="BS784" s="30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30"/>
      <c r="CE784" s="30"/>
      <c r="CF784" s="30"/>
      <c r="CG784" s="30"/>
      <c r="CH784" s="30"/>
      <c r="CI784" s="30"/>
      <c r="CJ784" s="30"/>
      <c r="CK784" s="30"/>
      <c r="CL784" s="30"/>
      <c r="CM784" s="30"/>
      <c r="CN784" s="1"/>
      <c r="CO784" s="1"/>
      <c r="CP784" s="1"/>
      <c r="CQ784" s="1"/>
      <c r="CR784" s="1"/>
      <c r="CS784" s="1"/>
      <c r="CT784" s="1"/>
      <c r="CU784" s="1"/>
      <c r="CV784" s="1"/>
      <c r="CW784" s="1"/>
    </row>
    <row r="785" spans="2:101" ht="15" hidden="1" customHeight="1" x14ac:dyDescent="0.25"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30"/>
      <c r="W785" s="30"/>
      <c r="X785" s="30"/>
      <c r="Y785" s="30"/>
      <c r="Z785" s="30"/>
      <c r="AA785" s="30"/>
      <c r="AB785" s="30"/>
      <c r="AC785" s="30"/>
      <c r="AD785" s="30"/>
      <c r="AE785" s="30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30"/>
      <c r="AQ785" s="30"/>
      <c r="AR785" s="30"/>
      <c r="AS785" s="30"/>
      <c r="AT785" s="30"/>
      <c r="AU785" s="30"/>
      <c r="AV785" s="30"/>
      <c r="AW785" s="30"/>
      <c r="AX785" s="30"/>
      <c r="AY785" s="30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30"/>
      <c r="BK785" s="30"/>
      <c r="BL785" s="30"/>
      <c r="BM785" s="30"/>
      <c r="BN785" s="30"/>
      <c r="BO785" s="30"/>
      <c r="BP785" s="30"/>
      <c r="BQ785" s="30"/>
      <c r="BR785" s="30"/>
      <c r="BS785" s="30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30"/>
      <c r="CE785" s="30"/>
      <c r="CF785" s="30"/>
      <c r="CG785" s="30"/>
      <c r="CH785" s="30"/>
      <c r="CI785" s="30"/>
      <c r="CJ785" s="30"/>
      <c r="CK785" s="30"/>
      <c r="CL785" s="30"/>
      <c r="CM785" s="30"/>
      <c r="CN785" s="1"/>
      <c r="CO785" s="1"/>
      <c r="CP785" s="1"/>
      <c r="CQ785" s="1"/>
      <c r="CR785" s="1"/>
      <c r="CS785" s="1"/>
      <c r="CT785" s="1"/>
      <c r="CU785" s="1"/>
      <c r="CV785" s="1"/>
      <c r="CW785" s="1"/>
    </row>
    <row r="786" spans="2:101" ht="15" hidden="1" customHeight="1" x14ac:dyDescent="0.25"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30"/>
      <c r="W786" s="30"/>
      <c r="X786" s="30"/>
      <c r="Y786" s="30"/>
      <c r="Z786" s="30"/>
      <c r="AA786" s="30"/>
      <c r="AB786" s="30"/>
      <c r="AC786" s="30"/>
      <c r="AD786" s="30"/>
      <c r="AE786" s="30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30"/>
      <c r="AQ786" s="30"/>
      <c r="AR786" s="30"/>
      <c r="AS786" s="30"/>
      <c r="AT786" s="30"/>
      <c r="AU786" s="30"/>
      <c r="AV786" s="30"/>
      <c r="AW786" s="30"/>
      <c r="AX786" s="30"/>
      <c r="AY786" s="30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30"/>
      <c r="BK786" s="30"/>
      <c r="BL786" s="30"/>
      <c r="BM786" s="30"/>
      <c r="BN786" s="30"/>
      <c r="BO786" s="30"/>
      <c r="BP786" s="30"/>
      <c r="BQ786" s="30"/>
      <c r="BR786" s="30"/>
      <c r="BS786" s="30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30"/>
      <c r="CE786" s="30"/>
      <c r="CF786" s="30"/>
      <c r="CG786" s="30"/>
      <c r="CH786" s="30"/>
      <c r="CI786" s="30"/>
      <c r="CJ786" s="30"/>
      <c r="CK786" s="30"/>
      <c r="CL786" s="30"/>
      <c r="CM786" s="30"/>
      <c r="CN786" s="1"/>
      <c r="CO786" s="1"/>
      <c r="CP786" s="1"/>
      <c r="CQ786" s="1"/>
      <c r="CR786" s="1"/>
      <c r="CS786" s="1"/>
      <c r="CT786" s="1"/>
      <c r="CU786" s="1"/>
      <c r="CV786" s="1"/>
      <c r="CW786" s="1"/>
    </row>
    <row r="787" spans="2:101" ht="15" hidden="1" customHeight="1" x14ac:dyDescent="0.25"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30"/>
      <c r="W787" s="30"/>
      <c r="X787" s="30"/>
      <c r="Y787" s="30"/>
      <c r="Z787" s="30"/>
      <c r="AA787" s="30"/>
      <c r="AB787" s="30"/>
      <c r="AC787" s="30"/>
      <c r="AD787" s="30"/>
      <c r="AE787" s="30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30"/>
      <c r="AQ787" s="30"/>
      <c r="AR787" s="30"/>
      <c r="AS787" s="30"/>
      <c r="AT787" s="30"/>
      <c r="AU787" s="30"/>
      <c r="AV787" s="30"/>
      <c r="AW787" s="30"/>
      <c r="AX787" s="30"/>
      <c r="AY787" s="30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30"/>
      <c r="BK787" s="30"/>
      <c r="BL787" s="30"/>
      <c r="BM787" s="30"/>
      <c r="BN787" s="30"/>
      <c r="BO787" s="30"/>
      <c r="BP787" s="30"/>
      <c r="BQ787" s="30"/>
      <c r="BR787" s="30"/>
      <c r="BS787" s="30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30"/>
      <c r="CE787" s="30"/>
      <c r="CF787" s="30"/>
      <c r="CG787" s="30"/>
      <c r="CH787" s="30"/>
      <c r="CI787" s="30"/>
      <c r="CJ787" s="30"/>
      <c r="CK787" s="30"/>
      <c r="CL787" s="30"/>
      <c r="CM787" s="30"/>
      <c r="CN787" s="1"/>
      <c r="CO787" s="1"/>
      <c r="CP787" s="1"/>
      <c r="CQ787" s="1"/>
      <c r="CR787" s="1"/>
      <c r="CS787" s="1"/>
      <c r="CT787" s="1"/>
      <c r="CU787" s="1"/>
      <c r="CV787" s="1"/>
      <c r="CW787" s="1"/>
    </row>
    <row r="788" spans="2:101" ht="15" hidden="1" customHeight="1" x14ac:dyDescent="0.25"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30"/>
      <c r="W788" s="30"/>
      <c r="X788" s="30"/>
      <c r="Y788" s="30"/>
      <c r="Z788" s="30"/>
      <c r="AA788" s="30"/>
      <c r="AB788" s="30"/>
      <c r="AC788" s="30"/>
      <c r="AD788" s="30"/>
      <c r="AE788" s="30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30"/>
      <c r="AQ788" s="30"/>
      <c r="AR788" s="30"/>
      <c r="AS788" s="30"/>
      <c r="AT788" s="30"/>
      <c r="AU788" s="30"/>
      <c r="AV788" s="30"/>
      <c r="AW788" s="30"/>
      <c r="AX788" s="30"/>
      <c r="AY788" s="30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30"/>
      <c r="BK788" s="30"/>
      <c r="BL788" s="30"/>
      <c r="BM788" s="30"/>
      <c r="BN788" s="30"/>
      <c r="BO788" s="30"/>
      <c r="BP788" s="30"/>
      <c r="BQ788" s="30"/>
      <c r="BR788" s="30"/>
      <c r="BS788" s="30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30"/>
      <c r="CE788" s="30"/>
      <c r="CF788" s="30"/>
      <c r="CG788" s="30"/>
      <c r="CH788" s="30"/>
      <c r="CI788" s="30"/>
      <c r="CJ788" s="30"/>
      <c r="CK788" s="30"/>
      <c r="CL788" s="30"/>
      <c r="CM788" s="30"/>
      <c r="CN788" s="1"/>
      <c r="CO788" s="1"/>
      <c r="CP788" s="1"/>
      <c r="CQ788" s="1"/>
      <c r="CR788" s="1"/>
      <c r="CS788" s="1"/>
      <c r="CT788" s="1"/>
      <c r="CU788" s="1"/>
      <c r="CV788" s="1"/>
      <c r="CW788" s="1"/>
    </row>
    <row r="789" spans="2:101" ht="15" hidden="1" customHeight="1" x14ac:dyDescent="0.25"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30"/>
      <c r="W789" s="30"/>
      <c r="X789" s="30"/>
      <c r="Y789" s="30"/>
      <c r="Z789" s="30"/>
      <c r="AA789" s="30"/>
      <c r="AB789" s="30"/>
      <c r="AC789" s="30"/>
      <c r="AD789" s="30"/>
      <c r="AE789" s="30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30"/>
      <c r="AQ789" s="30"/>
      <c r="AR789" s="30"/>
      <c r="AS789" s="30"/>
      <c r="AT789" s="30"/>
      <c r="AU789" s="30"/>
      <c r="AV789" s="30"/>
      <c r="AW789" s="30"/>
      <c r="AX789" s="30"/>
      <c r="AY789" s="30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30"/>
      <c r="BK789" s="30"/>
      <c r="BL789" s="30"/>
      <c r="BM789" s="30"/>
      <c r="BN789" s="30"/>
      <c r="BO789" s="30"/>
      <c r="BP789" s="30"/>
      <c r="BQ789" s="30"/>
      <c r="BR789" s="30"/>
      <c r="BS789" s="30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30"/>
      <c r="CE789" s="30"/>
      <c r="CF789" s="30"/>
      <c r="CG789" s="30"/>
      <c r="CH789" s="30"/>
      <c r="CI789" s="30"/>
      <c r="CJ789" s="30"/>
      <c r="CK789" s="30"/>
      <c r="CL789" s="30"/>
      <c r="CM789" s="30"/>
      <c r="CN789" s="1"/>
      <c r="CO789" s="1"/>
      <c r="CP789" s="1"/>
      <c r="CQ789" s="1"/>
      <c r="CR789" s="1"/>
      <c r="CS789" s="1"/>
      <c r="CT789" s="1"/>
      <c r="CU789" s="1"/>
      <c r="CV789" s="1"/>
      <c r="CW789" s="1"/>
    </row>
    <row r="790" spans="2:101" ht="15" hidden="1" customHeight="1" x14ac:dyDescent="0.25"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30"/>
      <c r="AQ790" s="30"/>
      <c r="AR790" s="30"/>
      <c r="AS790" s="30"/>
      <c r="AT790" s="30"/>
      <c r="AU790" s="30"/>
      <c r="AV790" s="30"/>
      <c r="AW790" s="30"/>
      <c r="AX790" s="30"/>
      <c r="AY790" s="30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30"/>
      <c r="BK790" s="30"/>
      <c r="BL790" s="30"/>
      <c r="BM790" s="30"/>
      <c r="BN790" s="30"/>
      <c r="BO790" s="30"/>
      <c r="BP790" s="30"/>
      <c r="BQ790" s="30"/>
      <c r="BR790" s="30"/>
      <c r="BS790" s="30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30"/>
      <c r="CE790" s="30"/>
      <c r="CF790" s="30"/>
      <c r="CG790" s="30"/>
      <c r="CH790" s="30"/>
      <c r="CI790" s="30"/>
      <c r="CJ790" s="30"/>
      <c r="CK790" s="30"/>
      <c r="CL790" s="30"/>
      <c r="CM790" s="30"/>
      <c r="CN790" s="1"/>
      <c r="CO790" s="1"/>
      <c r="CP790" s="1"/>
      <c r="CQ790" s="1"/>
      <c r="CR790" s="1"/>
      <c r="CS790" s="1"/>
      <c r="CT790" s="1"/>
      <c r="CU790" s="1"/>
      <c r="CV790" s="1"/>
      <c r="CW790" s="1"/>
    </row>
    <row r="791" spans="2:101" ht="15" hidden="1" customHeight="1" x14ac:dyDescent="0.25"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30"/>
      <c r="AQ791" s="30"/>
      <c r="AR791" s="30"/>
      <c r="AS791" s="30"/>
      <c r="AT791" s="30"/>
      <c r="AU791" s="30"/>
      <c r="AV791" s="30"/>
      <c r="AW791" s="30"/>
      <c r="AX791" s="30"/>
      <c r="AY791" s="30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30"/>
      <c r="BK791" s="30"/>
      <c r="BL791" s="30"/>
      <c r="BM791" s="30"/>
      <c r="BN791" s="30"/>
      <c r="BO791" s="30"/>
      <c r="BP791" s="30"/>
      <c r="BQ791" s="30"/>
      <c r="BR791" s="30"/>
      <c r="BS791" s="30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30"/>
      <c r="CE791" s="30"/>
      <c r="CF791" s="30"/>
      <c r="CG791" s="30"/>
      <c r="CH791" s="30"/>
      <c r="CI791" s="30"/>
      <c r="CJ791" s="30"/>
      <c r="CK791" s="30"/>
      <c r="CL791" s="30"/>
      <c r="CM791" s="30"/>
      <c r="CN791" s="1"/>
      <c r="CO791" s="1"/>
      <c r="CP791" s="1"/>
      <c r="CQ791" s="1"/>
      <c r="CR791" s="1"/>
      <c r="CS791" s="1"/>
      <c r="CT791" s="1"/>
      <c r="CU791" s="1"/>
      <c r="CV791" s="1"/>
      <c r="CW791" s="1"/>
    </row>
    <row r="792" spans="2:101" ht="15" hidden="1" customHeight="1" x14ac:dyDescent="0.25"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30"/>
      <c r="AQ792" s="30"/>
      <c r="AR792" s="30"/>
      <c r="AS792" s="30"/>
      <c r="AT792" s="30"/>
      <c r="AU792" s="30"/>
      <c r="AV792" s="30"/>
      <c r="AW792" s="30"/>
      <c r="AX792" s="30"/>
      <c r="AY792" s="30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30"/>
      <c r="BK792" s="30"/>
      <c r="BL792" s="30"/>
      <c r="BM792" s="30"/>
      <c r="BN792" s="30"/>
      <c r="BO792" s="30"/>
      <c r="BP792" s="30"/>
      <c r="BQ792" s="30"/>
      <c r="BR792" s="30"/>
      <c r="BS792" s="30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30"/>
      <c r="CE792" s="30"/>
      <c r="CF792" s="30"/>
      <c r="CG792" s="30"/>
      <c r="CH792" s="30"/>
      <c r="CI792" s="30"/>
      <c r="CJ792" s="30"/>
      <c r="CK792" s="30"/>
      <c r="CL792" s="30"/>
      <c r="CM792" s="30"/>
      <c r="CN792" s="1"/>
      <c r="CO792" s="1"/>
      <c r="CP792" s="1"/>
      <c r="CQ792" s="1"/>
      <c r="CR792" s="1"/>
      <c r="CS792" s="1"/>
      <c r="CT792" s="1"/>
      <c r="CU792" s="1"/>
      <c r="CV792" s="1"/>
      <c r="CW792" s="1"/>
    </row>
    <row r="793" spans="2:101" ht="15" hidden="1" customHeight="1" x14ac:dyDescent="0.25"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30"/>
      <c r="W793" s="30"/>
      <c r="X793" s="30"/>
      <c r="Y793" s="30"/>
      <c r="Z793" s="30"/>
      <c r="AA793" s="30"/>
      <c r="AB793" s="30"/>
      <c r="AC793" s="30"/>
      <c r="AD793" s="30"/>
      <c r="AE793" s="30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30"/>
      <c r="AQ793" s="30"/>
      <c r="AR793" s="30"/>
      <c r="AS793" s="30"/>
      <c r="AT793" s="30"/>
      <c r="AU793" s="30"/>
      <c r="AV793" s="30"/>
      <c r="AW793" s="30"/>
      <c r="AX793" s="30"/>
      <c r="AY793" s="30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30"/>
      <c r="BK793" s="30"/>
      <c r="BL793" s="30"/>
      <c r="BM793" s="30"/>
      <c r="BN793" s="30"/>
      <c r="BO793" s="30"/>
      <c r="BP793" s="30"/>
      <c r="BQ793" s="30"/>
      <c r="BR793" s="30"/>
      <c r="BS793" s="30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30"/>
      <c r="CE793" s="30"/>
      <c r="CF793" s="30"/>
      <c r="CG793" s="30"/>
      <c r="CH793" s="30"/>
      <c r="CI793" s="30"/>
      <c r="CJ793" s="30"/>
      <c r="CK793" s="30"/>
      <c r="CL793" s="30"/>
      <c r="CM793" s="30"/>
      <c r="CN793" s="1"/>
      <c r="CO793" s="1"/>
      <c r="CP793" s="1"/>
      <c r="CQ793" s="1"/>
      <c r="CR793" s="1"/>
      <c r="CS793" s="1"/>
      <c r="CT793" s="1"/>
      <c r="CU793" s="1"/>
      <c r="CV793" s="1"/>
      <c r="CW793" s="1"/>
    </row>
    <row r="794" spans="2:101" ht="15" hidden="1" customHeight="1" x14ac:dyDescent="0.25"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30"/>
      <c r="W794" s="30"/>
      <c r="X794" s="30"/>
      <c r="Y794" s="30"/>
      <c r="Z794" s="30"/>
      <c r="AA794" s="30"/>
      <c r="AB794" s="30"/>
      <c r="AC794" s="30"/>
      <c r="AD794" s="30"/>
      <c r="AE794" s="30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30"/>
      <c r="AQ794" s="30"/>
      <c r="AR794" s="30"/>
      <c r="AS794" s="30"/>
      <c r="AT794" s="30"/>
      <c r="AU794" s="30"/>
      <c r="AV794" s="30"/>
      <c r="AW794" s="30"/>
      <c r="AX794" s="30"/>
      <c r="AY794" s="30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30"/>
      <c r="BK794" s="30"/>
      <c r="BL794" s="30"/>
      <c r="BM794" s="30"/>
      <c r="BN794" s="30"/>
      <c r="BO794" s="30"/>
      <c r="BP794" s="30"/>
      <c r="BQ794" s="30"/>
      <c r="BR794" s="30"/>
      <c r="BS794" s="30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30"/>
      <c r="CE794" s="30"/>
      <c r="CF794" s="30"/>
      <c r="CG794" s="30"/>
      <c r="CH794" s="30"/>
      <c r="CI794" s="30"/>
      <c r="CJ794" s="30"/>
      <c r="CK794" s="30"/>
      <c r="CL794" s="30"/>
      <c r="CM794" s="30"/>
      <c r="CN794" s="1"/>
      <c r="CO794" s="1"/>
      <c r="CP794" s="1"/>
      <c r="CQ794" s="1"/>
      <c r="CR794" s="1"/>
      <c r="CS794" s="1"/>
      <c r="CT794" s="1"/>
      <c r="CU794" s="1"/>
      <c r="CV794" s="1"/>
      <c r="CW794" s="1"/>
    </row>
    <row r="795" spans="2:101" ht="15" hidden="1" customHeight="1" x14ac:dyDescent="0.25"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30"/>
      <c r="W795" s="30"/>
      <c r="X795" s="30"/>
      <c r="Y795" s="30"/>
      <c r="Z795" s="30"/>
      <c r="AA795" s="30"/>
      <c r="AB795" s="30"/>
      <c r="AC795" s="30"/>
      <c r="AD795" s="30"/>
      <c r="AE795" s="30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30"/>
      <c r="AQ795" s="30"/>
      <c r="AR795" s="30"/>
      <c r="AS795" s="30"/>
      <c r="AT795" s="30"/>
      <c r="AU795" s="30"/>
      <c r="AV795" s="30"/>
      <c r="AW795" s="30"/>
      <c r="AX795" s="30"/>
      <c r="AY795" s="30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30"/>
      <c r="BK795" s="30"/>
      <c r="BL795" s="30"/>
      <c r="BM795" s="30"/>
      <c r="BN795" s="30"/>
      <c r="BO795" s="30"/>
      <c r="BP795" s="30"/>
      <c r="BQ795" s="30"/>
      <c r="BR795" s="30"/>
      <c r="BS795" s="30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30"/>
      <c r="CE795" s="30"/>
      <c r="CF795" s="30"/>
      <c r="CG795" s="30"/>
      <c r="CH795" s="30"/>
      <c r="CI795" s="30"/>
      <c r="CJ795" s="30"/>
      <c r="CK795" s="30"/>
      <c r="CL795" s="30"/>
      <c r="CM795" s="30"/>
      <c r="CN795" s="1"/>
      <c r="CO795" s="1"/>
      <c r="CP795" s="1"/>
      <c r="CQ795" s="1"/>
      <c r="CR795" s="1"/>
      <c r="CS795" s="1"/>
      <c r="CT795" s="1"/>
      <c r="CU795" s="1"/>
      <c r="CV795" s="1"/>
      <c r="CW795" s="1"/>
    </row>
    <row r="796" spans="2:101" ht="15" hidden="1" customHeight="1" x14ac:dyDescent="0.25"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30"/>
      <c r="W796" s="30"/>
      <c r="X796" s="30"/>
      <c r="Y796" s="30"/>
      <c r="Z796" s="30"/>
      <c r="AA796" s="30"/>
      <c r="AB796" s="30"/>
      <c r="AC796" s="30"/>
      <c r="AD796" s="30"/>
      <c r="AE796" s="30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30"/>
      <c r="AQ796" s="30"/>
      <c r="AR796" s="30"/>
      <c r="AS796" s="30"/>
      <c r="AT796" s="30"/>
      <c r="AU796" s="30"/>
      <c r="AV796" s="30"/>
      <c r="AW796" s="30"/>
      <c r="AX796" s="30"/>
      <c r="AY796" s="30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30"/>
      <c r="BK796" s="30"/>
      <c r="BL796" s="30"/>
      <c r="BM796" s="30"/>
      <c r="BN796" s="30"/>
      <c r="BO796" s="30"/>
      <c r="BP796" s="30"/>
      <c r="BQ796" s="30"/>
      <c r="BR796" s="30"/>
      <c r="BS796" s="30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30"/>
      <c r="CE796" s="30"/>
      <c r="CF796" s="30"/>
      <c r="CG796" s="30"/>
      <c r="CH796" s="30"/>
      <c r="CI796" s="30"/>
      <c r="CJ796" s="30"/>
      <c r="CK796" s="30"/>
      <c r="CL796" s="30"/>
      <c r="CM796" s="30"/>
      <c r="CN796" s="1"/>
      <c r="CO796" s="1"/>
      <c r="CP796" s="1"/>
      <c r="CQ796" s="1"/>
      <c r="CR796" s="1"/>
      <c r="CS796" s="1"/>
      <c r="CT796" s="1"/>
      <c r="CU796" s="1"/>
      <c r="CV796" s="1"/>
      <c r="CW796" s="1"/>
    </row>
    <row r="797" spans="2:101" ht="15" hidden="1" customHeight="1" x14ac:dyDescent="0.25"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30"/>
      <c r="W797" s="30"/>
      <c r="X797" s="30"/>
      <c r="Y797" s="30"/>
      <c r="Z797" s="30"/>
      <c r="AA797" s="30"/>
      <c r="AB797" s="30"/>
      <c r="AC797" s="30"/>
      <c r="AD797" s="30"/>
      <c r="AE797" s="30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30"/>
      <c r="AQ797" s="30"/>
      <c r="AR797" s="30"/>
      <c r="AS797" s="30"/>
      <c r="AT797" s="30"/>
      <c r="AU797" s="30"/>
      <c r="AV797" s="30"/>
      <c r="AW797" s="30"/>
      <c r="AX797" s="30"/>
      <c r="AY797" s="30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30"/>
      <c r="BK797" s="30"/>
      <c r="BL797" s="30"/>
      <c r="BM797" s="30"/>
      <c r="BN797" s="30"/>
      <c r="BO797" s="30"/>
      <c r="BP797" s="30"/>
      <c r="BQ797" s="30"/>
      <c r="BR797" s="30"/>
      <c r="BS797" s="30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30"/>
      <c r="CE797" s="30"/>
      <c r="CF797" s="30"/>
      <c r="CG797" s="30"/>
      <c r="CH797" s="30"/>
      <c r="CI797" s="30"/>
      <c r="CJ797" s="30"/>
      <c r="CK797" s="30"/>
      <c r="CL797" s="30"/>
      <c r="CM797" s="30"/>
      <c r="CN797" s="1"/>
      <c r="CO797" s="1"/>
      <c r="CP797" s="1"/>
      <c r="CQ797" s="1"/>
      <c r="CR797" s="1"/>
      <c r="CS797" s="1"/>
      <c r="CT797" s="1"/>
      <c r="CU797" s="1"/>
      <c r="CV797" s="1"/>
      <c r="CW797" s="1"/>
    </row>
    <row r="798" spans="2:101" ht="15" hidden="1" customHeight="1" x14ac:dyDescent="0.25"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30"/>
      <c r="W798" s="30"/>
      <c r="X798" s="30"/>
      <c r="Y798" s="30"/>
      <c r="Z798" s="30"/>
      <c r="AA798" s="30"/>
      <c r="AB798" s="30"/>
      <c r="AC798" s="30"/>
      <c r="AD798" s="30"/>
      <c r="AE798" s="30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30"/>
      <c r="AQ798" s="30"/>
      <c r="AR798" s="30"/>
      <c r="AS798" s="30"/>
      <c r="AT798" s="30"/>
      <c r="AU798" s="30"/>
      <c r="AV798" s="30"/>
      <c r="AW798" s="30"/>
      <c r="AX798" s="30"/>
      <c r="AY798" s="30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30"/>
      <c r="BK798" s="30"/>
      <c r="BL798" s="30"/>
      <c r="BM798" s="30"/>
      <c r="BN798" s="30"/>
      <c r="BO798" s="30"/>
      <c r="BP798" s="30"/>
      <c r="BQ798" s="30"/>
      <c r="BR798" s="30"/>
      <c r="BS798" s="30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30"/>
      <c r="CE798" s="30"/>
      <c r="CF798" s="30"/>
      <c r="CG798" s="30"/>
      <c r="CH798" s="30"/>
      <c r="CI798" s="30"/>
      <c r="CJ798" s="30"/>
      <c r="CK798" s="30"/>
      <c r="CL798" s="30"/>
      <c r="CM798" s="30"/>
      <c r="CN798" s="1"/>
      <c r="CO798" s="1"/>
      <c r="CP798" s="1"/>
      <c r="CQ798" s="1"/>
      <c r="CR798" s="1"/>
      <c r="CS798" s="1"/>
      <c r="CT798" s="1"/>
      <c r="CU798" s="1"/>
      <c r="CV798" s="1"/>
      <c r="CW798" s="1"/>
    </row>
    <row r="799" spans="2:101" ht="15" hidden="1" customHeight="1" x14ac:dyDescent="0.25"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30"/>
      <c r="W799" s="30"/>
      <c r="X799" s="30"/>
      <c r="Y799" s="30"/>
      <c r="Z799" s="30"/>
      <c r="AA799" s="30"/>
      <c r="AB799" s="30"/>
      <c r="AC799" s="30"/>
      <c r="AD799" s="30"/>
      <c r="AE799" s="30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30"/>
      <c r="AQ799" s="30"/>
      <c r="AR799" s="30"/>
      <c r="AS799" s="30"/>
      <c r="AT799" s="30"/>
      <c r="AU799" s="30"/>
      <c r="AV799" s="30"/>
      <c r="AW799" s="30"/>
      <c r="AX799" s="30"/>
      <c r="AY799" s="30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30"/>
      <c r="BK799" s="30"/>
      <c r="BL799" s="30"/>
      <c r="BM799" s="30"/>
      <c r="BN799" s="30"/>
      <c r="BO799" s="30"/>
      <c r="BP799" s="30"/>
      <c r="BQ799" s="30"/>
      <c r="BR799" s="30"/>
      <c r="BS799" s="30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30"/>
      <c r="CE799" s="30"/>
      <c r="CF799" s="30"/>
      <c r="CG799" s="30"/>
      <c r="CH799" s="30"/>
      <c r="CI799" s="30"/>
      <c r="CJ799" s="30"/>
      <c r="CK799" s="30"/>
      <c r="CL799" s="30"/>
      <c r="CM799" s="30"/>
      <c r="CN799" s="1"/>
      <c r="CO799" s="1"/>
      <c r="CP799" s="1"/>
      <c r="CQ799" s="1"/>
      <c r="CR799" s="1"/>
      <c r="CS799" s="1"/>
      <c r="CT799" s="1"/>
      <c r="CU799" s="1"/>
      <c r="CV799" s="1"/>
      <c r="CW799" s="1"/>
    </row>
    <row r="800" spans="2:101" ht="15" hidden="1" customHeight="1" x14ac:dyDescent="0.25"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30"/>
      <c r="W800" s="30"/>
      <c r="X800" s="30"/>
      <c r="Y800" s="30"/>
      <c r="Z800" s="30"/>
      <c r="AA800" s="30"/>
      <c r="AB800" s="30"/>
      <c r="AC800" s="30"/>
      <c r="AD800" s="30"/>
      <c r="AE800" s="30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30"/>
      <c r="AQ800" s="30"/>
      <c r="AR800" s="30"/>
      <c r="AS800" s="30"/>
      <c r="AT800" s="30"/>
      <c r="AU800" s="30"/>
      <c r="AV800" s="30"/>
      <c r="AW800" s="30"/>
      <c r="AX800" s="30"/>
      <c r="AY800" s="30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30"/>
      <c r="BK800" s="30"/>
      <c r="BL800" s="30"/>
      <c r="BM800" s="30"/>
      <c r="BN800" s="30"/>
      <c r="BO800" s="30"/>
      <c r="BP800" s="30"/>
      <c r="BQ800" s="30"/>
      <c r="BR800" s="30"/>
      <c r="BS800" s="30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30"/>
      <c r="CE800" s="30"/>
      <c r="CF800" s="30"/>
      <c r="CG800" s="30"/>
      <c r="CH800" s="30"/>
      <c r="CI800" s="30"/>
      <c r="CJ800" s="30"/>
      <c r="CK800" s="30"/>
      <c r="CL800" s="30"/>
      <c r="CM800" s="30"/>
      <c r="CN800" s="1"/>
      <c r="CO800" s="1"/>
      <c r="CP800" s="1"/>
      <c r="CQ800" s="1"/>
      <c r="CR800" s="1"/>
      <c r="CS800" s="1"/>
      <c r="CT800" s="1"/>
      <c r="CU800" s="1"/>
      <c r="CV800" s="1"/>
      <c r="CW800" s="1"/>
    </row>
    <row r="801" spans="2:101" ht="15" hidden="1" customHeight="1" x14ac:dyDescent="0.25"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30"/>
      <c r="AQ801" s="30"/>
      <c r="AR801" s="30"/>
      <c r="AS801" s="30"/>
      <c r="AT801" s="30"/>
      <c r="AU801" s="30"/>
      <c r="AV801" s="30"/>
      <c r="AW801" s="30"/>
      <c r="AX801" s="30"/>
      <c r="AY801" s="30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30"/>
      <c r="BK801" s="30"/>
      <c r="BL801" s="30"/>
      <c r="BM801" s="30"/>
      <c r="BN801" s="30"/>
      <c r="BO801" s="30"/>
      <c r="BP801" s="30"/>
      <c r="BQ801" s="30"/>
      <c r="BR801" s="30"/>
      <c r="BS801" s="30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30"/>
      <c r="CE801" s="30"/>
      <c r="CF801" s="30"/>
      <c r="CG801" s="30"/>
      <c r="CH801" s="30"/>
      <c r="CI801" s="30"/>
      <c r="CJ801" s="30"/>
      <c r="CK801" s="30"/>
      <c r="CL801" s="30"/>
      <c r="CM801" s="30"/>
      <c r="CN801" s="1"/>
      <c r="CO801" s="1"/>
      <c r="CP801" s="1"/>
      <c r="CQ801" s="1"/>
      <c r="CR801" s="1"/>
      <c r="CS801" s="1"/>
      <c r="CT801" s="1"/>
      <c r="CU801" s="1"/>
      <c r="CV801" s="1"/>
      <c r="CW801" s="1"/>
    </row>
    <row r="802" spans="2:101" ht="15" hidden="1" customHeight="1" x14ac:dyDescent="0.25"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30"/>
      <c r="AQ802" s="30"/>
      <c r="AR802" s="30"/>
      <c r="AS802" s="30"/>
      <c r="AT802" s="30"/>
      <c r="AU802" s="30"/>
      <c r="AV802" s="30"/>
      <c r="AW802" s="30"/>
      <c r="AX802" s="30"/>
      <c r="AY802" s="30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30"/>
      <c r="BK802" s="30"/>
      <c r="BL802" s="30"/>
      <c r="BM802" s="30"/>
      <c r="BN802" s="30"/>
      <c r="BO802" s="30"/>
      <c r="BP802" s="30"/>
      <c r="BQ802" s="30"/>
      <c r="BR802" s="30"/>
      <c r="BS802" s="30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30"/>
      <c r="CE802" s="30"/>
      <c r="CF802" s="30"/>
      <c r="CG802" s="30"/>
      <c r="CH802" s="30"/>
      <c r="CI802" s="30"/>
      <c r="CJ802" s="30"/>
      <c r="CK802" s="30"/>
      <c r="CL802" s="30"/>
      <c r="CM802" s="30"/>
      <c r="CN802" s="1"/>
      <c r="CO802" s="1"/>
      <c r="CP802" s="1"/>
      <c r="CQ802" s="1"/>
      <c r="CR802" s="1"/>
      <c r="CS802" s="1"/>
      <c r="CT802" s="1"/>
      <c r="CU802" s="1"/>
      <c r="CV802" s="1"/>
      <c r="CW802" s="1"/>
    </row>
    <row r="803" spans="2:101" ht="15" hidden="1" customHeight="1" x14ac:dyDescent="0.25"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30"/>
      <c r="AQ803" s="30"/>
      <c r="AR803" s="30"/>
      <c r="AS803" s="30"/>
      <c r="AT803" s="30"/>
      <c r="AU803" s="30"/>
      <c r="AV803" s="30"/>
      <c r="AW803" s="30"/>
      <c r="AX803" s="30"/>
      <c r="AY803" s="30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30"/>
      <c r="BK803" s="30"/>
      <c r="BL803" s="30"/>
      <c r="BM803" s="30"/>
      <c r="BN803" s="30"/>
      <c r="BO803" s="30"/>
      <c r="BP803" s="30"/>
      <c r="BQ803" s="30"/>
      <c r="BR803" s="30"/>
      <c r="BS803" s="30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30"/>
      <c r="CE803" s="30"/>
      <c r="CF803" s="30"/>
      <c r="CG803" s="30"/>
      <c r="CH803" s="30"/>
      <c r="CI803" s="30"/>
      <c r="CJ803" s="30"/>
      <c r="CK803" s="30"/>
      <c r="CL803" s="30"/>
      <c r="CM803" s="30"/>
      <c r="CN803" s="1"/>
      <c r="CO803" s="1"/>
      <c r="CP803" s="1"/>
      <c r="CQ803" s="1"/>
      <c r="CR803" s="1"/>
      <c r="CS803" s="1"/>
      <c r="CT803" s="1"/>
      <c r="CU803" s="1"/>
      <c r="CV803" s="1"/>
      <c r="CW803" s="1"/>
    </row>
    <row r="804" spans="2:101" ht="15" hidden="1" customHeight="1" x14ac:dyDescent="0.25"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30"/>
      <c r="AQ804" s="30"/>
      <c r="AR804" s="30"/>
      <c r="AS804" s="30"/>
      <c r="AT804" s="30"/>
      <c r="AU804" s="30"/>
      <c r="AV804" s="30"/>
      <c r="AW804" s="30"/>
      <c r="AX804" s="30"/>
      <c r="AY804" s="30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30"/>
      <c r="BK804" s="30"/>
      <c r="BL804" s="30"/>
      <c r="BM804" s="30"/>
      <c r="BN804" s="30"/>
      <c r="BO804" s="30"/>
      <c r="BP804" s="30"/>
      <c r="BQ804" s="30"/>
      <c r="BR804" s="30"/>
      <c r="BS804" s="30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30"/>
      <c r="CE804" s="30"/>
      <c r="CF804" s="30"/>
      <c r="CG804" s="30"/>
      <c r="CH804" s="30"/>
      <c r="CI804" s="30"/>
      <c r="CJ804" s="30"/>
      <c r="CK804" s="30"/>
      <c r="CL804" s="30"/>
      <c r="CM804" s="30"/>
      <c r="CN804" s="1"/>
      <c r="CO804" s="1"/>
      <c r="CP804" s="1"/>
      <c r="CQ804" s="1"/>
      <c r="CR804" s="1"/>
      <c r="CS804" s="1"/>
      <c r="CT804" s="1"/>
      <c r="CU804" s="1"/>
      <c r="CV804" s="1"/>
      <c r="CW804" s="1"/>
    </row>
    <row r="805" spans="2:101" ht="15" hidden="1" customHeight="1" x14ac:dyDescent="0.25"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30"/>
      <c r="AQ805" s="30"/>
      <c r="AR805" s="30"/>
      <c r="AS805" s="30"/>
      <c r="AT805" s="30"/>
      <c r="AU805" s="30"/>
      <c r="AV805" s="30"/>
      <c r="AW805" s="30"/>
      <c r="AX805" s="30"/>
      <c r="AY805" s="30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30"/>
      <c r="BK805" s="30"/>
      <c r="BL805" s="30"/>
      <c r="BM805" s="30"/>
      <c r="BN805" s="30"/>
      <c r="BO805" s="30"/>
      <c r="BP805" s="30"/>
      <c r="BQ805" s="30"/>
      <c r="BR805" s="30"/>
      <c r="BS805" s="30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30"/>
      <c r="CE805" s="30"/>
      <c r="CF805" s="30"/>
      <c r="CG805" s="30"/>
      <c r="CH805" s="30"/>
      <c r="CI805" s="30"/>
      <c r="CJ805" s="30"/>
      <c r="CK805" s="30"/>
      <c r="CL805" s="30"/>
      <c r="CM805" s="30"/>
      <c r="CN805" s="1"/>
      <c r="CO805" s="1"/>
      <c r="CP805" s="1"/>
      <c r="CQ805" s="1"/>
      <c r="CR805" s="1"/>
      <c r="CS805" s="1"/>
      <c r="CT805" s="1"/>
      <c r="CU805" s="1"/>
      <c r="CV805" s="1"/>
      <c r="CW805" s="1"/>
    </row>
    <row r="806" spans="2:101" ht="15" hidden="1" customHeight="1" x14ac:dyDescent="0.25"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30"/>
      <c r="AQ806" s="30"/>
      <c r="AR806" s="30"/>
      <c r="AS806" s="30"/>
      <c r="AT806" s="30"/>
      <c r="AU806" s="30"/>
      <c r="AV806" s="30"/>
      <c r="AW806" s="30"/>
      <c r="AX806" s="30"/>
      <c r="AY806" s="30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30"/>
      <c r="BK806" s="30"/>
      <c r="BL806" s="30"/>
      <c r="BM806" s="30"/>
      <c r="BN806" s="30"/>
      <c r="BO806" s="30"/>
      <c r="BP806" s="30"/>
      <c r="BQ806" s="30"/>
      <c r="BR806" s="30"/>
      <c r="BS806" s="30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30"/>
      <c r="CE806" s="30"/>
      <c r="CF806" s="30"/>
      <c r="CG806" s="30"/>
      <c r="CH806" s="30"/>
      <c r="CI806" s="30"/>
      <c r="CJ806" s="30"/>
      <c r="CK806" s="30"/>
      <c r="CL806" s="30"/>
      <c r="CM806" s="30"/>
      <c r="CN806" s="1"/>
      <c r="CO806" s="1"/>
      <c r="CP806" s="1"/>
      <c r="CQ806" s="1"/>
      <c r="CR806" s="1"/>
      <c r="CS806" s="1"/>
      <c r="CT806" s="1"/>
      <c r="CU806" s="1"/>
      <c r="CV806" s="1"/>
      <c r="CW806" s="1"/>
    </row>
    <row r="807" spans="2:101" ht="15" hidden="1" customHeight="1" x14ac:dyDescent="0.25"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30"/>
      <c r="AQ807" s="30"/>
      <c r="AR807" s="30"/>
      <c r="AS807" s="30"/>
      <c r="AT807" s="30"/>
      <c r="AU807" s="30"/>
      <c r="AV807" s="30"/>
      <c r="AW807" s="30"/>
      <c r="AX807" s="30"/>
      <c r="AY807" s="30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30"/>
      <c r="BK807" s="30"/>
      <c r="BL807" s="30"/>
      <c r="BM807" s="30"/>
      <c r="BN807" s="30"/>
      <c r="BO807" s="30"/>
      <c r="BP807" s="30"/>
      <c r="BQ807" s="30"/>
      <c r="BR807" s="30"/>
      <c r="BS807" s="30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30"/>
      <c r="CE807" s="30"/>
      <c r="CF807" s="30"/>
      <c r="CG807" s="30"/>
      <c r="CH807" s="30"/>
      <c r="CI807" s="30"/>
      <c r="CJ807" s="30"/>
      <c r="CK807" s="30"/>
      <c r="CL807" s="30"/>
      <c r="CM807" s="30"/>
      <c r="CN807" s="1"/>
      <c r="CO807" s="1"/>
      <c r="CP807" s="1"/>
      <c r="CQ807" s="1"/>
      <c r="CR807" s="1"/>
      <c r="CS807" s="1"/>
      <c r="CT807" s="1"/>
      <c r="CU807" s="1"/>
      <c r="CV807" s="1"/>
      <c r="CW807" s="1"/>
    </row>
    <row r="808" spans="2:101" ht="15" hidden="1" customHeight="1" x14ac:dyDescent="0.25"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30"/>
      <c r="AQ808" s="30"/>
      <c r="AR808" s="30"/>
      <c r="AS808" s="30"/>
      <c r="AT808" s="30"/>
      <c r="AU808" s="30"/>
      <c r="AV808" s="30"/>
      <c r="AW808" s="30"/>
      <c r="AX808" s="30"/>
      <c r="AY808" s="30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30"/>
      <c r="BK808" s="30"/>
      <c r="BL808" s="30"/>
      <c r="BM808" s="30"/>
      <c r="BN808" s="30"/>
      <c r="BO808" s="30"/>
      <c r="BP808" s="30"/>
      <c r="BQ808" s="30"/>
      <c r="BR808" s="30"/>
      <c r="BS808" s="30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30"/>
      <c r="CE808" s="30"/>
      <c r="CF808" s="30"/>
      <c r="CG808" s="30"/>
      <c r="CH808" s="30"/>
      <c r="CI808" s="30"/>
      <c r="CJ808" s="30"/>
      <c r="CK808" s="30"/>
      <c r="CL808" s="30"/>
      <c r="CM808" s="30"/>
      <c r="CN808" s="1"/>
      <c r="CO808" s="1"/>
      <c r="CP808" s="1"/>
      <c r="CQ808" s="1"/>
      <c r="CR808" s="1"/>
      <c r="CS808" s="1"/>
      <c r="CT808" s="1"/>
      <c r="CU808" s="1"/>
      <c r="CV808" s="1"/>
      <c r="CW808" s="1"/>
    </row>
    <row r="809" spans="2:101" ht="15" hidden="1" customHeight="1" x14ac:dyDescent="0.25"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30"/>
      <c r="AQ809" s="30"/>
      <c r="AR809" s="30"/>
      <c r="AS809" s="30"/>
      <c r="AT809" s="30"/>
      <c r="AU809" s="30"/>
      <c r="AV809" s="30"/>
      <c r="AW809" s="30"/>
      <c r="AX809" s="30"/>
      <c r="AY809" s="30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30"/>
      <c r="BK809" s="30"/>
      <c r="BL809" s="30"/>
      <c r="BM809" s="30"/>
      <c r="BN809" s="30"/>
      <c r="BO809" s="30"/>
      <c r="BP809" s="30"/>
      <c r="BQ809" s="30"/>
      <c r="BR809" s="30"/>
      <c r="BS809" s="30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30"/>
      <c r="CE809" s="30"/>
      <c r="CF809" s="30"/>
      <c r="CG809" s="30"/>
      <c r="CH809" s="30"/>
      <c r="CI809" s="30"/>
      <c r="CJ809" s="30"/>
      <c r="CK809" s="30"/>
      <c r="CL809" s="30"/>
      <c r="CM809" s="30"/>
      <c r="CN809" s="1"/>
      <c r="CO809" s="1"/>
      <c r="CP809" s="1"/>
      <c r="CQ809" s="1"/>
      <c r="CR809" s="1"/>
      <c r="CS809" s="1"/>
      <c r="CT809" s="1"/>
      <c r="CU809" s="1"/>
      <c r="CV809" s="1"/>
      <c r="CW809" s="1"/>
    </row>
    <row r="810" spans="2:101" ht="15" hidden="1" customHeight="1" x14ac:dyDescent="0.25"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30"/>
      <c r="AQ810" s="30"/>
      <c r="AR810" s="30"/>
      <c r="AS810" s="30"/>
      <c r="AT810" s="30"/>
      <c r="AU810" s="30"/>
      <c r="AV810" s="30"/>
      <c r="AW810" s="30"/>
      <c r="AX810" s="30"/>
      <c r="AY810" s="30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30"/>
      <c r="BK810" s="30"/>
      <c r="BL810" s="30"/>
      <c r="BM810" s="30"/>
      <c r="BN810" s="30"/>
      <c r="BO810" s="30"/>
      <c r="BP810" s="30"/>
      <c r="BQ810" s="30"/>
      <c r="BR810" s="30"/>
      <c r="BS810" s="30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30"/>
      <c r="CE810" s="30"/>
      <c r="CF810" s="30"/>
      <c r="CG810" s="30"/>
      <c r="CH810" s="30"/>
      <c r="CI810" s="30"/>
      <c r="CJ810" s="30"/>
      <c r="CK810" s="30"/>
      <c r="CL810" s="30"/>
      <c r="CM810" s="30"/>
      <c r="CN810" s="1"/>
      <c r="CO810" s="1"/>
      <c r="CP810" s="1"/>
      <c r="CQ810" s="1"/>
      <c r="CR810" s="1"/>
      <c r="CS810" s="1"/>
      <c r="CT810" s="1"/>
      <c r="CU810" s="1"/>
      <c r="CV810" s="1"/>
      <c r="CW810" s="1"/>
    </row>
    <row r="811" spans="2:101" ht="15" hidden="1" customHeight="1" x14ac:dyDescent="0.25"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30"/>
      <c r="AQ811" s="30"/>
      <c r="AR811" s="30"/>
      <c r="AS811" s="30"/>
      <c r="AT811" s="30"/>
      <c r="AU811" s="30"/>
      <c r="AV811" s="30"/>
      <c r="AW811" s="30"/>
      <c r="AX811" s="30"/>
      <c r="AY811" s="30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30"/>
      <c r="BK811" s="30"/>
      <c r="BL811" s="30"/>
      <c r="BM811" s="30"/>
      <c r="BN811" s="30"/>
      <c r="BO811" s="30"/>
      <c r="BP811" s="30"/>
      <c r="BQ811" s="30"/>
      <c r="BR811" s="30"/>
      <c r="BS811" s="30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30"/>
      <c r="CE811" s="30"/>
      <c r="CF811" s="30"/>
      <c r="CG811" s="30"/>
      <c r="CH811" s="30"/>
      <c r="CI811" s="30"/>
      <c r="CJ811" s="30"/>
      <c r="CK811" s="30"/>
      <c r="CL811" s="30"/>
      <c r="CM811" s="30"/>
      <c r="CN811" s="1"/>
      <c r="CO811" s="1"/>
      <c r="CP811" s="1"/>
      <c r="CQ811" s="1"/>
      <c r="CR811" s="1"/>
      <c r="CS811" s="1"/>
      <c r="CT811" s="1"/>
      <c r="CU811" s="1"/>
      <c r="CV811" s="1"/>
      <c r="CW811" s="1"/>
    </row>
    <row r="812" spans="2:101" ht="15" hidden="1" customHeight="1" x14ac:dyDescent="0.25"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30"/>
      <c r="AQ812" s="30"/>
      <c r="AR812" s="30"/>
      <c r="AS812" s="30"/>
      <c r="AT812" s="30"/>
      <c r="AU812" s="30"/>
      <c r="AV812" s="30"/>
      <c r="AW812" s="30"/>
      <c r="AX812" s="30"/>
      <c r="AY812" s="30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30"/>
      <c r="BK812" s="30"/>
      <c r="BL812" s="30"/>
      <c r="BM812" s="30"/>
      <c r="BN812" s="30"/>
      <c r="BO812" s="30"/>
      <c r="BP812" s="30"/>
      <c r="BQ812" s="30"/>
      <c r="BR812" s="30"/>
      <c r="BS812" s="30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30"/>
      <c r="CE812" s="30"/>
      <c r="CF812" s="30"/>
      <c r="CG812" s="30"/>
      <c r="CH812" s="30"/>
      <c r="CI812" s="30"/>
      <c r="CJ812" s="30"/>
      <c r="CK812" s="30"/>
      <c r="CL812" s="30"/>
      <c r="CM812" s="30"/>
      <c r="CN812" s="1"/>
      <c r="CO812" s="1"/>
      <c r="CP812" s="1"/>
      <c r="CQ812" s="1"/>
      <c r="CR812" s="1"/>
      <c r="CS812" s="1"/>
      <c r="CT812" s="1"/>
      <c r="CU812" s="1"/>
      <c r="CV812" s="1"/>
      <c r="CW812" s="1"/>
    </row>
    <row r="813" spans="2:101" ht="15" hidden="1" customHeight="1" x14ac:dyDescent="0.25"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30"/>
      <c r="BK813" s="30"/>
      <c r="BL813" s="30"/>
      <c r="BM813" s="30"/>
      <c r="BN813" s="30"/>
      <c r="BO813" s="30"/>
      <c r="BP813" s="30"/>
      <c r="BQ813" s="30"/>
      <c r="BR813" s="30"/>
      <c r="BS813" s="30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30"/>
      <c r="CE813" s="30"/>
      <c r="CF813" s="30"/>
      <c r="CG813" s="30"/>
      <c r="CH813" s="30"/>
      <c r="CI813" s="30"/>
      <c r="CJ813" s="30"/>
      <c r="CK813" s="30"/>
      <c r="CL813" s="30"/>
      <c r="CM813" s="30"/>
      <c r="CN813" s="1"/>
      <c r="CO813" s="1"/>
      <c r="CP813" s="1"/>
      <c r="CQ813" s="1"/>
      <c r="CR813" s="1"/>
      <c r="CS813" s="1"/>
      <c r="CT813" s="1"/>
      <c r="CU813" s="1"/>
      <c r="CV813" s="1"/>
      <c r="CW813" s="1"/>
    </row>
    <row r="814" spans="2:101" ht="15" hidden="1" customHeight="1" x14ac:dyDescent="0.25"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30"/>
      <c r="AQ814" s="30"/>
      <c r="AR814" s="30"/>
      <c r="AS814" s="30"/>
      <c r="AT814" s="30"/>
      <c r="AU814" s="30"/>
      <c r="AV814" s="30"/>
      <c r="AW814" s="30"/>
      <c r="AX814" s="30"/>
      <c r="AY814" s="30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30"/>
      <c r="BK814" s="30"/>
      <c r="BL814" s="30"/>
      <c r="BM814" s="30"/>
      <c r="BN814" s="30"/>
      <c r="BO814" s="30"/>
      <c r="BP814" s="30"/>
      <c r="BQ814" s="30"/>
      <c r="BR814" s="30"/>
      <c r="BS814" s="30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30"/>
      <c r="CE814" s="30"/>
      <c r="CF814" s="30"/>
      <c r="CG814" s="30"/>
      <c r="CH814" s="30"/>
      <c r="CI814" s="30"/>
      <c r="CJ814" s="30"/>
      <c r="CK814" s="30"/>
      <c r="CL814" s="30"/>
      <c r="CM814" s="30"/>
      <c r="CN814" s="1"/>
      <c r="CO814" s="1"/>
      <c r="CP814" s="1"/>
      <c r="CQ814" s="1"/>
      <c r="CR814" s="1"/>
      <c r="CS814" s="1"/>
      <c r="CT814" s="1"/>
      <c r="CU814" s="1"/>
      <c r="CV814" s="1"/>
      <c r="CW814" s="1"/>
    </row>
    <row r="815" spans="2:101" ht="15" hidden="1" customHeight="1" x14ac:dyDescent="0.25"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30"/>
      <c r="AQ815" s="30"/>
      <c r="AR815" s="30"/>
      <c r="AS815" s="30"/>
      <c r="AT815" s="30"/>
      <c r="AU815" s="30"/>
      <c r="AV815" s="30"/>
      <c r="AW815" s="30"/>
      <c r="AX815" s="30"/>
      <c r="AY815" s="30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30"/>
      <c r="BK815" s="30"/>
      <c r="BL815" s="30"/>
      <c r="BM815" s="30"/>
      <c r="BN815" s="30"/>
      <c r="BO815" s="30"/>
      <c r="BP815" s="30"/>
      <c r="BQ815" s="30"/>
      <c r="BR815" s="30"/>
      <c r="BS815" s="30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30"/>
      <c r="CE815" s="30"/>
      <c r="CF815" s="30"/>
      <c r="CG815" s="30"/>
      <c r="CH815" s="30"/>
      <c r="CI815" s="30"/>
      <c r="CJ815" s="30"/>
      <c r="CK815" s="30"/>
      <c r="CL815" s="30"/>
      <c r="CM815" s="30"/>
      <c r="CN815" s="1"/>
      <c r="CO815" s="1"/>
      <c r="CP815" s="1"/>
      <c r="CQ815" s="1"/>
      <c r="CR815" s="1"/>
      <c r="CS815" s="1"/>
      <c r="CT815" s="1"/>
      <c r="CU815" s="1"/>
      <c r="CV815" s="1"/>
      <c r="CW815" s="1"/>
    </row>
    <row r="816" spans="2:101" ht="15" hidden="1" customHeight="1" x14ac:dyDescent="0.25"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30"/>
      <c r="AQ816" s="30"/>
      <c r="AR816" s="30"/>
      <c r="AS816" s="30"/>
      <c r="AT816" s="30"/>
      <c r="AU816" s="30"/>
      <c r="AV816" s="30"/>
      <c r="AW816" s="30"/>
      <c r="AX816" s="30"/>
      <c r="AY816" s="30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30"/>
      <c r="BK816" s="30"/>
      <c r="BL816" s="30"/>
      <c r="BM816" s="30"/>
      <c r="BN816" s="30"/>
      <c r="BO816" s="30"/>
      <c r="BP816" s="30"/>
      <c r="BQ816" s="30"/>
      <c r="BR816" s="30"/>
      <c r="BS816" s="30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30"/>
      <c r="CE816" s="30"/>
      <c r="CF816" s="30"/>
      <c r="CG816" s="30"/>
      <c r="CH816" s="30"/>
      <c r="CI816" s="30"/>
      <c r="CJ816" s="30"/>
      <c r="CK816" s="30"/>
      <c r="CL816" s="30"/>
      <c r="CM816" s="30"/>
      <c r="CN816" s="1"/>
      <c r="CO816" s="1"/>
      <c r="CP816" s="1"/>
      <c r="CQ816" s="1"/>
      <c r="CR816" s="1"/>
      <c r="CS816" s="1"/>
      <c r="CT816" s="1"/>
      <c r="CU816" s="1"/>
      <c r="CV816" s="1"/>
      <c r="CW816" s="1"/>
    </row>
    <row r="817" spans="2:101" ht="15" hidden="1" customHeight="1" x14ac:dyDescent="0.25"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30"/>
      <c r="AQ817" s="30"/>
      <c r="AR817" s="30"/>
      <c r="AS817" s="30"/>
      <c r="AT817" s="30"/>
      <c r="AU817" s="30"/>
      <c r="AV817" s="30"/>
      <c r="AW817" s="30"/>
      <c r="AX817" s="30"/>
      <c r="AY817" s="30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30"/>
      <c r="BK817" s="30"/>
      <c r="BL817" s="30"/>
      <c r="BM817" s="30"/>
      <c r="BN817" s="30"/>
      <c r="BO817" s="30"/>
      <c r="BP817" s="30"/>
      <c r="BQ817" s="30"/>
      <c r="BR817" s="30"/>
      <c r="BS817" s="30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30"/>
      <c r="CE817" s="30"/>
      <c r="CF817" s="30"/>
      <c r="CG817" s="30"/>
      <c r="CH817" s="30"/>
      <c r="CI817" s="30"/>
      <c r="CJ817" s="30"/>
      <c r="CK817" s="30"/>
      <c r="CL817" s="30"/>
      <c r="CM817" s="30"/>
      <c r="CN817" s="1"/>
      <c r="CO817" s="1"/>
      <c r="CP817" s="1"/>
      <c r="CQ817" s="1"/>
      <c r="CR817" s="1"/>
      <c r="CS817" s="1"/>
      <c r="CT817" s="1"/>
      <c r="CU817" s="1"/>
      <c r="CV817" s="1"/>
      <c r="CW817" s="1"/>
    </row>
    <row r="818" spans="2:101" ht="15" hidden="1" customHeight="1" x14ac:dyDescent="0.25"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30"/>
      <c r="AQ818" s="30"/>
      <c r="AR818" s="30"/>
      <c r="AS818" s="30"/>
      <c r="AT818" s="30"/>
      <c r="AU818" s="30"/>
      <c r="AV818" s="30"/>
      <c r="AW818" s="30"/>
      <c r="AX818" s="30"/>
      <c r="AY818" s="30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30"/>
      <c r="BK818" s="30"/>
      <c r="BL818" s="30"/>
      <c r="BM818" s="30"/>
      <c r="BN818" s="30"/>
      <c r="BO818" s="30"/>
      <c r="BP818" s="30"/>
      <c r="BQ818" s="30"/>
      <c r="BR818" s="30"/>
      <c r="BS818" s="30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30"/>
      <c r="CE818" s="30"/>
      <c r="CF818" s="30"/>
      <c r="CG818" s="30"/>
      <c r="CH818" s="30"/>
      <c r="CI818" s="30"/>
      <c r="CJ818" s="30"/>
      <c r="CK818" s="30"/>
      <c r="CL818" s="30"/>
      <c r="CM818" s="30"/>
      <c r="CN818" s="1"/>
      <c r="CO818" s="1"/>
      <c r="CP818" s="1"/>
      <c r="CQ818" s="1"/>
      <c r="CR818" s="1"/>
      <c r="CS818" s="1"/>
      <c r="CT818" s="1"/>
      <c r="CU818" s="1"/>
      <c r="CV818" s="1"/>
      <c r="CW818" s="1"/>
    </row>
    <row r="819" spans="2:101" ht="15" hidden="1" customHeight="1" x14ac:dyDescent="0.25"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30"/>
      <c r="AQ819" s="30"/>
      <c r="AR819" s="30"/>
      <c r="AS819" s="30"/>
      <c r="AT819" s="30"/>
      <c r="AU819" s="30"/>
      <c r="AV819" s="30"/>
      <c r="AW819" s="30"/>
      <c r="AX819" s="30"/>
      <c r="AY819" s="30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30"/>
      <c r="BK819" s="30"/>
      <c r="BL819" s="30"/>
      <c r="BM819" s="30"/>
      <c r="BN819" s="30"/>
      <c r="BO819" s="30"/>
      <c r="BP819" s="30"/>
      <c r="BQ819" s="30"/>
      <c r="BR819" s="30"/>
      <c r="BS819" s="30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30"/>
      <c r="CE819" s="30"/>
      <c r="CF819" s="30"/>
      <c r="CG819" s="30"/>
      <c r="CH819" s="30"/>
      <c r="CI819" s="30"/>
      <c r="CJ819" s="30"/>
      <c r="CK819" s="30"/>
      <c r="CL819" s="30"/>
      <c r="CM819" s="30"/>
      <c r="CN819" s="1"/>
      <c r="CO819" s="1"/>
      <c r="CP819" s="1"/>
      <c r="CQ819" s="1"/>
      <c r="CR819" s="1"/>
      <c r="CS819" s="1"/>
      <c r="CT819" s="1"/>
      <c r="CU819" s="1"/>
      <c r="CV819" s="1"/>
      <c r="CW819" s="1"/>
    </row>
    <row r="820" spans="2:101" ht="15" hidden="1" customHeight="1" x14ac:dyDescent="0.25"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30"/>
      <c r="AQ820" s="30"/>
      <c r="AR820" s="30"/>
      <c r="AS820" s="30"/>
      <c r="AT820" s="30"/>
      <c r="AU820" s="30"/>
      <c r="AV820" s="30"/>
      <c r="AW820" s="30"/>
      <c r="AX820" s="30"/>
      <c r="AY820" s="30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30"/>
      <c r="BK820" s="30"/>
      <c r="BL820" s="30"/>
      <c r="BM820" s="30"/>
      <c r="BN820" s="30"/>
      <c r="BO820" s="30"/>
      <c r="BP820" s="30"/>
      <c r="BQ820" s="30"/>
      <c r="BR820" s="30"/>
      <c r="BS820" s="30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30"/>
      <c r="CE820" s="30"/>
      <c r="CF820" s="30"/>
      <c r="CG820" s="30"/>
      <c r="CH820" s="30"/>
      <c r="CI820" s="30"/>
      <c r="CJ820" s="30"/>
      <c r="CK820" s="30"/>
      <c r="CL820" s="30"/>
      <c r="CM820" s="30"/>
      <c r="CN820" s="1"/>
      <c r="CO820" s="1"/>
      <c r="CP820" s="1"/>
      <c r="CQ820" s="1"/>
      <c r="CR820" s="1"/>
      <c r="CS820" s="1"/>
      <c r="CT820" s="1"/>
      <c r="CU820" s="1"/>
      <c r="CV820" s="1"/>
      <c r="CW820" s="1"/>
    </row>
    <row r="821" spans="2:101" ht="15" hidden="1" customHeight="1" x14ac:dyDescent="0.25"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30"/>
      <c r="AQ821" s="30"/>
      <c r="AR821" s="30"/>
      <c r="AS821" s="30"/>
      <c r="AT821" s="30"/>
      <c r="AU821" s="30"/>
      <c r="AV821" s="30"/>
      <c r="AW821" s="30"/>
      <c r="AX821" s="30"/>
      <c r="AY821" s="30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30"/>
      <c r="BK821" s="30"/>
      <c r="BL821" s="30"/>
      <c r="BM821" s="30"/>
      <c r="BN821" s="30"/>
      <c r="BO821" s="30"/>
      <c r="BP821" s="30"/>
      <c r="BQ821" s="30"/>
      <c r="BR821" s="30"/>
      <c r="BS821" s="30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30"/>
      <c r="CE821" s="30"/>
      <c r="CF821" s="30"/>
      <c r="CG821" s="30"/>
      <c r="CH821" s="30"/>
      <c r="CI821" s="30"/>
      <c r="CJ821" s="30"/>
      <c r="CK821" s="30"/>
      <c r="CL821" s="30"/>
      <c r="CM821" s="30"/>
      <c r="CN821" s="1"/>
      <c r="CO821" s="1"/>
      <c r="CP821" s="1"/>
      <c r="CQ821" s="1"/>
      <c r="CR821" s="1"/>
      <c r="CS821" s="1"/>
      <c r="CT821" s="1"/>
      <c r="CU821" s="1"/>
      <c r="CV821" s="1"/>
      <c r="CW821" s="1"/>
    </row>
    <row r="822" spans="2:101" ht="15" hidden="1" customHeight="1" x14ac:dyDescent="0.25"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30"/>
      <c r="AQ822" s="30"/>
      <c r="AR822" s="30"/>
      <c r="AS822" s="30"/>
      <c r="AT822" s="30"/>
      <c r="AU822" s="30"/>
      <c r="AV822" s="30"/>
      <c r="AW822" s="30"/>
      <c r="AX822" s="30"/>
      <c r="AY822" s="30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30"/>
      <c r="BK822" s="30"/>
      <c r="BL822" s="30"/>
      <c r="BM822" s="30"/>
      <c r="BN822" s="30"/>
      <c r="BO822" s="30"/>
      <c r="BP822" s="30"/>
      <c r="BQ822" s="30"/>
      <c r="BR822" s="30"/>
      <c r="BS822" s="30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30"/>
      <c r="CE822" s="30"/>
      <c r="CF822" s="30"/>
      <c r="CG822" s="30"/>
      <c r="CH822" s="30"/>
      <c r="CI822" s="30"/>
      <c r="CJ822" s="30"/>
      <c r="CK822" s="30"/>
      <c r="CL822" s="30"/>
      <c r="CM822" s="30"/>
      <c r="CN822" s="1"/>
      <c r="CO822" s="1"/>
      <c r="CP822" s="1"/>
      <c r="CQ822" s="1"/>
      <c r="CR822" s="1"/>
      <c r="CS822" s="1"/>
      <c r="CT822" s="1"/>
      <c r="CU822" s="1"/>
      <c r="CV822" s="1"/>
      <c r="CW822" s="1"/>
    </row>
    <row r="823" spans="2:101" ht="15" hidden="1" customHeight="1" x14ac:dyDescent="0.25"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30"/>
      <c r="AQ823" s="30"/>
      <c r="AR823" s="30"/>
      <c r="AS823" s="30"/>
      <c r="AT823" s="30"/>
      <c r="AU823" s="30"/>
      <c r="AV823" s="30"/>
      <c r="AW823" s="30"/>
      <c r="AX823" s="30"/>
      <c r="AY823" s="30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30"/>
      <c r="BK823" s="30"/>
      <c r="BL823" s="30"/>
      <c r="BM823" s="30"/>
      <c r="BN823" s="30"/>
      <c r="BO823" s="30"/>
      <c r="BP823" s="30"/>
      <c r="BQ823" s="30"/>
      <c r="BR823" s="30"/>
      <c r="BS823" s="30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30"/>
      <c r="CE823" s="30"/>
      <c r="CF823" s="30"/>
      <c r="CG823" s="30"/>
      <c r="CH823" s="30"/>
      <c r="CI823" s="30"/>
      <c r="CJ823" s="30"/>
      <c r="CK823" s="30"/>
      <c r="CL823" s="30"/>
      <c r="CM823" s="30"/>
      <c r="CN823" s="1"/>
      <c r="CO823" s="1"/>
      <c r="CP823" s="1"/>
      <c r="CQ823" s="1"/>
      <c r="CR823" s="1"/>
      <c r="CS823" s="1"/>
      <c r="CT823" s="1"/>
      <c r="CU823" s="1"/>
      <c r="CV823" s="1"/>
      <c r="CW823" s="1"/>
    </row>
    <row r="824" spans="2:101" ht="15" hidden="1" customHeight="1" x14ac:dyDescent="0.25"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30"/>
      <c r="AQ824" s="30"/>
      <c r="AR824" s="30"/>
      <c r="AS824" s="30"/>
      <c r="AT824" s="30"/>
      <c r="AU824" s="30"/>
      <c r="AV824" s="30"/>
      <c r="AW824" s="30"/>
      <c r="AX824" s="30"/>
      <c r="AY824" s="30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30"/>
      <c r="BK824" s="30"/>
      <c r="BL824" s="30"/>
      <c r="BM824" s="30"/>
      <c r="BN824" s="30"/>
      <c r="BO824" s="30"/>
      <c r="BP824" s="30"/>
      <c r="BQ824" s="30"/>
      <c r="BR824" s="30"/>
      <c r="BS824" s="30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30"/>
      <c r="CE824" s="30"/>
      <c r="CF824" s="30"/>
      <c r="CG824" s="30"/>
      <c r="CH824" s="30"/>
      <c r="CI824" s="30"/>
      <c r="CJ824" s="30"/>
      <c r="CK824" s="30"/>
      <c r="CL824" s="30"/>
      <c r="CM824" s="30"/>
      <c r="CN824" s="1"/>
      <c r="CO824" s="1"/>
      <c r="CP824" s="1"/>
      <c r="CQ824" s="1"/>
      <c r="CR824" s="1"/>
      <c r="CS824" s="1"/>
      <c r="CT824" s="1"/>
      <c r="CU824" s="1"/>
      <c r="CV824" s="1"/>
      <c r="CW824" s="1"/>
    </row>
    <row r="825" spans="2:101" ht="15" hidden="1" customHeight="1" x14ac:dyDescent="0.25"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30"/>
      <c r="AQ825" s="30"/>
      <c r="AR825" s="30"/>
      <c r="AS825" s="30"/>
      <c r="AT825" s="30"/>
      <c r="AU825" s="30"/>
      <c r="AV825" s="30"/>
      <c r="AW825" s="30"/>
      <c r="AX825" s="30"/>
      <c r="AY825" s="30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30"/>
      <c r="BK825" s="30"/>
      <c r="BL825" s="30"/>
      <c r="BM825" s="30"/>
      <c r="BN825" s="30"/>
      <c r="BO825" s="30"/>
      <c r="BP825" s="30"/>
      <c r="BQ825" s="30"/>
      <c r="BR825" s="30"/>
      <c r="BS825" s="30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30"/>
      <c r="CE825" s="30"/>
      <c r="CF825" s="30"/>
      <c r="CG825" s="30"/>
      <c r="CH825" s="30"/>
      <c r="CI825" s="30"/>
      <c r="CJ825" s="30"/>
      <c r="CK825" s="30"/>
      <c r="CL825" s="30"/>
      <c r="CM825" s="30"/>
      <c r="CN825" s="1"/>
      <c r="CO825" s="1"/>
      <c r="CP825" s="1"/>
      <c r="CQ825" s="1"/>
      <c r="CR825" s="1"/>
      <c r="CS825" s="1"/>
      <c r="CT825" s="1"/>
      <c r="CU825" s="1"/>
      <c r="CV825" s="1"/>
      <c r="CW825" s="1"/>
    </row>
    <row r="826" spans="2:101" ht="15" hidden="1" customHeight="1" x14ac:dyDescent="0.25"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30"/>
      <c r="AQ826" s="30"/>
      <c r="AR826" s="30"/>
      <c r="AS826" s="30"/>
      <c r="AT826" s="30"/>
      <c r="AU826" s="30"/>
      <c r="AV826" s="30"/>
      <c r="AW826" s="30"/>
      <c r="AX826" s="30"/>
      <c r="AY826" s="30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30"/>
      <c r="BK826" s="30"/>
      <c r="BL826" s="30"/>
      <c r="BM826" s="30"/>
      <c r="BN826" s="30"/>
      <c r="BO826" s="30"/>
      <c r="BP826" s="30"/>
      <c r="BQ826" s="30"/>
      <c r="BR826" s="30"/>
      <c r="BS826" s="30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30"/>
      <c r="CE826" s="30"/>
      <c r="CF826" s="30"/>
      <c r="CG826" s="30"/>
      <c r="CH826" s="30"/>
      <c r="CI826" s="30"/>
      <c r="CJ826" s="30"/>
      <c r="CK826" s="30"/>
      <c r="CL826" s="30"/>
      <c r="CM826" s="30"/>
      <c r="CN826" s="1"/>
      <c r="CO826" s="1"/>
      <c r="CP826" s="1"/>
      <c r="CQ826" s="1"/>
      <c r="CR826" s="1"/>
      <c r="CS826" s="1"/>
      <c r="CT826" s="1"/>
      <c r="CU826" s="1"/>
      <c r="CV826" s="1"/>
      <c r="CW826" s="1"/>
    </row>
    <row r="827" spans="2:101" ht="15" hidden="1" customHeight="1" x14ac:dyDescent="0.25"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30"/>
      <c r="AQ827" s="30"/>
      <c r="AR827" s="30"/>
      <c r="AS827" s="30"/>
      <c r="AT827" s="30"/>
      <c r="AU827" s="30"/>
      <c r="AV827" s="30"/>
      <c r="AW827" s="30"/>
      <c r="AX827" s="30"/>
      <c r="AY827" s="30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30"/>
      <c r="BK827" s="30"/>
      <c r="BL827" s="30"/>
      <c r="BM827" s="30"/>
      <c r="BN827" s="30"/>
      <c r="BO827" s="30"/>
      <c r="BP827" s="30"/>
      <c r="BQ827" s="30"/>
      <c r="BR827" s="30"/>
      <c r="BS827" s="30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30"/>
      <c r="CE827" s="30"/>
      <c r="CF827" s="30"/>
      <c r="CG827" s="30"/>
      <c r="CH827" s="30"/>
      <c r="CI827" s="30"/>
      <c r="CJ827" s="30"/>
      <c r="CK827" s="30"/>
      <c r="CL827" s="30"/>
      <c r="CM827" s="30"/>
      <c r="CN827" s="1"/>
      <c r="CO827" s="1"/>
      <c r="CP827" s="1"/>
      <c r="CQ827" s="1"/>
      <c r="CR827" s="1"/>
      <c r="CS827" s="1"/>
      <c r="CT827" s="1"/>
      <c r="CU827" s="1"/>
      <c r="CV827" s="1"/>
      <c r="CW827" s="1"/>
    </row>
    <row r="828" spans="2:101" ht="15" hidden="1" customHeight="1" x14ac:dyDescent="0.25"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30"/>
      <c r="AQ828" s="30"/>
      <c r="AR828" s="30"/>
      <c r="AS828" s="30"/>
      <c r="AT828" s="30"/>
      <c r="AU828" s="30"/>
      <c r="AV828" s="30"/>
      <c r="AW828" s="30"/>
      <c r="AX828" s="30"/>
      <c r="AY828" s="30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30"/>
      <c r="BK828" s="30"/>
      <c r="BL828" s="30"/>
      <c r="BM828" s="30"/>
      <c r="BN828" s="30"/>
      <c r="BO828" s="30"/>
      <c r="BP828" s="30"/>
      <c r="BQ828" s="30"/>
      <c r="BR828" s="30"/>
      <c r="BS828" s="30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30"/>
      <c r="CE828" s="30"/>
      <c r="CF828" s="30"/>
      <c r="CG828" s="30"/>
      <c r="CH828" s="30"/>
      <c r="CI828" s="30"/>
      <c r="CJ828" s="30"/>
      <c r="CK828" s="30"/>
      <c r="CL828" s="30"/>
      <c r="CM828" s="30"/>
      <c r="CN828" s="1"/>
      <c r="CO828" s="1"/>
      <c r="CP828" s="1"/>
      <c r="CQ828" s="1"/>
      <c r="CR828" s="1"/>
      <c r="CS828" s="1"/>
      <c r="CT828" s="1"/>
      <c r="CU828" s="1"/>
      <c r="CV828" s="1"/>
      <c r="CW828" s="1"/>
    </row>
    <row r="829" spans="2:101" ht="15" hidden="1" customHeight="1" x14ac:dyDescent="0.25"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30"/>
      <c r="AQ829" s="30"/>
      <c r="AR829" s="30"/>
      <c r="AS829" s="30"/>
      <c r="AT829" s="30"/>
      <c r="AU829" s="30"/>
      <c r="AV829" s="30"/>
      <c r="AW829" s="30"/>
      <c r="AX829" s="30"/>
      <c r="AY829" s="30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30"/>
      <c r="BK829" s="30"/>
      <c r="BL829" s="30"/>
      <c r="BM829" s="30"/>
      <c r="BN829" s="30"/>
      <c r="BO829" s="30"/>
      <c r="BP829" s="30"/>
      <c r="BQ829" s="30"/>
      <c r="BR829" s="30"/>
      <c r="BS829" s="30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30"/>
      <c r="CE829" s="30"/>
      <c r="CF829" s="30"/>
      <c r="CG829" s="30"/>
      <c r="CH829" s="30"/>
      <c r="CI829" s="30"/>
      <c r="CJ829" s="30"/>
      <c r="CK829" s="30"/>
      <c r="CL829" s="30"/>
      <c r="CM829" s="30"/>
      <c r="CN829" s="1"/>
      <c r="CO829" s="1"/>
      <c r="CP829" s="1"/>
      <c r="CQ829" s="1"/>
      <c r="CR829" s="1"/>
      <c r="CS829" s="1"/>
      <c r="CT829" s="1"/>
      <c r="CU829" s="1"/>
      <c r="CV829" s="1"/>
      <c r="CW829" s="1"/>
    </row>
    <row r="830" spans="2:101" ht="15" hidden="1" customHeight="1" x14ac:dyDescent="0.25"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30"/>
      <c r="AQ830" s="30"/>
      <c r="AR830" s="30"/>
      <c r="AS830" s="30"/>
      <c r="AT830" s="30"/>
      <c r="AU830" s="30"/>
      <c r="AV830" s="30"/>
      <c r="AW830" s="30"/>
      <c r="AX830" s="30"/>
      <c r="AY830" s="30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30"/>
      <c r="BK830" s="30"/>
      <c r="BL830" s="30"/>
      <c r="BM830" s="30"/>
      <c r="BN830" s="30"/>
      <c r="BO830" s="30"/>
      <c r="BP830" s="30"/>
      <c r="BQ830" s="30"/>
      <c r="BR830" s="30"/>
      <c r="BS830" s="30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30"/>
      <c r="CE830" s="30"/>
      <c r="CF830" s="30"/>
      <c r="CG830" s="30"/>
      <c r="CH830" s="30"/>
      <c r="CI830" s="30"/>
      <c r="CJ830" s="30"/>
      <c r="CK830" s="30"/>
      <c r="CL830" s="30"/>
      <c r="CM830" s="30"/>
      <c r="CN830" s="1"/>
      <c r="CO830" s="1"/>
      <c r="CP830" s="1"/>
      <c r="CQ830" s="1"/>
      <c r="CR830" s="1"/>
      <c r="CS830" s="1"/>
      <c r="CT830" s="1"/>
      <c r="CU830" s="1"/>
      <c r="CV830" s="1"/>
      <c r="CW830" s="1"/>
    </row>
    <row r="831" spans="2:101" ht="15" hidden="1" customHeight="1" x14ac:dyDescent="0.25"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30"/>
      <c r="AQ831" s="30"/>
      <c r="AR831" s="30"/>
      <c r="AS831" s="30"/>
      <c r="AT831" s="30"/>
      <c r="AU831" s="30"/>
      <c r="AV831" s="30"/>
      <c r="AW831" s="30"/>
      <c r="AX831" s="30"/>
      <c r="AY831" s="30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30"/>
      <c r="BK831" s="30"/>
      <c r="BL831" s="30"/>
      <c r="BM831" s="30"/>
      <c r="BN831" s="30"/>
      <c r="BO831" s="30"/>
      <c r="BP831" s="30"/>
      <c r="BQ831" s="30"/>
      <c r="BR831" s="30"/>
      <c r="BS831" s="30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30"/>
      <c r="CE831" s="30"/>
      <c r="CF831" s="30"/>
      <c r="CG831" s="30"/>
      <c r="CH831" s="30"/>
      <c r="CI831" s="30"/>
      <c r="CJ831" s="30"/>
      <c r="CK831" s="30"/>
      <c r="CL831" s="30"/>
      <c r="CM831" s="30"/>
      <c r="CN831" s="1"/>
      <c r="CO831" s="1"/>
      <c r="CP831" s="1"/>
      <c r="CQ831" s="1"/>
      <c r="CR831" s="1"/>
      <c r="CS831" s="1"/>
      <c r="CT831" s="1"/>
      <c r="CU831" s="1"/>
      <c r="CV831" s="1"/>
      <c r="CW831" s="1"/>
    </row>
    <row r="832" spans="2:101" ht="15" hidden="1" customHeight="1" x14ac:dyDescent="0.25"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30"/>
      <c r="AQ832" s="30"/>
      <c r="AR832" s="30"/>
      <c r="AS832" s="30"/>
      <c r="AT832" s="30"/>
      <c r="AU832" s="30"/>
      <c r="AV832" s="30"/>
      <c r="AW832" s="30"/>
      <c r="AX832" s="30"/>
      <c r="AY832" s="30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30"/>
      <c r="BK832" s="30"/>
      <c r="BL832" s="30"/>
      <c r="BM832" s="30"/>
      <c r="BN832" s="30"/>
      <c r="BO832" s="30"/>
      <c r="BP832" s="30"/>
      <c r="BQ832" s="30"/>
      <c r="BR832" s="30"/>
      <c r="BS832" s="30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30"/>
      <c r="CE832" s="30"/>
      <c r="CF832" s="30"/>
      <c r="CG832" s="30"/>
      <c r="CH832" s="30"/>
      <c r="CI832" s="30"/>
      <c r="CJ832" s="30"/>
      <c r="CK832" s="30"/>
      <c r="CL832" s="30"/>
      <c r="CM832" s="30"/>
      <c r="CN832" s="1"/>
      <c r="CO832" s="1"/>
      <c r="CP832" s="1"/>
      <c r="CQ832" s="1"/>
      <c r="CR832" s="1"/>
      <c r="CS832" s="1"/>
      <c r="CT832" s="1"/>
      <c r="CU832" s="1"/>
      <c r="CV832" s="1"/>
      <c r="CW832" s="1"/>
    </row>
    <row r="833" spans="2:101" ht="15" hidden="1" customHeight="1" x14ac:dyDescent="0.25"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30"/>
      <c r="W833" s="30"/>
      <c r="X833" s="30"/>
      <c r="Y833" s="30"/>
      <c r="Z833" s="30"/>
      <c r="AA833" s="30"/>
      <c r="AB833" s="30"/>
      <c r="AC833" s="30"/>
      <c r="AD833" s="30"/>
      <c r="AE833" s="30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30"/>
      <c r="AQ833" s="30"/>
      <c r="AR833" s="30"/>
      <c r="AS833" s="30"/>
      <c r="AT833" s="30"/>
      <c r="AU833" s="30"/>
      <c r="AV833" s="30"/>
      <c r="AW833" s="30"/>
      <c r="AX833" s="30"/>
      <c r="AY833" s="30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30"/>
      <c r="BK833" s="30"/>
      <c r="BL833" s="30"/>
      <c r="BM833" s="30"/>
      <c r="BN833" s="30"/>
      <c r="BO833" s="30"/>
      <c r="BP833" s="30"/>
      <c r="BQ833" s="30"/>
      <c r="BR833" s="30"/>
      <c r="BS833" s="30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30"/>
      <c r="CE833" s="30"/>
      <c r="CF833" s="30"/>
      <c r="CG833" s="30"/>
      <c r="CH833" s="30"/>
      <c r="CI833" s="30"/>
      <c r="CJ833" s="30"/>
      <c r="CK833" s="30"/>
      <c r="CL833" s="30"/>
      <c r="CM833" s="30"/>
      <c r="CN833" s="1"/>
      <c r="CO833" s="1"/>
      <c r="CP833" s="1"/>
      <c r="CQ833" s="1"/>
      <c r="CR833" s="1"/>
      <c r="CS833" s="1"/>
      <c r="CT833" s="1"/>
      <c r="CU833" s="1"/>
      <c r="CV833" s="1"/>
      <c r="CW833" s="1"/>
    </row>
    <row r="834" spans="2:101" ht="15" hidden="1" customHeight="1" x14ac:dyDescent="0.25"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30"/>
      <c r="W834" s="30"/>
      <c r="X834" s="30"/>
      <c r="Y834" s="30"/>
      <c r="Z834" s="30"/>
      <c r="AA834" s="30"/>
      <c r="AB834" s="30"/>
      <c r="AC834" s="30"/>
      <c r="AD834" s="30"/>
      <c r="AE834" s="30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30"/>
      <c r="AQ834" s="30"/>
      <c r="AR834" s="30"/>
      <c r="AS834" s="30"/>
      <c r="AT834" s="30"/>
      <c r="AU834" s="30"/>
      <c r="AV834" s="30"/>
      <c r="AW834" s="30"/>
      <c r="AX834" s="30"/>
      <c r="AY834" s="30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30"/>
      <c r="BK834" s="30"/>
      <c r="BL834" s="30"/>
      <c r="BM834" s="30"/>
      <c r="BN834" s="30"/>
      <c r="BO834" s="30"/>
      <c r="BP834" s="30"/>
      <c r="BQ834" s="30"/>
      <c r="BR834" s="30"/>
      <c r="BS834" s="30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30"/>
      <c r="CE834" s="30"/>
      <c r="CF834" s="30"/>
      <c r="CG834" s="30"/>
      <c r="CH834" s="30"/>
      <c r="CI834" s="30"/>
      <c r="CJ834" s="30"/>
      <c r="CK834" s="30"/>
      <c r="CL834" s="30"/>
      <c r="CM834" s="30"/>
      <c r="CN834" s="1"/>
      <c r="CO834" s="1"/>
      <c r="CP834" s="1"/>
      <c r="CQ834" s="1"/>
      <c r="CR834" s="1"/>
      <c r="CS834" s="1"/>
      <c r="CT834" s="1"/>
      <c r="CU834" s="1"/>
      <c r="CV834" s="1"/>
      <c r="CW834" s="1"/>
    </row>
    <row r="835" spans="2:101" ht="15" hidden="1" customHeight="1" x14ac:dyDescent="0.25"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30"/>
      <c r="W835" s="30"/>
      <c r="X835" s="30"/>
      <c r="Y835" s="30"/>
      <c r="Z835" s="30"/>
      <c r="AA835" s="30"/>
      <c r="AB835" s="30"/>
      <c r="AC835" s="30"/>
      <c r="AD835" s="30"/>
      <c r="AE835" s="30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30"/>
      <c r="AQ835" s="30"/>
      <c r="AR835" s="30"/>
      <c r="AS835" s="30"/>
      <c r="AT835" s="30"/>
      <c r="AU835" s="30"/>
      <c r="AV835" s="30"/>
      <c r="AW835" s="30"/>
      <c r="AX835" s="30"/>
      <c r="AY835" s="30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30"/>
      <c r="BK835" s="30"/>
      <c r="BL835" s="30"/>
      <c r="BM835" s="30"/>
      <c r="BN835" s="30"/>
      <c r="BO835" s="30"/>
      <c r="BP835" s="30"/>
      <c r="BQ835" s="30"/>
      <c r="BR835" s="30"/>
      <c r="BS835" s="30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30"/>
      <c r="CE835" s="30"/>
      <c r="CF835" s="30"/>
      <c r="CG835" s="30"/>
      <c r="CH835" s="30"/>
      <c r="CI835" s="30"/>
      <c r="CJ835" s="30"/>
      <c r="CK835" s="30"/>
      <c r="CL835" s="30"/>
      <c r="CM835" s="30"/>
      <c r="CN835" s="1"/>
      <c r="CO835" s="1"/>
      <c r="CP835" s="1"/>
      <c r="CQ835" s="1"/>
      <c r="CR835" s="1"/>
      <c r="CS835" s="1"/>
      <c r="CT835" s="1"/>
      <c r="CU835" s="1"/>
      <c r="CV835" s="1"/>
      <c r="CW835" s="1"/>
    </row>
    <row r="836" spans="2:101" ht="15" hidden="1" customHeight="1" x14ac:dyDescent="0.25"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30"/>
      <c r="W836" s="30"/>
      <c r="X836" s="30"/>
      <c r="Y836" s="30"/>
      <c r="Z836" s="30"/>
      <c r="AA836" s="30"/>
      <c r="AB836" s="30"/>
      <c r="AC836" s="30"/>
      <c r="AD836" s="30"/>
      <c r="AE836" s="30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30"/>
      <c r="AQ836" s="30"/>
      <c r="AR836" s="30"/>
      <c r="AS836" s="30"/>
      <c r="AT836" s="30"/>
      <c r="AU836" s="30"/>
      <c r="AV836" s="30"/>
      <c r="AW836" s="30"/>
      <c r="AX836" s="30"/>
      <c r="AY836" s="30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30"/>
      <c r="BK836" s="30"/>
      <c r="BL836" s="30"/>
      <c r="BM836" s="30"/>
      <c r="BN836" s="30"/>
      <c r="BO836" s="30"/>
      <c r="BP836" s="30"/>
      <c r="BQ836" s="30"/>
      <c r="BR836" s="30"/>
      <c r="BS836" s="30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30"/>
      <c r="CE836" s="30"/>
      <c r="CF836" s="30"/>
      <c r="CG836" s="30"/>
      <c r="CH836" s="30"/>
      <c r="CI836" s="30"/>
      <c r="CJ836" s="30"/>
      <c r="CK836" s="30"/>
      <c r="CL836" s="30"/>
      <c r="CM836" s="30"/>
      <c r="CN836" s="1"/>
      <c r="CO836" s="1"/>
      <c r="CP836" s="1"/>
      <c r="CQ836" s="1"/>
      <c r="CR836" s="1"/>
      <c r="CS836" s="1"/>
      <c r="CT836" s="1"/>
      <c r="CU836" s="1"/>
      <c r="CV836" s="1"/>
      <c r="CW836" s="1"/>
    </row>
    <row r="837" spans="2:101" ht="15" hidden="1" customHeight="1" x14ac:dyDescent="0.25"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30"/>
      <c r="W837" s="30"/>
      <c r="X837" s="30"/>
      <c r="Y837" s="30"/>
      <c r="Z837" s="30"/>
      <c r="AA837" s="30"/>
      <c r="AB837" s="30"/>
      <c r="AC837" s="30"/>
      <c r="AD837" s="30"/>
      <c r="AE837" s="30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30"/>
      <c r="AQ837" s="30"/>
      <c r="AR837" s="30"/>
      <c r="AS837" s="30"/>
      <c r="AT837" s="30"/>
      <c r="AU837" s="30"/>
      <c r="AV837" s="30"/>
      <c r="AW837" s="30"/>
      <c r="AX837" s="30"/>
      <c r="AY837" s="30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30"/>
      <c r="BK837" s="30"/>
      <c r="BL837" s="30"/>
      <c r="BM837" s="30"/>
      <c r="BN837" s="30"/>
      <c r="BO837" s="30"/>
      <c r="BP837" s="30"/>
      <c r="BQ837" s="30"/>
      <c r="BR837" s="30"/>
      <c r="BS837" s="30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30"/>
      <c r="CE837" s="30"/>
      <c r="CF837" s="30"/>
      <c r="CG837" s="30"/>
      <c r="CH837" s="30"/>
      <c r="CI837" s="30"/>
      <c r="CJ837" s="30"/>
      <c r="CK837" s="30"/>
      <c r="CL837" s="30"/>
      <c r="CM837" s="30"/>
      <c r="CN837" s="1"/>
      <c r="CO837" s="1"/>
      <c r="CP837" s="1"/>
      <c r="CQ837" s="1"/>
      <c r="CR837" s="1"/>
      <c r="CS837" s="1"/>
      <c r="CT837" s="1"/>
      <c r="CU837" s="1"/>
      <c r="CV837" s="1"/>
      <c r="CW837" s="1"/>
    </row>
    <row r="838" spans="2:101" ht="15" hidden="1" customHeight="1" x14ac:dyDescent="0.25"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30"/>
      <c r="W838" s="30"/>
      <c r="X838" s="30"/>
      <c r="Y838" s="30"/>
      <c r="Z838" s="30"/>
      <c r="AA838" s="30"/>
      <c r="AB838" s="30"/>
      <c r="AC838" s="30"/>
      <c r="AD838" s="30"/>
      <c r="AE838" s="30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30"/>
      <c r="AQ838" s="30"/>
      <c r="AR838" s="30"/>
      <c r="AS838" s="30"/>
      <c r="AT838" s="30"/>
      <c r="AU838" s="30"/>
      <c r="AV838" s="30"/>
      <c r="AW838" s="30"/>
      <c r="AX838" s="30"/>
      <c r="AY838" s="30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30"/>
      <c r="BK838" s="30"/>
      <c r="BL838" s="30"/>
      <c r="BM838" s="30"/>
      <c r="BN838" s="30"/>
      <c r="BO838" s="30"/>
      <c r="BP838" s="30"/>
      <c r="BQ838" s="30"/>
      <c r="BR838" s="30"/>
      <c r="BS838" s="30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30"/>
      <c r="CE838" s="30"/>
      <c r="CF838" s="30"/>
      <c r="CG838" s="30"/>
      <c r="CH838" s="30"/>
      <c r="CI838" s="30"/>
      <c r="CJ838" s="30"/>
      <c r="CK838" s="30"/>
      <c r="CL838" s="30"/>
      <c r="CM838" s="30"/>
      <c r="CN838" s="1"/>
      <c r="CO838" s="1"/>
      <c r="CP838" s="1"/>
      <c r="CQ838" s="1"/>
      <c r="CR838" s="1"/>
      <c r="CS838" s="1"/>
      <c r="CT838" s="1"/>
      <c r="CU838" s="1"/>
      <c r="CV838" s="1"/>
      <c r="CW838" s="1"/>
    </row>
    <row r="839" spans="2:101" ht="15" hidden="1" customHeight="1" x14ac:dyDescent="0.25"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30"/>
      <c r="W839" s="30"/>
      <c r="X839" s="30"/>
      <c r="Y839" s="30"/>
      <c r="Z839" s="30"/>
      <c r="AA839" s="30"/>
      <c r="AB839" s="30"/>
      <c r="AC839" s="30"/>
      <c r="AD839" s="30"/>
      <c r="AE839" s="30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30"/>
      <c r="AQ839" s="30"/>
      <c r="AR839" s="30"/>
      <c r="AS839" s="30"/>
      <c r="AT839" s="30"/>
      <c r="AU839" s="30"/>
      <c r="AV839" s="30"/>
      <c r="AW839" s="30"/>
      <c r="AX839" s="30"/>
      <c r="AY839" s="30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30"/>
      <c r="BK839" s="30"/>
      <c r="BL839" s="30"/>
      <c r="BM839" s="30"/>
      <c r="BN839" s="30"/>
      <c r="BO839" s="30"/>
      <c r="BP839" s="30"/>
      <c r="BQ839" s="30"/>
      <c r="BR839" s="30"/>
      <c r="BS839" s="30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30"/>
      <c r="CE839" s="30"/>
      <c r="CF839" s="30"/>
      <c r="CG839" s="30"/>
      <c r="CH839" s="30"/>
      <c r="CI839" s="30"/>
      <c r="CJ839" s="30"/>
      <c r="CK839" s="30"/>
      <c r="CL839" s="30"/>
      <c r="CM839" s="30"/>
      <c r="CN839" s="1"/>
      <c r="CO839" s="1"/>
      <c r="CP839" s="1"/>
      <c r="CQ839" s="1"/>
      <c r="CR839" s="1"/>
      <c r="CS839" s="1"/>
      <c r="CT839" s="1"/>
      <c r="CU839" s="1"/>
      <c r="CV839" s="1"/>
      <c r="CW839" s="1"/>
    </row>
    <row r="840" spans="2:101" ht="15" hidden="1" customHeight="1" x14ac:dyDescent="0.25"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30"/>
      <c r="W840" s="30"/>
      <c r="X840" s="30"/>
      <c r="Y840" s="30"/>
      <c r="Z840" s="30"/>
      <c r="AA840" s="30"/>
      <c r="AB840" s="30"/>
      <c r="AC840" s="30"/>
      <c r="AD840" s="30"/>
      <c r="AE840" s="30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30"/>
      <c r="AQ840" s="30"/>
      <c r="AR840" s="30"/>
      <c r="AS840" s="30"/>
      <c r="AT840" s="30"/>
      <c r="AU840" s="30"/>
      <c r="AV840" s="30"/>
      <c r="AW840" s="30"/>
      <c r="AX840" s="30"/>
      <c r="AY840" s="30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30"/>
      <c r="BK840" s="30"/>
      <c r="BL840" s="30"/>
      <c r="BM840" s="30"/>
      <c r="BN840" s="30"/>
      <c r="BO840" s="30"/>
      <c r="BP840" s="30"/>
      <c r="BQ840" s="30"/>
      <c r="BR840" s="30"/>
      <c r="BS840" s="30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30"/>
      <c r="CE840" s="30"/>
      <c r="CF840" s="30"/>
      <c r="CG840" s="30"/>
      <c r="CH840" s="30"/>
      <c r="CI840" s="30"/>
      <c r="CJ840" s="30"/>
      <c r="CK840" s="30"/>
      <c r="CL840" s="30"/>
      <c r="CM840" s="30"/>
      <c r="CN840" s="1"/>
      <c r="CO840" s="1"/>
      <c r="CP840" s="1"/>
      <c r="CQ840" s="1"/>
      <c r="CR840" s="1"/>
      <c r="CS840" s="1"/>
      <c r="CT840" s="1"/>
      <c r="CU840" s="1"/>
      <c r="CV840" s="1"/>
      <c r="CW840" s="1"/>
    </row>
    <row r="841" spans="2:101" ht="15" hidden="1" customHeight="1" x14ac:dyDescent="0.25"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30"/>
      <c r="W841" s="30"/>
      <c r="X841" s="30"/>
      <c r="Y841" s="30"/>
      <c r="Z841" s="30"/>
      <c r="AA841" s="30"/>
      <c r="AB841" s="30"/>
      <c r="AC841" s="30"/>
      <c r="AD841" s="30"/>
      <c r="AE841" s="30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30"/>
      <c r="AQ841" s="30"/>
      <c r="AR841" s="30"/>
      <c r="AS841" s="30"/>
      <c r="AT841" s="30"/>
      <c r="AU841" s="30"/>
      <c r="AV841" s="30"/>
      <c r="AW841" s="30"/>
      <c r="AX841" s="30"/>
      <c r="AY841" s="30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30"/>
      <c r="BK841" s="30"/>
      <c r="BL841" s="30"/>
      <c r="BM841" s="30"/>
      <c r="BN841" s="30"/>
      <c r="BO841" s="30"/>
      <c r="BP841" s="30"/>
      <c r="BQ841" s="30"/>
      <c r="BR841" s="30"/>
      <c r="BS841" s="30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30"/>
      <c r="CE841" s="30"/>
      <c r="CF841" s="30"/>
      <c r="CG841" s="30"/>
      <c r="CH841" s="30"/>
      <c r="CI841" s="30"/>
      <c r="CJ841" s="30"/>
      <c r="CK841" s="30"/>
      <c r="CL841" s="30"/>
      <c r="CM841" s="30"/>
      <c r="CN841" s="1"/>
      <c r="CO841" s="1"/>
      <c r="CP841" s="1"/>
      <c r="CQ841" s="1"/>
      <c r="CR841" s="1"/>
      <c r="CS841" s="1"/>
      <c r="CT841" s="1"/>
      <c r="CU841" s="1"/>
      <c r="CV841" s="1"/>
      <c r="CW841" s="1"/>
    </row>
    <row r="842" spans="2:101" ht="15" hidden="1" customHeight="1" x14ac:dyDescent="0.25"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30"/>
      <c r="W842" s="30"/>
      <c r="X842" s="30"/>
      <c r="Y842" s="30"/>
      <c r="Z842" s="30"/>
      <c r="AA842" s="30"/>
      <c r="AB842" s="30"/>
      <c r="AC842" s="30"/>
      <c r="AD842" s="30"/>
      <c r="AE842" s="30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30"/>
      <c r="AQ842" s="30"/>
      <c r="AR842" s="30"/>
      <c r="AS842" s="30"/>
      <c r="AT842" s="30"/>
      <c r="AU842" s="30"/>
      <c r="AV842" s="30"/>
      <c r="AW842" s="30"/>
      <c r="AX842" s="30"/>
      <c r="AY842" s="30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30"/>
      <c r="BK842" s="30"/>
      <c r="BL842" s="30"/>
      <c r="BM842" s="30"/>
      <c r="BN842" s="30"/>
      <c r="BO842" s="30"/>
      <c r="BP842" s="30"/>
      <c r="BQ842" s="30"/>
      <c r="BR842" s="30"/>
      <c r="BS842" s="30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30"/>
      <c r="CE842" s="30"/>
      <c r="CF842" s="30"/>
      <c r="CG842" s="30"/>
      <c r="CH842" s="30"/>
      <c r="CI842" s="30"/>
      <c r="CJ842" s="30"/>
      <c r="CK842" s="30"/>
      <c r="CL842" s="30"/>
      <c r="CM842" s="30"/>
      <c r="CN842" s="1"/>
      <c r="CO842" s="1"/>
      <c r="CP842" s="1"/>
      <c r="CQ842" s="1"/>
      <c r="CR842" s="1"/>
      <c r="CS842" s="1"/>
      <c r="CT842" s="1"/>
      <c r="CU842" s="1"/>
      <c r="CV842" s="1"/>
      <c r="CW842" s="1"/>
    </row>
    <row r="843" spans="2:101" ht="15" hidden="1" customHeight="1" x14ac:dyDescent="0.25"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30"/>
      <c r="W843" s="30"/>
      <c r="X843" s="30"/>
      <c r="Y843" s="30"/>
      <c r="Z843" s="30"/>
      <c r="AA843" s="30"/>
      <c r="AB843" s="30"/>
      <c r="AC843" s="30"/>
      <c r="AD843" s="30"/>
      <c r="AE843" s="30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30"/>
      <c r="AQ843" s="30"/>
      <c r="AR843" s="30"/>
      <c r="AS843" s="30"/>
      <c r="AT843" s="30"/>
      <c r="AU843" s="30"/>
      <c r="AV843" s="30"/>
      <c r="AW843" s="30"/>
      <c r="AX843" s="30"/>
      <c r="AY843" s="30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30"/>
      <c r="BK843" s="30"/>
      <c r="BL843" s="30"/>
      <c r="BM843" s="30"/>
      <c r="BN843" s="30"/>
      <c r="BO843" s="30"/>
      <c r="BP843" s="30"/>
      <c r="BQ843" s="30"/>
      <c r="BR843" s="30"/>
      <c r="BS843" s="30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30"/>
      <c r="CE843" s="30"/>
      <c r="CF843" s="30"/>
      <c r="CG843" s="30"/>
      <c r="CH843" s="30"/>
      <c r="CI843" s="30"/>
      <c r="CJ843" s="30"/>
      <c r="CK843" s="30"/>
      <c r="CL843" s="30"/>
      <c r="CM843" s="30"/>
      <c r="CN843" s="1"/>
      <c r="CO843" s="1"/>
      <c r="CP843" s="1"/>
      <c r="CQ843" s="1"/>
      <c r="CR843" s="1"/>
      <c r="CS843" s="1"/>
      <c r="CT843" s="1"/>
      <c r="CU843" s="1"/>
      <c r="CV843" s="1"/>
      <c r="CW843" s="1"/>
    </row>
    <row r="844" spans="2:101" ht="15" hidden="1" customHeight="1" x14ac:dyDescent="0.25"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30"/>
      <c r="W844" s="30"/>
      <c r="X844" s="30"/>
      <c r="Y844" s="30"/>
      <c r="Z844" s="30"/>
      <c r="AA844" s="30"/>
      <c r="AB844" s="30"/>
      <c r="AC844" s="30"/>
      <c r="AD844" s="30"/>
      <c r="AE844" s="30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30"/>
      <c r="AQ844" s="30"/>
      <c r="AR844" s="30"/>
      <c r="AS844" s="30"/>
      <c r="AT844" s="30"/>
      <c r="AU844" s="30"/>
      <c r="AV844" s="30"/>
      <c r="AW844" s="30"/>
      <c r="AX844" s="30"/>
      <c r="AY844" s="30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30"/>
      <c r="BK844" s="30"/>
      <c r="BL844" s="30"/>
      <c r="BM844" s="30"/>
      <c r="BN844" s="30"/>
      <c r="BO844" s="30"/>
      <c r="BP844" s="30"/>
      <c r="BQ844" s="30"/>
      <c r="BR844" s="30"/>
      <c r="BS844" s="30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30"/>
      <c r="CE844" s="30"/>
      <c r="CF844" s="30"/>
      <c r="CG844" s="30"/>
      <c r="CH844" s="30"/>
      <c r="CI844" s="30"/>
      <c r="CJ844" s="30"/>
      <c r="CK844" s="30"/>
      <c r="CL844" s="30"/>
      <c r="CM844" s="30"/>
      <c r="CN844" s="1"/>
      <c r="CO844" s="1"/>
      <c r="CP844" s="1"/>
      <c r="CQ844" s="1"/>
      <c r="CR844" s="1"/>
      <c r="CS844" s="1"/>
      <c r="CT844" s="1"/>
      <c r="CU844" s="1"/>
      <c r="CV844" s="1"/>
      <c r="CW844" s="1"/>
    </row>
    <row r="845" spans="2:101" ht="15" hidden="1" customHeight="1" x14ac:dyDescent="0.25"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30"/>
      <c r="W845" s="30"/>
      <c r="X845" s="30"/>
      <c r="Y845" s="30"/>
      <c r="Z845" s="30"/>
      <c r="AA845" s="30"/>
      <c r="AB845" s="30"/>
      <c r="AC845" s="30"/>
      <c r="AD845" s="30"/>
      <c r="AE845" s="30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30"/>
      <c r="AQ845" s="30"/>
      <c r="AR845" s="30"/>
      <c r="AS845" s="30"/>
      <c r="AT845" s="30"/>
      <c r="AU845" s="30"/>
      <c r="AV845" s="30"/>
      <c r="AW845" s="30"/>
      <c r="AX845" s="30"/>
      <c r="AY845" s="30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30"/>
      <c r="BK845" s="30"/>
      <c r="BL845" s="30"/>
      <c r="BM845" s="30"/>
      <c r="BN845" s="30"/>
      <c r="BO845" s="30"/>
      <c r="BP845" s="30"/>
      <c r="BQ845" s="30"/>
      <c r="BR845" s="30"/>
      <c r="BS845" s="30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30"/>
      <c r="CE845" s="30"/>
      <c r="CF845" s="30"/>
      <c r="CG845" s="30"/>
      <c r="CH845" s="30"/>
      <c r="CI845" s="30"/>
      <c r="CJ845" s="30"/>
      <c r="CK845" s="30"/>
      <c r="CL845" s="30"/>
      <c r="CM845" s="30"/>
      <c r="CN845" s="1"/>
      <c r="CO845" s="1"/>
      <c r="CP845" s="1"/>
      <c r="CQ845" s="1"/>
      <c r="CR845" s="1"/>
      <c r="CS845" s="1"/>
      <c r="CT845" s="1"/>
      <c r="CU845" s="1"/>
      <c r="CV845" s="1"/>
      <c r="CW845" s="1"/>
    </row>
    <row r="846" spans="2:101" ht="15" hidden="1" customHeight="1" x14ac:dyDescent="0.25"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30"/>
      <c r="W846" s="30"/>
      <c r="X846" s="30"/>
      <c r="Y846" s="30"/>
      <c r="Z846" s="30"/>
      <c r="AA846" s="30"/>
      <c r="AB846" s="30"/>
      <c r="AC846" s="30"/>
      <c r="AD846" s="30"/>
      <c r="AE846" s="30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30"/>
      <c r="AQ846" s="30"/>
      <c r="AR846" s="30"/>
      <c r="AS846" s="30"/>
      <c r="AT846" s="30"/>
      <c r="AU846" s="30"/>
      <c r="AV846" s="30"/>
      <c r="AW846" s="30"/>
      <c r="AX846" s="30"/>
      <c r="AY846" s="30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30"/>
      <c r="BK846" s="30"/>
      <c r="BL846" s="30"/>
      <c r="BM846" s="30"/>
      <c r="BN846" s="30"/>
      <c r="BO846" s="30"/>
      <c r="BP846" s="30"/>
      <c r="BQ846" s="30"/>
      <c r="BR846" s="30"/>
      <c r="BS846" s="30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30"/>
      <c r="CE846" s="30"/>
      <c r="CF846" s="30"/>
      <c r="CG846" s="30"/>
      <c r="CH846" s="30"/>
      <c r="CI846" s="30"/>
      <c r="CJ846" s="30"/>
      <c r="CK846" s="30"/>
      <c r="CL846" s="30"/>
      <c r="CM846" s="30"/>
      <c r="CN846" s="1"/>
      <c r="CO846" s="1"/>
      <c r="CP846" s="1"/>
      <c r="CQ846" s="1"/>
      <c r="CR846" s="1"/>
      <c r="CS846" s="1"/>
      <c r="CT846" s="1"/>
      <c r="CU846" s="1"/>
      <c r="CV846" s="1"/>
      <c r="CW846" s="1"/>
    </row>
    <row r="847" spans="2:101" ht="15" hidden="1" customHeight="1" x14ac:dyDescent="0.25"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30"/>
      <c r="W847" s="30"/>
      <c r="X847" s="30"/>
      <c r="Y847" s="30"/>
      <c r="Z847" s="30"/>
      <c r="AA847" s="30"/>
      <c r="AB847" s="30"/>
      <c r="AC847" s="30"/>
      <c r="AD847" s="30"/>
      <c r="AE847" s="30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30"/>
      <c r="AQ847" s="30"/>
      <c r="AR847" s="30"/>
      <c r="AS847" s="30"/>
      <c r="AT847" s="30"/>
      <c r="AU847" s="30"/>
      <c r="AV847" s="30"/>
      <c r="AW847" s="30"/>
      <c r="AX847" s="30"/>
      <c r="AY847" s="30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30"/>
      <c r="BK847" s="30"/>
      <c r="BL847" s="30"/>
      <c r="BM847" s="30"/>
      <c r="BN847" s="30"/>
      <c r="BO847" s="30"/>
      <c r="BP847" s="30"/>
      <c r="BQ847" s="30"/>
      <c r="BR847" s="30"/>
      <c r="BS847" s="30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30"/>
      <c r="CE847" s="30"/>
      <c r="CF847" s="30"/>
      <c r="CG847" s="30"/>
      <c r="CH847" s="30"/>
      <c r="CI847" s="30"/>
      <c r="CJ847" s="30"/>
      <c r="CK847" s="30"/>
      <c r="CL847" s="30"/>
      <c r="CM847" s="30"/>
      <c r="CN847" s="1"/>
      <c r="CO847" s="1"/>
      <c r="CP847" s="1"/>
      <c r="CQ847" s="1"/>
      <c r="CR847" s="1"/>
      <c r="CS847" s="1"/>
      <c r="CT847" s="1"/>
      <c r="CU847" s="1"/>
      <c r="CV847" s="1"/>
      <c r="CW847" s="1"/>
    </row>
    <row r="848" spans="2:101" ht="15" hidden="1" customHeight="1" x14ac:dyDescent="0.25"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30"/>
      <c r="W848" s="30"/>
      <c r="X848" s="30"/>
      <c r="Y848" s="30"/>
      <c r="Z848" s="30"/>
      <c r="AA848" s="30"/>
      <c r="AB848" s="30"/>
      <c r="AC848" s="30"/>
      <c r="AD848" s="30"/>
      <c r="AE848" s="30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30"/>
      <c r="AQ848" s="30"/>
      <c r="AR848" s="30"/>
      <c r="AS848" s="30"/>
      <c r="AT848" s="30"/>
      <c r="AU848" s="30"/>
      <c r="AV848" s="30"/>
      <c r="AW848" s="30"/>
      <c r="AX848" s="30"/>
      <c r="AY848" s="30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30"/>
      <c r="BK848" s="30"/>
      <c r="BL848" s="30"/>
      <c r="BM848" s="30"/>
      <c r="BN848" s="30"/>
      <c r="BO848" s="30"/>
      <c r="BP848" s="30"/>
      <c r="BQ848" s="30"/>
      <c r="BR848" s="30"/>
      <c r="BS848" s="30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30"/>
      <c r="CE848" s="30"/>
      <c r="CF848" s="30"/>
      <c r="CG848" s="30"/>
      <c r="CH848" s="30"/>
      <c r="CI848" s="30"/>
      <c r="CJ848" s="30"/>
      <c r="CK848" s="30"/>
      <c r="CL848" s="30"/>
      <c r="CM848" s="30"/>
      <c r="CN848" s="1"/>
      <c r="CO848" s="1"/>
      <c r="CP848" s="1"/>
      <c r="CQ848" s="1"/>
      <c r="CR848" s="1"/>
      <c r="CS848" s="1"/>
      <c r="CT848" s="1"/>
      <c r="CU848" s="1"/>
      <c r="CV848" s="1"/>
      <c r="CW848" s="1"/>
    </row>
    <row r="849" spans="2:101" ht="15" hidden="1" customHeight="1" x14ac:dyDescent="0.25"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30"/>
      <c r="W849" s="30"/>
      <c r="X849" s="30"/>
      <c r="Y849" s="30"/>
      <c r="Z849" s="30"/>
      <c r="AA849" s="30"/>
      <c r="AB849" s="30"/>
      <c r="AC849" s="30"/>
      <c r="AD849" s="30"/>
      <c r="AE849" s="30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30"/>
      <c r="AQ849" s="30"/>
      <c r="AR849" s="30"/>
      <c r="AS849" s="30"/>
      <c r="AT849" s="30"/>
      <c r="AU849" s="30"/>
      <c r="AV849" s="30"/>
      <c r="AW849" s="30"/>
      <c r="AX849" s="30"/>
      <c r="AY849" s="30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30"/>
      <c r="BK849" s="30"/>
      <c r="BL849" s="30"/>
      <c r="BM849" s="30"/>
      <c r="BN849" s="30"/>
      <c r="BO849" s="30"/>
      <c r="BP849" s="30"/>
      <c r="BQ849" s="30"/>
      <c r="BR849" s="30"/>
      <c r="BS849" s="30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30"/>
      <c r="CE849" s="30"/>
      <c r="CF849" s="30"/>
      <c r="CG849" s="30"/>
      <c r="CH849" s="30"/>
      <c r="CI849" s="30"/>
      <c r="CJ849" s="30"/>
      <c r="CK849" s="30"/>
      <c r="CL849" s="30"/>
      <c r="CM849" s="30"/>
      <c r="CN849" s="1"/>
      <c r="CO849" s="1"/>
      <c r="CP849" s="1"/>
      <c r="CQ849" s="1"/>
      <c r="CR849" s="1"/>
      <c r="CS849" s="1"/>
      <c r="CT849" s="1"/>
      <c r="CU849" s="1"/>
      <c r="CV849" s="1"/>
      <c r="CW849" s="1"/>
    </row>
    <row r="850" spans="2:101" ht="15" hidden="1" customHeight="1" x14ac:dyDescent="0.25"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30"/>
      <c r="W850" s="30"/>
      <c r="X850" s="30"/>
      <c r="Y850" s="30"/>
      <c r="Z850" s="30"/>
      <c r="AA850" s="30"/>
      <c r="AB850" s="30"/>
      <c r="AC850" s="30"/>
      <c r="AD850" s="30"/>
      <c r="AE850" s="30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30"/>
      <c r="AQ850" s="30"/>
      <c r="AR850" s="30"/>
      <c r="AS850" s="30"/>
      <c r="AT850" s="30"/>
      <c r="AU850" s="30"/>
      <c r="AV850" s="30"/>
      <c r="AW850" s="30"/>
      <c r="AX850" s="30"/>
      <c r="AY850" s="30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30"/>
      <c r="BK850" s="30"/>
      <c r="BL850" s="30"/>
      <c r="BM850" s="30"/>
      <c r="BN850" s="30"/>
      <c r="BO850" s="30"/>
      <c r="BP850" s="30"/>
      <c r="BQ850" s="30"/>
      <c r="BR850" s="30"/>
      <c r="BS850" s="30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30"/>
      <c r="CE850" s="30"/>
      <c r="CF850" s="30"/>
      <c r="CG850" s="30"/>
      <c r="CH850" s="30"/>
      <c r="CI850" s="30"/>
      <c r="CJ850" s="30"/>
      <c r="CK850" s="30"/>
      <c r="CL850" s="30"/>
      <c r="CM850" s="30"/>
      <c r="CN850" s="1"/>
      <c r="CO850" s="1"/>
      <c r="CP850" s="1"/>
      <c r="CQ850" s="1"/>
      <c r="CR850" s="1"/>
      <c r="CS850" s="1"/>
      <c r="CT850" s="1"/>
      <c r="CU850" s="1"/>
      <c r="CV850" s="1"/>
      <c r="CW850" s="1"/>
    </row>
    <row r="851" spans="2:101" ht="15" hidden="1" customHeight="1" x14ac:dyDescent="0.25"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30"/>
      <c r="W851" s="30"/>
      <c r="X851" s="30"/>
      <c r="Y851" s="30"/>
      <c r="Z851" s="30"/>
      <c r="AA851" s="30"/>
      <c r="AB851" s="30"/>
      <c r="AC851" s="30"/>
      <c r="AD851" s="30"/>
      <c r="AE851" s="30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30"/>
      <c r="AQ851" s="30"/>
      <c r="AR851" s="30"/>
      <c r="AS851" s="30"/>
      <c r="AT851" s="30"/>
      <c r="AU851" s="30"/>
      <c r="AV851" s="30"/>
      <c r="AW851" s="30"/>
      <c r="AX851" s="30"/>
      <c r="AY851" s="30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30"/>
      <c r="BK851" s="30"/>
      <c r="BL851" s="30"/>
      <c r="BM851" s="30"/>
      <c r="BN851" s="30"/>
      <c r="BO851" s="30"/>
      <c r="BP851" s="30"/>
      <c r="BQ851" s="30"/>
      <c r="BR851" s="30"/>
      <c r="BS851" s="30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30"/>
      <c r="CE851" s="30"/>
      <c r="CF851" s="30"/>
      <c r="CG851" s="30"/>
      <c r="CH851" s="30"/>
      <c r="CI851" s="30"/>
      <c r="CJ851" s="30"/>
      <c r="CK851" s="30"/>
      <c r="CL851" s="30"/>
      <c r="CM851" s="30"/>
      <c r="CN851" s="1"/>
      <c r="CO851" s="1"/>
      <c r="CP851" s="1"/>
      <c r="CQ851" s="1"/>
      <c r="CR851" s="1"/>
      <c r="CS851" s="1"/>
      <c r="CT851" s="1"/>
      <c r="CU851" s="1"/>
      <c r="CV851" s="1"/>
      <c r="CW851" s="1"/>
    </row>
    <row r="852" spans="2:101" ht="15" hidden="1" customHeight="1" x14ac:dyDescent="0.25"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30"/>
      <c r="W852" s="30"/>
      <c r="X852" s="30"/>
      <c r="Y852" s="30"/>
      <c r="Z852" s="30"/>
      <c r="AA852" s="30"/>
      <c r="AB852" s="30"/>
      <c r="AC852" s="30"/>
      <c r="AD852" s="30"/>
      <c r="AE852" s="30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30"/>
      <c r="AQ852" s="30"/>
      <c r="AR852" s="30"/>
      <c r="AS852" s="30"/>
      <c r="AT852" s="30"/>
      <c r="AU852" s="30"/>
      <c r="AV852" s="30"/>
      <c r="AW852" s="30"/>
      <c r="AX852" s="30"/>
      <c r="AY852" s="30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30"/>
      <c r="BK852" s="30"/>
      <c r="BL852" s="30"/>
      <c r="BM852" s="30"/>
      <c r="BN852" s="30"/>
      <c r="BO852" s="30"/>
      <c r="BP852" s="30"/>
      <c r="BQ852" s="30"/>
      <c r="BR852" s="30"/>
      <c r="BS852" s="30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30"/>
      <c r="CE852" s="30"/>
      <c r="CF852" s="30"/>
      <c r="CG852" s="30"/>
      <c r="CH852" s="30"/>
      <c r="CI852" s="30"/>
      <c r="CJ852" s="30"/>
      <c r="CK852" s="30"/>
      <c r="CL852" s="30"/>
      <c r="CM852" s="30"/>
      <c r="CN852" s="1"/>
      <c r="CO852" s="1"/>
      <c r="CP852" s="1"/>
      <c r="CQ852" s="1"/>
      <c r="CR852" s="1"/>
      <c r="CS852" s="1"/>
      <c r="CT852" s="1"/>
      <c r="CU852" s="1"/>
      <c r="CV852" s="1"/>
      <c r="CW852" s="1"/>
    </row>
    <row r="853" spans="2:101" ht="15" hidden="1" customHeight="1" x14ac:dyDescent="0.25"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30"/>
      <c r="W853" s="30"/>
      <c r="X853" s="30"/>
      <c r="Y853" s="30"/>
      <c r="Z853" s="30"/>
      <c r="AA853" s="30"/>
      <c r="AB853" s="30"/>
      <c r="AC853" s="30"/>
      <c r="AD853" s="30"/>
      <c r="AE853" s="30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30"/>
      <c r="AQ853" s="30"/>
      <c r="AR853" s="30"/>
      <c r="AS853" s="30"/>
      <c r="AT853" s="30"/>
      <c r="AU853" s="30"/>
      <c r="AV853" s="30"/>
      <c r="AW853" s="30"/>
      <c r="AX853" s="30"/>
      <c r="AY853" s="30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30"/>
      <c r="BK853" s="30"/>
      <c r="BL853" s="30"/>
      <c r="BM853" s="30"/>
      <c r="BN853" s="30"/>
      <c r="BO853" s="30"/>
      <c r="BP853" s="30"/>
      <c r="BQ853" s="30"/>
      <c r="BR853" s="30"/>
      <c r="BS853" s="30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30"/>
      <c r="CE853" s="30"/>
      <c r="CF853" s="30"/>
      <c r="CG853" s="30"/>
      <c r="CH853" s="30"/>
      <c r="CI853" s="30"/>
      <c r="CJ853" s="30"/>
      <c r="CK853" s="30"/>
      <c r="CL853" s="30"/>
      <c r="CM853" s="30"/>
      <c r="CN853" s="1"/>
      <c r="CO853" s="1"/>
      <c r="CP853" s="1"/>
      <c r="CQ853" s="1"/>
      <c r="CR853" s="1"/>
      <c r="CS853" s="1"/>
      <c r="CT853" s="1"/>
      <c r="CU853" s="1"/>
      <c r="CV853" s="1"/>
      <c r="CW853" s="1"/>
    </row>
    <row r="854" spans="2:101" ht="15" hidden="1" customHeight="1" x14ac:dyDescent="0.25"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30"/>
      <c r="W854" s="30"/>
      <c r="X854" s="30"/>
      <c r="Y854" s="30"/>
      <c r="Z854" s="30"/>
      <c r="AA854" s="30"/>
      <c r="AB854" s="30"/>
      <c r="AC854" s="30"/>
      <c r="AD854" s="30"/>
      <c r="AE854" s="30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30"/>
      <c r="AQ854" s="30"/>
      <c r="AR854" s="30"/>
      <c r="AS854" s="30"/>
      <c r="AT854" s="30"/>
      <c r="AU854" s="30"/>
      <c r="AV854" s="30"/>
      <c r="AW854" s="30"/>
      <c r="AX854" s="30"/>
      <c r="AY854" s="30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30"/>
      <c r="BK854" s="30"/>
      <c r="BL854" s="30"/>
      <c r="BM854" s="30"/>
      <c r="BN854" s="30"/>
      <c r="BO854" s="30"/>
      <c r="BP854" s="30"/>
      <c r="BQ854" s="30"/>
      <c r="BR854" s="30"/>
      <c r="BS854" s="30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30"/>
      <c r="CE854" s="30"/>
      <c r="CF854" s="30"/>
      <c r="CG854" s="30"/>
      <c r="CH854" s="30"/>
      <c r="CI854" s="30"/>
      <c r="CJ854" s="30"/>
      <c r="CK854" s="30"/>
      <c r="CL854" s="30"/>
      <c r="CM854" s="30"/>
      <c r="CN854" s="1"/>
      <c r="CO854" s="1"/>
      <c r="CP854" s="1"/>
      <c r="CQ854" s="1"/>
      <c r="CR854" s="1"/>
      <c r="CS854" s="1"/>
      <c r="CT854" s="1"/>
      <c r="CU854" s="1"/>
      <c r="CV854" s="1"/>
      <c r="CW854" s="1"/>
    </row>
    <row r="855" spans="2:101" ht="15" hidden="1" customHeight="1" x14ac:dyDescent="0.25"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30"/>
      <c r="W855" s="30"/>
      <c r="X855" s="30"/>
      <c r="Y855" s="30"/>
      <c r="Z855" s="30"/>
      <c r="AA855" s="30"/>
      <c r="AB855" s="30"/>
      <c r="AC855" s="30"/>
      <c r="AD855" s="30"/>
      <c r="AE855" s="30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30"/>
      <c r="AQ855" s="30"/>
      <c r="AR855" s="30"/>
      <c r="AS855" s="30"/>
      <c r="AT855" s="30"/>
      <c r="AU855" s="30"/>
      <c r="AV855" s="30"/>
      <c r="AW855" s="30"/>
      <c r="AX855" s="30"/>
      <c r="AY855" s="30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30"/>
      <c r="BK855" s="30"/>
      <c r="BL855" s="30"/>
      <c r="BM855" s="30"/>
      <c r="BN855" s="30"/>
      <c r="BO855" s="30"/>
      <c r="BP855" s="30"/>
      <c r="BQ855" s="30"/>
      <c r="BR855" s="30"/>
      <c r="BS855" s="30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30"/>
      <c r="CE855" s="30"/>
      <c r="CF855" s="30"/>
      <c r="CG855" s="30"/>
      <c r="CH855" s="30"/>
      <c r="CI855" s="30"/>
      <c r="CJ855" s="30"/>
      <c r="CK855" s="30"/>
      <c r="CL855" s="30"/>
      <c r="CM855" s="30"/>
      <c r="CN855" s="1"/>
      <c r="CO855" s="1"/>
      <c r="CP855" s="1"/>
      <c r="CQ855" s="1"/>
      <c r="CR855" s="1"/>
      <c r="CS855" s="1"/>
      <c r="CT855" s="1"/>
      <c r="CU855" s="1"/>
      <c r="CV855" s="1"/>
      <c r="CW855" s="1"/>
    </row>
    <row r="856" spans="2:101" ht="15" hidden="1" customHeight="1" x14ac:dyDescent="0.25"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30"/>
      <c r="W856" s="30"/>
      <c r="X856" s="30"/>
      <c r="Y856" s="30"/>
      <c r="Z856" s="30"/>
      <c r="AA856" s="30"/>
      <c r="AB856" s="30"/>
      <c r="AC856" s="30"/>
      <c r="AD856" s="30"/>
      <c r="AE856" s="30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30"/>
      <c r="AQ856" s="30"/>
      <c r="AR856" s="30"/>
      <c r="AS856" s="30"/>
      <c r="AT856" s="30"/>
      <c r="AU856" s="30"/>
      <c r="AV856" s="30"/>
      <c r="AW856" s="30"/>
      <c r="AX856" s="30"/>
      <c r="AY856" s="30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30"/>
      <c r="BK856" s="30"/>
      <c r="BL856" s="30"/>
      <c r="BM856" s="30"/>
      <c r="BN856" s="30"/>
      <c r="BO856" s="30"/>
      <c r="BP856" s="30"/>
      <c r="BQ856" s="30"/>
      <c r="BR856" s="30"/>
      <c r="BS856" s="30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30"/>
      <c r="CE856" s="30"/>
      <c r="CF856" s="30"/>
      <c r="CG856" s="30"/>
      <c r="CH856" s="30"/>
      <c r="CI856" s="30"/>
      <c r="CJ856" s="30"/>
      <c r="CK856" s="30"/>
      <c r="CL856" s="30"/>
      <c r="CM856" s="30"/>
      <c r="CN856" s="1"/>
      <c r="CO856" s="1"/>
      <c r="CP856" s="1"/>
      <c r="CQ856" s="1"/>
      <c r="CR856" s="1"/>
      <c r="CS856" s="1"/>
      <c r="CT856" s="1"/>
      <c r="CU856" s="1"/>
      <c r="CV856" s="1"/>
      <c r="CW856" s="1"/>
    </row>
    <row r="857" spans="2:101" ht="15" hidden="1" customHeight="1" x14ac:dyDescent="0.25"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30"/>
      <c r="W857" s="30"/>
      <c r="X857" s="30"/>
      <c r="Y857" s="30"/>
      <c r="Z857" s="30"/>
      <c r="AA857" s="30"/>
      <c r="AB857" s="30"/>
      <c r="AC857" s="30"/>
      <c r="AD857" s="30"/>
      <c r="AE857" s="30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30"/>
      <c r="AQ857" s="30"/>
      <c r="AR857" s="30"/>
      <c r="AS857" s="30"/>
      <c r="AT857" s="30"/>
      <c r="AU857" s="30"/>
      <c r="AV857" s="30"/>
      <c r="AW857" s="30"/>
      <c r="AX857" s="30"/>
      <c r="AY857" s="30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30"/>
      <c r="BK857" s="30"/>
      <c r="BL857" s="30"/>
      <c r="BM857" s="30"/>
      <c r="BN857" s="30"/>
      <c r="BO857" s="30"/>
      <c r="BP857" s="30"/>
      <c r="BQ857" s="30"/>
      <c r="BR857" s="30"/>
      <c r="BS857" s="30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30"/>
      <c r="CE857" s="30"/>
      <c r="CF857" s="30"/>
      <c r="CG857" s="30"/>
      <c r="CH857" s="30"/>
      <c r="CI857" s="30"/>
      <c r="CJ857" s="30"/>
      <c r="CK857" s="30"/>
      <c r="CL857" s="30"/>
      <c r="CM857" s="30"/>
      <c r="CN857" s="1"/>
      <c r="CO857" s="1"/>
      <c r="CP857" s="1"/>
      <c r="CQ857" s="1"/>
      <c r="CR857" s="1"/>
      <c r="CS857" s="1"/>
      <c r="CT857" s="1"/>
      <c r="CU857" s="1"/>
      <c r="CV857" s="1"/>
      <c r="CW857" s="1"/>
    </row>
    <row r="858" spans="2:101" ht="15" hidden="1" customHeight="1" x14ac:dyDescent="0.25"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30"/>
      <c r="W858" s="30"/>
      <c r="X858" s="30"/>
      <c r="Y858" s="30"/>
      <c r="Z858" s="30"/>
      <c r="AA858" s="30"/>
      <c r="AB858" s="30"/>
      <c r="AC858" s="30"/>
      <c r="AD858" s="30"/>
      <c r="AE858" s="30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30"/>
      <c r="AQ858" s="30"/>
      <c r="AR858" s="30"/>
      <c r="AS858" s="30"/>
      <c r="AT858" s="30"/>
      <c r="AU858" s="30"/>
      <c r="AV858" s="30"/>
      <c r="AW858" s="30"/>
      <c r="AX858" s="30"/>
      <c r="AY858" s="30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30"/>
      <c r="BK858" s="30"/>
      <c r="BL858" s="30"/>
      <c r="BM858" s="30"/>
      <c r="BN858" s="30"/>
      <c r="BO858" s="30"/>
      <c r="BP858" s="30"/>
      <c r="BQ858" s="30"/>
      <c r="BR858" s="30"/>
      <c r="BS858" s="30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30"/>
      <c r="CE858" s="30"/>
      <c r="CF858" s="30"/>
      <c r="CG858" s="30"/>
      <c r="CH858" s="30"/>
      <c r="CI858" s="30"/>
      <c r="CJ858" s="30"/>
      <c r="CK858" s="30"/>
      <c r="CL858" s="30"/>
      <c r="CM858" s="30"/>
      <c r="CN858" s="1"/>
      <c r="CO858" s="1"/>
      <c r="CP858" s="1"/>
      <c r="CQ858" s="1"/>
      <c r="CR858" s="1"/>
      <c r="CS858" s="1"/>
      <c r="CT858" s="1"/>
      <c r="CU858" s="1"/>
      <c r="CV858" s="1"/>
      <c r="CW858" s="1"/>
    </row>
    <row r="859" spans="2:101" ht="15" hidden="1" customHeight="1" x14ac:dyDescent="0.25"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30"/>
      <c r="W859" s="30"/>
      <c r="X859" s="30"/>
      <c r="Y859" s="30"/>
      <c r="Z859" s="30"/>
      <c r="AA859" s="30"/>
      <c r="AB859" s="30"/>
      <c r="AC859" s="30"/>
      <c r="AD859" s="30"/>
      <c r="AE859" s="30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30"/>
      <c r="AQ859" s="30"/>
      <c r="AR859" s="30"/>
      <c r="AS859" s="30"/>
      <c r="AT859" s="30"/>
      <c r="AU859" s="30"/>
      <c r="AV859" s="30"/>
      <c r="AW859" s="30"/>
      <c r="AX859" s="30"/>
      <c r="AY859" s="30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30"/>
      <c r="BK859" s="30"/>
      <c r="BL859" s="30"/>
      <c r="BM859" s="30"/>
      <c r="BN859" s="30"/>
      <c r="BO859" s="30"/>
      <c r="BP859" s="30"/>
      <c r="BQ859" s="30"/>
      <c r="BR859" s="30"/>
      <c r="BS859" s="30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30"/>
      <c r="CE859" s="30"/>
      <c r="CF859" s="30"/>
      <c r="CG859" s="30"/>
      <c r="CH859" s="30"/>
      <c r="CI859" s="30"/>
      <c r="CJ859" s="30"/>
      <c r="CK859" s="30"/>
      <c r="CL859" s="30"/>
      <c r="CM859" s="30"/>
      <c r="CN859" s="1"/>
      <c r="CO859" s="1"/>
      <c r="CP859" s="1"/>
      <c r="CQ859" s="1"/>
      <c r="CR859" s="1"/>
      <c r="CS859" s="1"/>
      <c r="CT859" s="1"/>
      <c r="CU859" s="1"/>
      <c r="CV859" s="1"/>
      <c r="CW859" s="1"/>
    </row>
    <row r="860" spans="2:101" ht="15" hidden="1" customHeight="1" x14ac:dyDescent="0.25"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30"/>
      <c r="W860" s="30"/>
      <c r="X860" s="30"/>
      <c r="Y860" s="30"/>
      <c r="Z860" s="30"/>
      <c r="AA860" s="30"/>
      <c r="AB860" s="30"/>
      <c r="AC860" s="30"/>
      <c r="AD860" s="30"/>
      <c r="AE860" s="30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30"/>
      <c r="AQ860" s="30"/>
      <c r="AR860" s="30"/>
      <c r="AS860" s="30"/>
      <c r="AT860" s="30"/>
      <c r="AU860" s="30"/>
      <c r="AV860" s="30"/>
      <c r="AW860" s="30"/>
      <c r="AX860" s="30"/>
      <c r="AY860" s="30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30"/>
      <c r="BK860" s="30"/>
      <c r="BL860" s="30"/>
      <c r="BM860" s="30"/>
      <c r="BN860" s="30"/>
      <c r="BO860" s="30"/>
      <c r="BP860" s="30"/>
      <c r="BQ860" s="30"/>
      <c r="BR860" s="30"/>
      <c r="BS860" s="30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30"/>
      <c r="CE860" s="30"/>
      <c r="CF860" s="30"/>
      <c r="CG860" s="30"/>
      <c r="CH860" s="30"/>
      <c r="CI860" s="30"/>
      <c r="CJ860" s="30"/>
      <c r="CK860" s="30"/>
      <c r="CL860" s="30"/>
      <c r="CM860" s="30"/>
      <c r="CN860" s="1"/>
      <c r="CO860" s="1"/>
      <c r="CP860" s="1"/>
      <c r="CQ860" s="1"/>
      <c r="CR860" s="1"/>
      <c r="CS860" s="1"/>
      <c r="CT860" s="1"/>
      <c r="CU860" s="1"/>
      <c r="CV860" s="1"/>
      <c r="CW860" s="1"/>
    </row>
    <row r="861" spans="2:101" ht="15" hidden="1" customHeight="1" x14ac:dyDescent="0.25"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30"/>
      <c r="W861" s="30"/>
      <c r="X861" s="30"/>
      <c r="Y861" s="30"/>
      <c r="Z861" s="30"/>
      <c r="AA861" s="30"/>
      <c r="AB861" s="30"/>
      <c r="AC861" s="30"/>
      <c r="AD861" s="30"/>
      <c r="AE861" s="30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30"/>
      <c r="AQ861" s="30"/>
      <c r="AR861" s="30"/>
      <c r="AS861" s="30"/>
      <c r="AT861" s="30"/>
      <c r="AU861" s="30"/>
      <c r="AV861" s="30"/>
      <c r="AW861" s="30"/>
      <c r="AX861" s="30"/>
      <c r="AY861" s="30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30"/>
      <c r="BK861" s="30"/>
      <c r="BL861" s="30"/>
      <c r="BM861" s="30"/>
      <c r="BN861" s="30"/>
      <c r="BO861" s="30"/>
      <c r="BP861" s="30"/>
      <c r="BQ861" s="30"/>
      <c r="BR861" s="30"/>
      <c r="BS861" s="30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30"/>
      <c r="CE861" s="30"/>
      <c r="CF861" s="30"/>
      <c r="CG861" s="30"/>
      <c r="CH861" s="30"/>
      <c r="CI861" s="30"/>
      <c r="CJ861" s="30"/>
      <c r="CK861" s="30"/>
      <c r="CL861" s="30"/>
      <c r="CM861" s="30"/>
      <c r="CN861" s="1"/>
      <c r="CO861" s="1"/>
      <c r="CP861" s="1"/>
      <c r="CQ861" s="1"/>
      <c r="CR861" s="1"/>
      <c r="CS861" s="1"/>
      <c r="CT861" s="1"/>
      <c r="CU861" s="1"/>
      <c r="CV861" s="1"/>
      <c r="CW861" s="1"/>
    </row>
    <row r="862" spans="2:101" ht="15" hidden="1" customHeight="1" x14ac:dyDescent="0.25"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30"/>
      <c r="W862" s="30"/>
      <c r="X862" s="30"/>
      <c r="Y862" s="30"/>
      <c r="Z862" s="30"/>
      <c r="AA862" s="30"/>
      <c r="AB862" s="30"/>
      <c r="AC862" s="30"/>
      <c r="AD862" s="30"/>
      <c r="AE862" s="30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30"/>
      <c r="AQ862" s="30"/>
      <c r="AR862" s="30"/>
      <c r="AS862" s="30"/>
      <c r="AT862" s="30"/>
      <c r="AU862" s="30"/>
      <c r="AV862" s="30"/>
      <c r="AW862" s="30"/>
      <c r="AX862" s="30"/>
      <c r="AY862" s="30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30"/>
      <c r="BK862" s="30"/>
      <c r="BL862" s="30"/>
      <c r="BM862" s="30"/>
      <c r="BN862" s="30"/>
      <c r="BO862" s="30"/>
      <c r="BP862" s="30"/>
      <c r="BQ862" s="30"/>
      <c r="BR862" s="30"/>
      <c r="BS862" s="30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30"/>
      <c r="CE862" s="30"/>
      <c r="CF862" s="30"/>
      <c r="CG862" s="30"/>
      <c r="CH862" s="30"/>
      <c r="CI862" s="30"/>
      <c r="CJ862" s="30"/>
      <c r="CK862" s="30"/>
      <c r="CL862" s="30"/>
      <c r="CM862" s="30"/>
      <c r="CN862" s="1"/>
      <c r="CO862" s="1"/>
      <c r="CP862" s="1"/>
      <c r="CQ862" s="1"/>
      <c r="CR862" s="1"/>
      <c r="CS862" s="1"/>
      <c r="CT862" s="1"/>
      <c r="CU862" s="1"/>
      <c r="CV862" s="1"/>
      <c r="CW862" s="1"/>
    </row>
    <row r="863" spans="2:101" ht="15" hidden="1" customHeight="1" x14ac:dyDescent="0.25"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30"/>
      <c r="W863" s="30"/>
      <c r="X863" s="30"/>
      <c r="Y863" s="30"/>
      <c r="Z863" s="30"/>
      <c r="AA863" s="30"/>
      <c r="AB863" s="30"/>
      <c r="AC863" s="30"/>
      <c r="AD863" s="30"/>
      <c r="AE863" s="30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30"/>
      <c r="AQ863" s="30"/>
      <c r="AR863" s="30"/>
      <c r="AS863" s="30"/>
      <c r="AT863" s="30"/>
      <c r="AU863" s="30"/>
      <c r="AV863" s="30"/>
      <c r="AW863" s="30"/>
      <c r="AX863" s="30"/>
      <c r="AY863" s="30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30"/>
      <c r="BK863" s="30"/>
      <c r="BL863" s="30"/>
      <c r="BM863" s="30"/>
      <c r="BN863" s="30"/>
      <c r="BO863" s="30"/>
      <c r="BP863" s="30"/>
      <c r="BQ863" s="30"/>
      <c r="BR863" s="30"/>
      <c r="BS863" s="30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30"/>
      <c r="CE863" s="30"/>
      <c r="CF863" s="30"/>
      <c r="CG863" s="30"/>
      <c r="CH863" s="30"/>
      <c r="CI863" s="30"/>
      <c r="CJ863" s="30"/>
      <c r="CK863" s="30"/>
      <c r="CL863" s="30"/>
      <c r="CM863" s="30"/>
      <c r="CN863" s="1"/>
      <c r="CO863" s="1"/>
      <c r="CP863" s="1"/>
      <c r="CQ863" s="1"/>
      <c r="CR863" s="1"/>
      <c r="CS863" s="1"/>
      <c r="CT863" s="1"/>
      <c r="CU863" s="1"/>
      <c r="CV863" s="1"/>
      <c r="CW863" s="1"/>
    </row>
    <row r="864" spans="2:101" ht="15" hidden="1" customHeight="1" x14ac:dyDescent="0.25"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30"/>
      <c r="W864" s="30"/>
      <c r="X864" s="30"/>
      <c r="Y864" s="30"/>
      <c r="Z864" s="30"/>
      <c r="AA864" s="30"/>
      <c r="AB864" s="30"/>
      <c r="AC864" s="30"/>
      <c r="AD864" s="30"/>
      <c r="AE864" s="30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30"/>
      <c r="AQ864" s="30"/>
      <c r="AR864" s="30"/>
      <c r="AS864" s="30"/>
      <c r="AT864" s="30"/>
      <c r="AU864" s="30"/>
      <c r="AV864" s="30"/>
      <c r="AW864" s="30"/>
      <c r="AX864" s="30"/>
      <c r="AY864" s="30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30"/>
      <c r="BK864" s="30"/>
      <c r="BL864" s="30"/>
      <c r="BM864" s="30"/>
      <c r="BN864" s="30"/>
      <c r="BO864" s="30"/>
      <c r="BP864" s="30"/>
      <c r="BQ864" s="30"/>
      <c r="BR864" s="30"/>
      <c r="BS864" s="30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30"/>
      <c r="CE864" s="30"/>
      <c r="CF864" s="30"/>
      <c r="CG864" s="30"/>
      <c r="CH864" s="30"/>
      <c r="CI864" s="30"/>
      <c r="CJ864" s="30"/>
      <c r="CK864" s="30"/>
      <c r="CL864" s="30"/>
      <c r="CM864" s="30"/>
      <c r="CN864" s="1"/>
      <c r="CO864" s="1"/>
      <c r="CP864" s="1"/>
      <c r="CQ864" s="1"/>
      <c r="CR864" s="1"/>
      <c r="CS864" s="1"/>
      <c r="CT864" s="1"/>
      <c r="CU864" s="1"/>
      <c r="CV864" s="1"/>
      <c r="CW864" s="1"/>
    </row>
    <row r="865" spans="2:101" ht="15" hidden="1" customHeight="1" x14ac:dyDescent="0.25"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30"/>
      <c r="W865" s="30"/>
      <c r="X865" s="30"/>
      <c r="Y865" s="30"/>
      <c r="Z865" s="30"/>
      <c r="AA865" s="30"/>
      <c r="AB865" s="30"/>
      <c r="AC865" s="30"/>
      <c r="AD865" s="30"/>
      <c r="AE865" s="30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30"/>
      <c r="AQ865" s="30"/>
      <c r="AR865" s="30"/>
      <c r="AS865" s="30"/>
      <c r="AT865" s="30"/>
      <c r="AU865" s="30"/>
      <c r="AV865" s="30"/>
      <c r="AW865" s="30"/>
      <c r="AX865" s="30"/>
      <c r="AY865" s="30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30"/>
      <c r="BK865" s="30"/>
      <c r="BL865" s="30"/>
      <c r="BM865" s="30"/>
      <c r="BN865" s="30"/>
      <c r="BO865" s="30"/>
      <c r="BP865" s="30"/>
      <c r="BQ865" s="30"/>
      <c r="BR865" s="30"/>
      <c r="BS865" s="30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30"/>
      <c r="CE865" s="30"/>
      <c r="CF865" s="30"/>
      <c r="CG865" s="30"/>
      <c r="CH865" s="30"/>
      <c r="CI865" s="30"/>
      <c r="CJ865" s="30"/>
      <c r="CK865" s="30"/>
      <c r="CL865" s="30"/>
      <c r="CM865" s="30"/>
      <c r="CN865" s="1"/>
      <c r="CO865" s="1"/>
      <c r="CP865" s="1"/>
      <c r="CQ865" s="1"/>
      <c r="CR865" s="1"/>
      <c r="CS865" s="1"/>
      <c r="CT865" s="1"/>
      <c r="CU865" s="1"/>
      <c r="CV865" s="1"/>
      <c r="CW865" s="1"/>
    </row>
    <row r="866" spans="2:101" ht="15" hidden="1" customHeight="1" x14ac:dyDescent="0.25"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30"/>
      <c r="W866" s="30"/>
      <c r="X866" s="30"/>
      <c r="Y866" s="30"/>
      <c r="Z866" s="30"/>
      <c r="AA866" s="30"/>
      <c r="AB866" s="30"/>
      <c r="AC866" s="30"/>
      <c r="AD866" s="30"/>
      <c r="AE866" s="30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30"/>
      <c r="AQ866" s="30"/>
      <c r="AR866" s="30"/>
      <c r="AS866" s="30"/>
      <c r="AT866" s="30"/>
      <c r="AU866" s="30"/>
      <c r="AV866" s="30"/>
      <c r="AW866" s="30"/>
      <c r="AX866" s="30"/>
      <c r="AY866" s="30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30"/>
      <c r="BK866" s="30"/>
      <c r="BL866" s="30"/>
      <c r="BM866" s="30"/>
      <c r="BN866" s="30"/>
      <c r="BO866" s="30"/>
      <c r="BP866" s="30"/>
      <c r="BQ866" s="30"/>
      <c r="BR866" s="30"/>
      <c r="BS866" s="30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30"/>
      <c r="CE866" s="30"/>
      <c r="CF866" s="30"/>
      <c r="CG866" s="30"/>
      <c r="CH866" s="30"/>
      <c r="CI866" s="30"/>
      <c r="CJ866" s="30"/>
      <c r="CK866" s="30"/>
      <c r="CL866" s="30"/>
      <c r="CM866" s="30"/>
      <c r="CN866" s="1"/>
      <c r="CO866" s="1"/>
      <c r="CP866" s="1"/>
      <c r="CQ866" s="1"/>
      <c r="CR866" s="1"/>
      <c r="CS866" s="1"/>
      <c r="CT866" s="1"/>
      <c r="CU866" s="1"/>
      <c r="CV866" s="1"/>
      <c r="CW866" s="1"/>
    </row>
    <row r="867" spans="2:101" ht="15" hidden="1" customHeight="1" x14ac:dyDescent="0.25"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30"/>
      <c r="W867" s="30"/>
      <c r="X867" s="30"/>
      <c r="Y867" s="30"/>
      <c r="Z867" s="30"/>
      <c r="AA867" s="30"/>
      <c r="AB867" s="30"/>
      <c r="AC867" s="30"/>
      <c r="AD867" s="30"/>
      <c r="AE867" s="30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30"/>
      <c r="AQ867" s="30"/>
      <c r="AR867" s="30"/>
      <c r="AS867" s="30"/>
      <c r="AT867" s="30"/>
      <c r="AU867" s="30"/>
      <c r="AV867" s="30"/>
      <c r="AW867" s="30"/>
      <c r="AX867" s="30"/>
      <c r="AY867" s="30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30"/>
      <c r="BK867" s="30"/>
      <c r="BL867" s="30"/>
      <c r="BM867" s="30"/>
      <c r="BN867" s="30"/>
      <c r="BO867" s="30"/>
      <c r="BP867" s="30"/>
      <c r="BQ867" s="30"/>
      <c r="BR867" s="30"/>
      <c r="BS867" s="30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30"/>
      <c r="CE867" s="30"/>
      <c r="CF867" s="30"/>
      <c r="CG867" s="30"/>
      <c r="CH867" s="30"/>
      <c r="CI867" s="30"/>
      <c r="CJ867" s="30"/>
      <c r="CK867" s="30"/>
      <c r="CL867" s="30"/>
      <c r="CM867" s="30"/>
      <c r="CN867" s="1"/>
      <c r="CO867" s="1"/>
      <c r="CP867" s="1"/>
      <c r="CQ867" s="1"/>
      <c r="CR867" s="1"/>
      <c r="CS867" s="1"/>
      <c r="CT867" s="1"/>
      <c r="CU867" s="1"/>
      <c r="CV867" s="1"/>
      <c r="CW867" s="1"/>
    </row>
    <row r="868" spans="2:101" ht="15" hidden="1" customHeight="1" x14ac:dyDescent="0.25"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30"/>
      <c r="W868" s="30"/>
      <c r="X868" s="30"/>
      <c r="Y868" s="30"/>
      <c r="Z868" s="30"/>
      <c r="AA868" s="30"/>
      <c r="AB868" s="30"/>
      <c r="AC868" s="30"/>
      <c r="AD868" s="30"/>
      <c r="AE868" s="30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30"/>
      <c r="AQ868" s="30"/>
      <c r="AR868" s="30"/>
      <c r="AS868" s="30"/>
      <c r="AT868" s="30"/>
      <c r="AU868" s="30"/>
      <c r="AV868" s="30"/>
      <c r="AW868" s="30"/>
      <c r="AX868" s="30"/>
      <c r="AY868" s="30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30"/>
      <c r="BK868" s="30"/>
      <c r="BL868" s="30"/>
      <c r="BM868" s="30"/>
      <c r="BN868" s="30"/>
      <c r="BO868" s="30"/>
      <c r="BP868" s="30"/>
      <c r="BQ868" s="30"/>
      <c r="BR868" s="30"/>
      <c r="BS868" s="30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30"/>
      <c r="CE868" s="30"/>
      <c r="CF868" s="30"/>
      <c r="CG868" s="30"/>
      <c r="CH868" s="30"/>
      <c r="CI868" s="30"/>
      <c r="CJ868" s="30"/>
      <c r="CK868" s="30"/>
      <c r="CL868" s="30"/>
      <c r="CM868" s="30"/>
      <c r="CN868" s="1"/>
      <c r="CO868" s="1"/>
      <c r="CP868" s="1"/>
      <c r="CQ868" s="1"/>
      <c r="CR868" s="1"/>
      <c r="CS868" s="1"/>
      <c r="CT868" s="1"/>
      <c r="CU868" s="1"/>
      <c r="CV868" s="1"/>
      <c r="CW868" s="1"/>
    </row>
    <row r="869" spans="2:101" ht="15" hidden="1" customHeight="1" x14ac:dyDescent="0.25"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30"/>
      <c r="W869" s="30"/>
      <c r="X869" s="30"/>
      <c r="Y869" s="30"/>
      <c r="Z869" s="30"/>
      <c r="AA869" s="30"/>
      <c r="AB869" s="30"/>
      <c r="AC869" s="30"/>
      <c r="AD869" s="30"/>
      <c r="AE869" s="30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30"/>
      <c r="AQ869" s="30"/>
      <c r="AR869" s="30"/>
      <c r="AS869" s="30"/>
      <c r="AT869" s="30"/>
      <c r="AU869" s="30"/>
      <c r="AV869" s="30"/>
      <c r="AW869" s="30"/>
      <c r="AX869" s="30"/>
      <c r="AY869" s="30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30"/>
      <c r="BK869" s="30"/>
      <c r="BL869" s="30"/>
      <c r="BM869" s="30"/>
      <c r="BN869" s="30"/>
      <c r="BO869" s="30"/>
      <c r="BP869" s="30"/>
      <c r="BQ869" s="30"/>
      <c r="BR869" s="30"/>
      <c r="BS869" s="30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30"/>
      <c r="CE869" s="30"/>
      <c r="CF869" s="30"/>
      <c r="CG869" s="30"/>
      <c r="CH869" s="30"/>
      <c r="CI869" s="30"/>
      <c r="CJ869" s="30"/>
      <c r="CK869" s="30"/>
      <c r="CL869" s="30"/>
      <c r="CM869" s="30"/>
      <c r="CN869" s="1"/>
      <c r="CO869" s="1"/>
      <c r="CP869" s="1"/>
      <c r="CQ869" s="1"/>
      <c r="CR869" s="1"/>
      <c r="CS869" s="1"/>
      <c r="CT869" s="1"/>
      <c r="CU869" s="1"/>
      <c r="CV869" s="1"/>
      <c r="CW869" s="1"/>
    </row>
    <row r="870" spans="2:101" ht="15" hidden="1" customHeight="1" x14ac:dyDescent="0.25"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30"/>
      <c r="W870" s="30"/>
      <c r="X870" s="30"/>
      <c r="Y870" s="30"/>
      <c r="Z870" s="30"/>
      <c r="AA870" s="30"/>
      <c r="AB870" s="30"/>
      <c r="AC870" s="30"/>
      <c r="AD870" s="30"/>
      <c r="AE870" s="30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30"/>
      <c r="AQ870" s="30"/>
      <c r="AR870" s="30"/>
      <c r="AS870" s="30"/>
      <c r="AT870" s="30"/>
      <c r="AU870" s="30"/>
      <c r="AV870" s="30"/>
      <c r="AW870" s="30"/>
      <c r="AX870" s="30"/>
      <c r="AY870" s="30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30"/>
      <c r="BK870" s="30"/>
      <c r="BL870" s="30"/>
      <c r="BM870" s="30"/>
      <c r="BN870" s="30"/>
      <c r="BO870" s="30"/>
      <c r="BP870" s="30"/>
      <c r="BQ870" s="30"/>
      <c r="BR870" s="30"/>
      <c r="BS870" s="30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30"/>
      <c r="CE870" s="30"/>
      <c r="CF870" s="30"/>
      <c r="CG870" s="30"/>
      <c r="CH870" s="30"/>
      <c r="CI870" s="30"/>
      <c r="CJ870" s="30"/>
      <c r="CK870" s="30"/>
      <c r="CL870" s="30"/>
      <c r="CM870" s="30"/>
      <c r="CN870" s="1"/>
      <c r="CO870" s="1"/>
      <c r="CP870" s="1"/>
      <c r="CQ870" s="1"/>
      <c r="CR870" s="1"/>
      <c r="CS870" s="1"/>
      <c r="CT870" s="1"/>
      <c r="CU870" s="1"/>
      <c r="CV870" s="1"/>
      <c r="CW870" s="1"/>
    </row>
    <row r="871" spans="2:101" ht="15" hidden="1" customHeight="1" x14ac:dyDescent="0.25"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30"/>
      <c r="W871" s="30"/>
      <c r="X871" s="30"/>
      <c r="Y871" s="30"/>
      <c r="Z871" s="30"/>
      <c r="AA871" s="30"/>
      <c r="AB871" s="30"/>
      <c r="AC871" s="30"/>
      <c r="AD871" s="30"/>
      <c r="AE871" s="30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30"/>
      <c r="AQ871" s="30"/>
      <c r="AR871" s="30"/>
      <c r="AS871" s="30"/>
      <c r="AT871" s="30"/>
      <c r="AU871" s="30"/>
      <c r="AV871" s="30"/>
      <c r="AW871" s="30"/>
      <c r="AX871" s="30"/>
      <c r="AY871" s="30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30"/>
      <c r="BK871" s="30"/>
      <c r="BL871" s="30"/>
      <c r="BM871" s="30"/>
      <c r="BN871" s="30"/>
      <c r="BO871" s="30"/>
      <c r="BP871" s="30"/>
      <c r="BQ871" s="30"/>
      <c r="BR871" s="30"/>
      <c r="BS871" s="30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30"/>
      <c r="CE871" s="30"/>
      <c r="CF871" s="30"/>
      <c r="CG871" s="30"/>
      <c r="CH871" s="30"/>
      <c r="CI871" s="30"/>
      <c r="CJ871" s="30"/>
      <c r="CK871" s="30"/>
      <c r="CL871" s="30"/>
      <c r="CM871" s="30"/>
      <c r="CN871" s="1"/>
      <c r="CO871" s="1"/>
      <c r="CP871" s="1"/>
      <c r="CQ871" s="1"/>
      <c r="CR871" s="1"/>
      <c r="CS871" s="1"/>
      <c r="CT871" s="1"/>
      <c r="CU871" s="1"/>
      <c r="CV871" s="1"/>
      <c r="CW871" s="1"/>
    </row>
    <row r="872" spans="2:101" ht="15" hidden="1" customHeight="1" x14ac:dyDescent="0.25"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30"/>
      <c r="W872" s="30"/>
      <c r="X872" s="30"/>
      <c r="Y872" s="30"/>
      <c r="Z872" s="30"/>
      <c r="AA872" s="30"/>
      <c r="AB872" s="30"/>
      <c r="AC872" s="30"/>
      <c r="AD872" s="30"/>
      <c r="AE872" s="30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30"/>
      <c r="AQ872" s="30"/>
      <c r="AR872" s="30"/>
      <c r="AS872" s="30"/>
      <c r="AT872" s="30"/>
      <c r="AU872" s="30"/>
      <c r="AV872" s="30"/>
      <c r="AW872" s="30"/>
      <c r="AX872" s="30"/>
      <c r="AY872" s="30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30"/>
      <c r="BK872" s="30"/>
      <c r="BL872" s="30"/>
      <c r="BM872" s="30"/>
      <c r="BN872" s="30"/>
      <c r="BO872" s="30"/>
      <c r="BP872" s="30"/>
      <c r="BQ872" s="30"/>
      <c r="BR872" s="30"/>
      <c r="BS872" s="30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30"/>
      <c r="CE872" s="30"/>
      <c r="CF872" s="30"/>
      <c r="CG872" s="30"/>
      <c r="CH872" s="30"/>
      <c r="CI872" s="30"/>
      <c r="CJ872" s="30"/>
      <c r="CK872" s="30"/>
      <c r="CL872" s="30"/>
      <c r="CM872" s="30"/>
      <c r="CN872" s="1"/>
      <c r="CO872" s="1"/>
      <c r="CP872" s="1"/>
      <c r="CQ872" s="1"/>
      <c r="CR872" s="1"/>
      <c r="CS872" s="1"/>
      <c r="CT872" s="1"/>
      <c r="CU872" s="1"/>
      <c r="CV872" s="1"/>
      <c r="CW872" s="1"/>
    </row>
    <row r="873" spans="2:101" ht="15" hidden="1" customHeight="1" x14ac:dyDescent="0.25"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30"/>
      <c r="W873" s="30"/>
      <c r="X873" s="30"/>
      <c r="Y873" s="30"/>
      <c r="Z873" s="30"/>
      <c r="AA873" s="30"/>
      <c r="AB873" s="30"/>
      <c r="AC873" s="30"/>
      <c r="AD873" s="30"/>
      <c r="AE873" s="30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30"/>
      <c r="AQ873" s="30"/>
      <c r="AR873" s="30"/>
      <c r="AS873" s="30"/>
      <c r="AT873" s="30"/>
      <c r="AU873" s="30"/>
      <c r="AV873" s="30"/>
      <c r="AW873" s="30"/>
      <c r="AX873" s="30"/>
      <c r="AY873" s="30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30"/>
      <c r="BK873" s="30"/>
      <c r="BL873" s="30"/>
      <c r="BM873" s="30"/>
      <c r="BN873" s="30"/>
      <c r="BO873" s="30"/>
      <c r="BP873" s="30"/>
      <c r="BQ873" s="30"/>
      <c r="BR873" s="30"/>
      <c r="BS873" s="30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30"/>
      <c r="CE873" s="30"/>
      <c r="CF873" s="30"/>
      <c r="CG873" s="30"/>
      <c r="CH873" s="30"/>
      <c r="CI873" s="30"/>
      <c r="CJ873" s="30"/>
      <c r="CK873" s="30"/>
      <c r="CL873" s="30"/>
      <c r="CM873" s="30"/>
      <c r="CN873" s="1"/>
      <c r="CO873" s="1"/>
      <c r="CP873" s="1"/>
      <c r="CQ873" s="1"/>
      <c r="CR873" s="1"/>
      <c r="CS873" s="1"/>
      <c r="CT873" s="1"/>
      <c r="CU873" s="1"/>
      <c r="CV873" s="1"/>
      <c r="CW873" s="1"/>
    </row>
    <row r="874" spans="2:101" ht="15" hidden="1" customHeight="1" x14ac:dyDescent="0.25"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30"/>
      <c r="W874" s="30"/>
      <c r="X874" s="30"/>
      <c r="Y874" s="30"/>
      <c r="Z874" s="30"/>
      <c r="AA874" s="30"/>
      <c r="AB874" s="30"/>
      <c r="AC874" s="30"/>
      <c r="AD874" s="30"/>
      <c r="AE874" s="30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30"/>
      <c r="AQ874" s="30"/>
      <c r="AR874" s="30"/>
      <c r="AS874" s="30"/>
      <c r="AT874" s="30"/>
      <c r="AU874" s="30"/>
      <c r="AV874" s="30"/>
      <c r="AW874" s="30"/>
      <c r="AX874" s="30"/>
      <c r="AY874" s="30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30"/>
      <c r="BK874" s="30"/>
      <c r="BL874" s="30"/>
      <c r="BM874" s="30"/>
      <c r="BN874" s="30"/>
      <c r="BO874" s="30"/>
      <c r="BP874" s="30"/>
      <c r="BQ874" s="30"/>
      <c r="BR874" s="30"/>
      <c r="BS874" s="30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30"/>
      <c r="CE874" s="30"/>
      <c r="CF874" s="30"/>
      <c r="CG874" s="30"/>
      <c r="CH874" s="30"/>
      <c r="CI874" s="30"/>
      <c r="CJ874" s="30"/>
      <c r="CK874" s="30"/>
      <c r="CL874" s="30"/>
      <c r="CM874" s="30"/>
      <c r="CN874" s="1"/>
      <c r="CO874" s="1"/>
      <c r="CP874" s="1"/>
      <c r="CQ874" s="1"/>
      <c r="CR874" s="1"/>
      <c r="CS874" s="1"/>
      <c r="CT874" s="1"/>
      <c r="CU874" s="1"/>
      <c r="CV874" s="1"/>
      <c r="CW874" s="1"/>
    </row>
    <row r="875" spans="2:101" ht="15" hidden="1" customHeight="1" x14ac:dyDescent="0.25"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30"/>
      <c r="W875" s="30"/>
      <c r="X875" s="30"/>
      <c r="Y875" s="30"/>
      <c r="Z875" s="30"/>
      <c r="AA875" s="30"/>
      <c r="AB875" s="30"/>
      <c r="AC875" s="30"/>
      <c r="AD875" s="30"/>
      <c r="AE875" s="30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30"/>
      <c r="AQ875" s="30"/>
      <c r="AR875" s="30"/>
      <c r="AS875" s="30"/>
      <c r="AT875" s="30"/>
      <c r="AU875" s="30"/>
      <c r="AV875" s="30"/>
      <c r="AW875" s="30"/>
      <c r="AX875" s="30"/>
      <c r="AY875" s="30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30"/>
      <c r="BK875" s="30"/>
      <c r="BL875" s="30"/>
      <c r="BM875" s="30"/>
      <c r="BN875" s="30"/>
      <c r="BO875" s="30"/>
      <c r="BP875" s="30"/>
      <c r="BQ875" s="30"/>
      <c r="BR875" s="30"/>
      <c r="BS875" s="30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30"/>
      <c r="CE875" s="30"/>
      <c r="CF875" s="30"/>
      <c r="CG875" s="30"/>
      <c r="CH875" s="30"/>
      <c r="CI875" s="30"/>
      <c r="CJ875" s="30"/>
      <c r="CK875" s="30"/>
      <c r="CL875" s="30"/>
      <c r="CM875" s="30"/>
      <c r="CN875" s="1"/>
      <c r="CO875" s="1"/>
      <c r="CP875" s="1"/>
      <c r="CQ875" s="1"/>
      <c r="CR875" s="1"/>
      <c r="CS875" s="1"/>
      <c r="CT875" s="1"/>
      <c r="CU875" s="1"/>
      <c r="CV875" s="1"/>
      <c r="CW875" s="1"/>
    </row>
    <row r="876" spans="2:101" ht="15" hidden="1" customHeight="1" x14ac:dyDescent="0.25"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30"/>
      <c r="W876" s="30"/>
      <c r="X876" s="30"/>
      <c r="Y876" s="30"/>
      <c r="Z876" s="30"/>
      <c r="AA876" s="30"/>
      <c r="AB876" s="30"/>
      <c r="AC876" s="30"/>
      <c r="AD876" s="30"/>
      <c r="AE876" s="30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30"/>
      <c r="AQ876" s="30"/>
      <c r="AR876" s="30"/>
      <c r="AS876" s="30"/>
      <c r="AT876" s="30"/>
      <c r="AU876" s="30"/>
      <c r="AV876" s="30"/>
      <c r="AW876" s="30"/>
      <c r="AX876" s="30"/>
      <c r="AY876" s="30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30"/>
      <c r="BK876" s="30"/>
      <c r="BL876" s="30"/>
      <c r="BM876" s="30"/>
      <c r="BN876" s="30"/>
      <c r="BO876" s="30"/>
      <c r="BP876" s="30"/>
      <c r="BQ876" s="30"/>
      <c r="BR876" s="30"/>
      <c r="BS876" s="30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30"/>
      <c r="CE876" s="30"/>
      <c r="CF876" s="30"/>
      <c r="CG876" s="30"/>
      <c r="CH876" s="30"/>
      <c r="CI876" s="30"/>
      <c r="CJ876" s="30"/>
      <c r="CK876" s="30"/>
      <c r="CL876" s="30"/>
      <c r="CM876" s="30"/>
      <c r="CN876" s="1"/>
      <c r="CO876" s="1"/>
      <c r="CP876" s="1"/>
      <c r="CQ876" s="1"/>
      <c r="CR876" s="1"/>
      <c r="CS876" s="1"/>
      <c r="CT876" s="1"/>
      <c r="CU876" s="1"/>
      <c r="CV876" s="1"/>
      <c r="CW876" s="1"/>
    </row>
    <row r="877" spans="2:101" ht="15" hidden="1" customHeight="1" x14ac:dyDescent="0.25"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30"/>
      <c r="W877" s="30"/>
      <c r="X877" s="30"/>
      <c r="Y877" s="30"/>
      <c r="Z877" s="30"/>
      <c r="AA877" s="30"/>
      <c r="AB877" s="30"/>
      <c r="AC877" s="30"/>
      <c r="AD877" s="30"/>
      <c r="AE877" s="30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30"/>
      <c r="AQ877" s="30"/>
      <c r="AR877" s="30"/>
      <c r="AS877" s="30"/>
      <c r="AT877" s="30"/>
      <c r="AU877" s="30"/>
      <c r="AV877" s="30"/>
      <c r="AW877" s="30"/>
      <c r="AX877" s="30"/>
      <c r="AY877" s="30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30"/>
      <c r="BK877" s="30"/>
      <c r="BL877" s="30"/>
      <c r="BM877" s="30"/>
      <c r="BN877" s="30"/>
      <c r="BO877" s="30"/>
      <c r="BP877" s="30"/>
      <c r="BQ877" s="30"/>
      <c r="BR877" s="30"/>
      <c r="BS877" s="30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30"/>
      <c r="CE877" s="30"/>
      <c r="CF877" s="30"/>
      <c r="CG877" s="30"/>
      <c r="CH877" s="30"/>
      <c r="CI877" s="30"/>
      <c r="CJ877" s="30"/>
      <c r="CK877" s="30"/>
      <c r="CL877" s="30"/>
      <c r="CM877" s="30"/>
      <c r="CN877" s="1"/>
      <c r="CO877" s="1"/>
      <c r="CP877" s="1"/>
      <c r="CQ877" s="1"/>
      <c r="CR877" s="1"/>
      <c r="CS877" s="1"/>
      <c r="CT877" s="1"/>
      <c r="CU877" s="1"/>
      <c r="CV877" s="1"/>
      <c r="CW877" s="1"/>
    </row>
    <row r="878" spans="2:101" ht="15" hidden="1" customHeight="1" x14ac:dyDescent="0.25"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30"/>
      <c r="W878" s="30"/>
      <c r="X878" s="30"/>
      <c r="Y878" s="30"/>
      <c r="Z878" s="30"/>
      <c r="AA878" s="30"/>
      <c r="AB878" s="30"/>
      <c r="AC878" s="30"/>
      <c r="AD878" s="30"/>
      <c r="AE878" s="30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30"/>
      <c r="AQ878" s="30"/>
      <c r="AR878" s="30"/>
      <c r="AS878" s="30"/>
      <c r="AT878" s="30"/>
      <c r="AU878" s="30"/>
      <c r="AV878" s="30"/>
      <c r="AW878" s="30"/>
      <c r="AX878" s="30"/>
      <c r="AY878" s="30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30"/>
      <c r="BK878" s="30"/>
      <c r="BL878" s="30"/>
      <c r="BM878" s="30"/>
      <c r="BN878" s="30"/>
      <c r="BO878" s="30"/>
      <c r="BP878" s="30"/>
      <c r="BQ878" s="30"/>
      <c r="BR878" s="30"/>
      <c r="BS878" s="30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30"/>
      <c r="CE878" s="30"/>
      <c r="CF878" s="30"/>
      <c r="CG878" s="30"/>
      <c r="CH878" s="30"/>
      <c r="CI878" s="30"/>
      <c r="CJ878" s="30"/>
      <c r="CK878" s="30"/>
      <c r="CL878" s="30"/>
      <c r="CM878" s="30"/>
      <c r="CN878" s="1"/>
      <c r="CO878" s="1"/>
      <c r="CP878" s="1"/>
      <c r="CQ878" s="1"/>
      <c r="CR878" s="1"/>
      <c r="CS878" s="1"/>
      <c r="CT878" s="1"/>
      <c r="CU878" s="1"/>
      <c r="CV878" s="1"/>
      <c r="CW878" s="1"/>
    </row>
    <row r="879" spans="2:101" ht="15" hidden="1" customHeight="1" x14ac:dyDescent="0.25"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30"/>
      <c r="W879" s="30"/>
      <c r="X879" s="30"/>
      <c r="Y879" s="30"/>
      <c r="Z879" s="30"/>
      <c r="AA879" s="30"/>
      <c r="AB879" s="30"/>
      <c r="AC879" s="30"/>
      <c r="AD879" s="30"/>
      <c r="AE879" s="30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30"/>
      <c r="AQ879" s="30"/>
      <c r="AR879" s="30"/>
      <c r="AS879" s="30"/>
      <c r="AT879" s="30"/>
      <c r="AU879" s="30"/>
      <c r="AV879" s="30"/>
      <c r="AW879" s="30"/>
      <c r="AX879" s="30"/>
      <c r="AY879" s="30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30"/>
      <c r="BK879" s="30"/>
      <c r="BL879" s="30"/>
      <c r="BM879" s="30"/>
      <c r="BN879" s="30"/>
      <c r="BO879" s="30"/>
      <c r="BP879" s="30"/>
      <c r="BQ879" s="30"/>
      <c r="BR879" s="30"/>
      <c r="BS879" s="30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30"/>
      <c r="CE879" s="30"/>
      <c r="CF879" s="30"/>
      <c r="CG879" s="30"/>
      <c r="CH879" s="30"/>
      <c r="CI879" s="30"/>
      <c r="CJ879" s="30"/>
      <c r="CK879" s="30"/>
      <c r="CL879" s="30"/>
      <c r="CM879" s="30"/>
      <c r="CN879" s="1"/>
      <c r="CO879" s="1"/>
      <c r="CP879" s="1"/>
      <c r="CQ879" s="1"/>
      <c r="CR879" s="1"/>
      <c r="CS879" s="1"/>
      <c r="CT879" s="1"/>
      <c r="CU879" s="1"/>
      <c r="CV879" s="1"/>
      <c r="CW879" s="1"/>
    </row>
    <row r="880" spans="2:101" ht="15" hidden="1" customHeight="1" x14ac:dyDescent="0.25"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30"/>
      <c r="W880" s="30"/>
      <c r="X880" s="30"/>
      <c r="Y880" s="30"/>
      <c r="Z880" s="30"/>
      <c r="AA880" s="30"/>
      <c r="AB880" s="30"/>
      <c r="AC880" s="30"/>
      <c r="AD880" s="30"/>
      <c r="AE880" s="30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30"/>
      <c r="AQ880" s="30"/>
      <c r="AR880" s="30"/>
      <c r="AS880" s="30"/>
      <c r="AT880" s="30"/>
      <c r="AU880" s="30"/>
      <c r="AV880" s="30"/>
      <c r="AW880" s="30"/>
      <c r="AX880" s="30"/>
      <c r="AY880" s="30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30"/>
      <c r="BK880" s="30"/>
      <c r="BL880" s="30"/>
      <c r="BM880" s="30"/>
      <c r="BN880" s="30"/>
      <c r="BO880" s="30"/>
      <c r="BP880" s="30"/>
      <c r="BQ880" s="30"/>
      <c r="BR880" s="30"/>
      <c r="BS880" s="30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30"/>
      <c r="CE880" s="30"/>
      <c r="CF880" s="30"/>
      <c r="CG880" s="30"/>
      <c r="CH880" s="30"/>
      <c r="CI880" s="30"/>
      <c r="CJ880" s="30"/>
      <c r="CK880" s="30"/>
      <c r="CL880" s="30"/>
      <c r="CM880" s="30"/>
      <c r="CN880" s="1"/>
      <c r="CO880" s="1"/>
      <c r="CP880" s="1"/>
      <c r="CQ880" s="1"/>
      <c r="CR880" s="1"/>
      <c r="CS880" s="1"/>
      <c r="CT880" s="1"/>
      <c r="CU880" s="1"/>
      <c r="CV880" s="1"/>
      <c r="CW880" s="1"/>
    </row>
    <row r="881" spans="2:101" ht="15" hidden="1" customHeight="1" x14ac:dyDescent="0.25"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30"/>
      <c r="W881" s="30"/>
      <c r="X881" s="30"/>
      <c r="Y881" s="30"/>
      <c r="Z881" s="30"/>
      <c r="AA881" s="30"/>
      <c r="AB881" s="30"/>
      <c r="AC881" s="30"/>
      <c r="AD881" s="30"/>
      <c r="AE881" s="30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30"/>
      <c r="AQ881" s="30"/>
      <c r="AR881" s="30"/>
      <c r="AS881" s="30"/>
      <c r="AT881" s="30"/>
      <c r="AU881" s="30"/>
      <c r="AV881" s="30"/>
      <c r="AW881" s="30"/>
      <c r="AX881" s="30"/>
      <c r="AY881" s="30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30"/>
      <c r="BK881" s="30"/>
      <c r="BL881" s="30"/>
      <c r="BM881" s="30"/>
      <c r="BN881" s="30"/>
      <c r="BO881" s="30"/>
      <c r="BP881" s="30"/>
      <c r="BQ881" s="30"/>
      <c r="BR881" s="30"/>
      <c r="BS881" s="30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30"/>
      <c r="CE881" s="30"/>
      <c r="CF881" s="30"/>
      <c r="CG881" s="30"/>
      <c r="CH881" s="30"/>
      <c r="CI881" s="30"/>
      <c r="CJ881" s="30"/>
      <c r="CK881" s="30"/>
      <c r="CL881" s="30"/>
      <c r="CM881" s="30"/>
      <c r="CN881" s="1"/>
      <c r="CO881" s="1"/>
      <c r="CP881" s="1"/>
      <c r="CQ881" s="1"/>
      <c r="CR881" s="1"/>
      <c r="CS881" s="1"/>
      <c r="CT881" s="1"/>
      <c r="CU881" s="1"/>
      <c r="CV881" s="1"/>
      <c r="CW881" s="1"/>
    </row>
    <row r="882" spans="2:101" ht="15" hidden="1" customHeight="1" x14ac:dyDescent="0.25"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30"/>
      <c r="W882" s="30"/>
      <c r="X882" s="30"/>
      <c r="Y882" s="30"/>
      <c r="Z882" s="30"/>
      <c r="AA882" s="30"/>
      <c r="AB882" s="30"/>
      <c r="AC882" s="30"/>
      <c r="AD882" s="30"/>
      <c r="AE882" s="30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30"/>
      <c r="AQ882" s="30"/>
      <c r="AR882" s="30"/>
      <c r="AS882" s="30"/>
      <c r="AT882" s="30"/>
      <c r="AU882" s="30"/>
      <c r="AV882" s="30"/>
      <c r="AW882" s="30"/>
      <c r="AX882" s="30"/>
      <c r="AY882" s="30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30"/>
      <c r="BK882" s="30"/>
      <c r="BL882" s="30"/>
      <c r="BM882" s="30"/>
      <c r="BN882" s="30"/>
      <c r="BO882" s="30"/>
      <c r="BP882" s="30"/>
      <c r="BQ882" s="30"/>
      <c r="BR882" s="30"/>
      <c r="BS882" s="30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30"/>
      <c r="CE882" s="30"/>
      <c r="CF882" s="30"/>
      <c r="CG882" s="30"/>
      <c r="CH882" s="30"/>
      <c r="CI882" s="30"/>
      <c r="CJ882" s="30"/>
      <c r="CK882" s="30"/>
      <c r="CL882" s="30"/>
      <c r="CM882" s="30"/>
      <c r="CN882" s="1"/>
      <c r="CO882" s="1"/>
      <c r="CP882" s="1"/>
      <c r="CQ882" s="1"/>
      <c r="CR882" s="1"/>
      <c r="CS882" s="1"/>
      <c r="CT882" s="1"/>
      <c r="CU882" s="1"/>
      <c r="CV882" s="1"/>
      <c r="CW882" s="1"/>
    </row>
    <row r="883" spans="2:101" ht="15" hidden="1" customHeight="1" x14ac:dyDescent="0.25"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30"/>
      <c r="W883" s="30"/>
      <c r="X883" s="30"/>
      <c r="Y883" s="30"/>
      <c r="Z883" s="30"/>
      <c r="AA883" s="30"/>
      <c r="AB883" s="30"/>
      <c r="AC883" s="30"/>
      <c r="AD883" s="30"/>
      <c r="AE883" s="30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30"/>
      <c r="AQ883" s="30"/>
      <c r="AR883" s="30"/>
      <c r="AS883" s="30"/>
      <c r="AT883" s="30"/>
      <c r="AU883" s="30"/>
      <c r="AV883" s="30"/>
      <c r="AW883" s="30"/>
      <c r="AX883" s="30"/>
      <c r="AY883" s="30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30"/>
      <c r="BK883" s="30"/>
      <c r="BL883" s="30"/>
      <c r="BM883" s="30"/>
      <c r="BN883" s="30"/>
      <c r="BO883" s="30"/>
      <c r="BP883" s="30"/>
      <c r="BQ883" s="30"/>
      <c r="BR883" s="30"/>
      <c r="BS883" s="30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30"/>
      <c r="CE883" s="30"/>
      <c r="CF883" s="30"/>
      <c r="CG883" s="30"/>
      <c r="CH883" s="30"/>
      <c r="CI883" s="30"/>
      <c r="CJ883" s="30"/>
      <c r="CK883" s="30"/>
      <c r="CL883" s="30"/>
      <c r="CM883" s="30"/>
      <c r="CN883" s="1"/>
      <c r="CO883" s="1"/>
      <c r="CP883" s="1"/>
      <c r="CQ883" s="1"/>
      <c r="CR883" s="1"/>
      <c r="CS883" s="1"/>
      <c r="CT883" s="1"/>
      <c r="CU883" s="1"/>
      <c r="CV883" s="1"/>
      <c r="CW883" s="1"/>
    </row>
    <row r="884" spans="2:101" ht="15" hidden="1" customHeight="1" x14ac:dyDescent="0.25"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30"/>
      <c r="W884" s="30"/>
      <c r="X884" s="30"/>
      <c r="Y884" s="30"/>
      <c r="Z884" s="30"/>
      <c r="AA884" s="30"/>
      <c r="AB884" s="30"/>
      <c r="AC884" s="30"/>
      <c r="AD884" s="30"/>
      <c r="AE884" s="30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30"/>
      <c r="AQ884" s="30"/>
      <c r="AR884" s="30"/>
      <c r="AS884" s="30"/>
      <c r="AT884" s="30"/>
      <c r="AU884" s="30"/>
      <c r="AV884" s="30"/>
      <c r="AW884" s="30"/>
      <c r="AX884" s="30"/>
      <c r="AY884" s="30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30"/>
      <c r="BK884" s="30"/>
      <c r="BL884" s="30"/>
      <c r="BM884" s="30"/>
      <c r="BN884" s="30"/>
      <c r="BO884" s="30"/>
      <c r="BP884" s="30"/>
      <c r="BQ884" s="30"/>
      <c r="BR884" s="30"/>
      <c r="BS884" s="30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30"/>
      <c r="CE884" s="30"/>
      <c r="CF884" s="30"/>
      <c r="CG884" s="30"/>
      <c r="CH884" s="30"/>
      <c r="CI884" s="30"/>
      <c r="CJ884" s="30"/>
      <c r="CK884" s="30"/>
      <c r="CL884" s="30"/>
      <c r="CM884" s="30"/>
      <c r="CN884" s="1"/>
      <c r="CO884" s="1"/>
      <c r="CP884" s="1"/>
      <c r="CQ884" s="1"/>
      <c r="CR884" s="1"/>
      <c r="CS884" s="1"/>
      <c r="CT884" s="1"/>
      <c r="CU884" s="1"/>
      <c r="CV884" s="1"/>
      <c r="CW884" s="1"/>
    </row>
    <row r="885" spans="2:101" ht="15" hidden="1" customHeight="1" x14ac:dyDescent="0.25"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30"/>
      <c r="W885" s="30"/>
      <c r="X885" s="30"/>
      <c r="Y885" s="30"/>
      <c r="Z885" s="30"/>
      <c r="AA885" s="30"/>
      <c r="AB885" s="30"/>
      <c r="AC885" s="30"/>
      <c r="AD885" s="30"/>
      <c r="AE885" s="30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30"/>
      <c r="AQ885" s="30"/>
      <c r="AR885" s="30"/>
      <c r="AS885" s="30"/>
      <c r="AT885" s="30"/>
      <c r="AU885" s="30"/>
      <c r="AV885" s="30"/>
      <c r="AW885" s="30"/>
      <c r="AX885" s="30"/>
      <c r="AY885" s="30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30"/>
      <c r="BK885" s="30"/>
      <c r="BL885" s="30"/>
      <c r="BM885" s="30"/>
      <c r="BN885" s="30"/>
      <c r="BO885" s="30"/>
      <c r="BP885" s="30"/>
      <c r="BQ885" s="30"/>
      <c r="BR885" s="30"/>
      <c r="BS885" s="30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30"/>
      <c r="CE885" s="30"/>
      <c r="CF885" s="30"/>
      <c r="CG885" s="30"/>
      <c r="CH885" s="30"/>
      <c r="CI885" s="30"/>
      <c r="CJ885" s="30"/>
      <c r="CK885" s="30"/>
      <c r="CL885" s="30"/>
      <c r="CM885" s="30"/>
      <c r="CN885" s="1"/>
      <c r="CO885" s="1"/>
      <c r="CP885" s="1"/>
      <c r="CQ885" s="1"/>
      <c r="CR885" s="1"/>
      <c r="CS885" s="1"/>
      <c r="CT885" s="1"/>
      <c r="CU885" s="1"/>
      <c r="CV885" s="1"/>
      <c r="CW885" s="1"/>
    </row>
    <row r="886" spans="2:101" ht="15" hidden="1" customHeight="1" x14ac:dyDescent="0.25"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30"/>
      <c r="W886" s="30"/>
      <c r="X886" s="30"/>
      <c r="Y886" s="30"/>
      <c r="Z886" s="30"/>
      <c r="AA886" s="30"/>
      <c r="AB886" s="30"/>
      <c r="AC886" s="30"/>
      <c r="AD886" s="30"/>
      <c r="AE886" s="30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30"/>
      <c r="AQ886" s="30"/>
      <c r="AR886" s="30"/>
      <c r="AS886" s="30"/>
      <c r="AT886" s="30"/>
      <c r="AU886" s="30"/>
      <c r="AV886" s="30"/>
      <c r="AW886" s="30"/>
      <c r="AX886" s="30"/>
      <c r="AY886" s="30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30"/>
      <c r="BK886" s="30"/>
      <c r="BL886" s="30"/>
      <c r="BM886" s="30"/>
      <c r="BN886" s="30"/>
      <c r="BO886" s="30"/>
      <c r="BP886" s="30"/>
      <c r="BQ886" s="30"/>
      <c r="BR886" s="30"/>
      <c r="BS886" s="30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30"/>
      <c r="CE886" s="30"/>
      <c r="CF886" s="30"/>
      <c r="CG886" s="30"/>
      <c r="CH886" s="30"/>
      <c r="CI886" s="30"/>
      <c r="CJ886" s="30"/>
      <c r="CK886" s="30"/>
      <c r="CL886" s="30"/>
      <c r="CM886" s="30"/>
      <c r="CN886" s="1"/>
      <c r="CO886" s="1"/>
      <c r="CP886" s="1"/>
      <c r="CQ886" s="1"/>
      <c r="CR886" s="1"/>
      <c r="CS886" s="1"/>
      <c r="CT886" s="1"/>
      <c r="CU886" s="1"/>
      <c r="CV886" s="1"/>
      <c r="CW886" s="1"/>
    </row>
    <row r="887" spans="2:101" ht="15" hidden="1" customHeight="1" x14ac:dyDescent="0.25"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30"/>
      <c r="W887" s="30"/>
      <c r="X887" s="30"/>
      <c r="Y887" s="30"/>
      <c r="Z887" s="30"/>
      <c r="AA887" s="30"/>
      <c r="AB887" s="30"/>
      <c r="AC887" s="30"/>
      <c r="AD887" s="30"/>
      <c r="AE887" s="30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30"/>
      <c r="AQ887" s="30"/>
      <c r="AR887" s="30"/>
      <c r="AS887" s="30"/>
      <c r="AT887" s="30"/>
      <c r="AU887" s="30"/>
      <c r="AV887" s="30"/>
      <c r="AW887" s="30"/>
      <c r="AX887" s="30"/>
      <c r="AY887" s="30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30"/>
      <c r="BK887" s="30"/>
      <c r="BL887" s="30"/>
      <c r="BM887" s="30"/>
      <c r="BN887" s="30"/>
      <c r="BO887" s="30"/>
      <c r="BP887" s="30"/>
      <c r="BQ887" s="30"/>
      <c r="BR887" s="30"/>
      <c r="BS887" s="30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30"/>
      <c r="CE887" s="30"/>
      <c r="CF887" s="30"/>
      <c r="CG887" s="30"/>
      <c r="CH887" s="30"/>
      <c r="CI887" s="30"/>
      <c r="CJ887" s="30"/>
      <c r="CK887" s="30"/>
      <c r="CL887" s="30"/>
      <c r="CM887" s="30"/>
      <c r="CN887" s="1"/>
      <c r="CO887" s="1"/>
      <c r="CP887" s="1"/>
      <c r="CQ887" s="1"/>
      <c r="CR887" s="1"/>
      <c r="CS887" s="1"/>
      <c r="CT887" s="1"/>
      <c r="CU887" s="1"/>
      <c r="CV887" s="1"/>
      <c r="CW887" s="1"/>
    </row>
    <row r="888" spans="2:101" ht="15" hidden="1" customHeight="1" x14ac:dyDescent="0.25"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30"/>
      <c r="W888" s="30"/>
      <c r="X888" s="30"/>
      <c r="Y888" s="30"/>
      <c r="Z888" s="30"/>
      <c r="AA888" s="30"/>
      <c r="AB888" s="30"/>
      <c r="AC888" s="30"/>
      <c r="AD888" s="30"/>
      <c r="AE888" s="30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30"/>
      <c r="AQ888" s="30"/>
      <c r="AR888" s="30"/>
      <c r="AS888" s="30"/>
      <c r="AT888" s="30"/>
      <c r="AU888" s="30"/>
      <c r="AV888" s="30"/>
      <c r="AW888" s="30"/>
      <c r="AX888" s="30"/>
      <c r="AY888" s="30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30"/>
      <c r="BK888" s="30"/>
      <c r="BL888" s="30"/>
      <c r="BM888" s="30"/>
      <c r="BN888" s="30"/>
      <c r="BO888" s="30"/>
      <c r="BP888" s="30"/>
      <c r="BQ888" s="30"/>
      <c r="BR888" s="30"/>
      <c r="BS888" s="30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30"/>
      <c r="CE888" s="30"/>
      <c r="CF888" s="30"/>
      <c r="CG888" s="30"/>
      <c r="CH888" s="30"/>
      <c r="CI888" s="30"/>
      <c r="CJ888" s="30"/>
      <c r="CK888" s="30"/>
      <c r="CL888" s="30"/>
      <c r="CM888" s="30"/>
      <c r="CN888" s="1"/>
      <c r="CO888" s="1"/>
      <c r="CP888" s="1"/>
      <c r="CQ888" s="1"/>
      <c r="CR888" s="1"/>
      <c r="CS888" s="1"/>
      <c r="CT888" s="1"/>
      <c r="CU888" s="1"/>
      <c r="CV888" s="1"/>
      <c r="CW888" s="1"/>
    </row>
    <row r="889" spans="2:101" ht="15" hidden="1" customHeight="1" x14ac:dyDescent="0.25"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30"/>
      <c r="W889" s="30"/>
      <c r="X889" s="30"/>
      <c r="Y889" s="30"/>
      <c r="Z889" s="30"/>
      <c r="AA889" s="30"/>
      <c r="AB889" s="30"/>
      <c r="AC889" s="30"/>
      <c r="AD889" s="30"/>
      <c r="AE889" s="30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30"/>
      <c r="AQ889" s="30"/>
      <c r="AR889" s="30"/>
      <c r="AS889" s="30"/>
      <c r="AT889" s="30"/>
      <c r="AU889" s="30"/>
      <c r="AV889" s="30"/>
      <c r="AW889" s="30"/>
      <c r="AX889" s="30"/>
      <c r="AY889" s="30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30"/>
      <c r="BK889" s="30"/>
      <c r="BL889" s="30"/>
      <c r="BM889" s="30"/>
      <c r="BN889" s="30"/>
      <c r="BO889" s="30"/>
      <c r="BP889" s="30"/>
      <c r="BQ889" s="30"/>
      <c r="BR889" s="30"/>
      <c r="BS889" s="30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30"/>
      <c r="CE889" s="30"/>
      <c r="CF889" s="30"/>
      <c r="CG889" s="30"/>
      <c r="CH889" s="30"/>
      <c r="CI889" s="30"/>
      <c r="CJ889" s="30"/>
      <c r="CK889" s="30"/>
      <c r="CL889" s="30"/>
      <c r="CM889" s="30"/>
      <c r="CN889" s="1"/>
      <c r="CO889" s="1"/>
      <c r="CP889" s="1"/>
      <c r="CQ889" s="1"/>
      <c r="CR889" s="1"/>
      <c r="CS889" s="1"/>
      <c r="CT889" s="1"/>
      <c r="CU889" s="1"/>
      <c r="CV889" s="1"/>
      <c r="CW889" s="1"/>
    </row>
    <row r="890" spans="2:101" ht="15" hidden="1" customHeight="1" x14ac:dyDescent="0.25"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30"/>
      <c r="W890" s="30"/>
      <c r="X890" s="30"/>
      <c r="Y890" s="30"/>
      <c r="Z890" s="30"/>
      <c r="AA890" s="30"/>
      <c r="AB890" s="30"/>
      <c r="AC890" s="30"/>
      <c r="AD890" s="30"/>
      <c r="AE890" s="30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30"/>
      <c r="AQ890" s="30"/>
      <c r="AR890" s="30"/>
      <c r="AS890" s="30"/>
      <c r="AT890" s="30"/>
      <c r="AU890" s="30"/>
      <c r="AV890" s="30"/>
      <c r="AW890" s="30"/>
      <c r="AX890" s="30"/>
      <c r="AY890" s="30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30"/>
      <c r="BK890" s="30"/>
      <c r="BL890" s="30"/>
      <c r="BM890" s="30"/>
      <c r="BN890" s="30"/>
      <c r="BO890" s="30"/>
      <c r="BP890" s="30"/>
      <c r="BQ890" s="30"/>
      <c r="BR890" s="30"/>
      <c r="BS890" s="30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30"/>
      <c r="CE890" s="30"/>
      <c r="CF890" s="30"/>
      <c r="CG890" s="30"/>
      <c r="CH890" s="30"/>
      <c r="CI890" s="30"/>
      <c r="CJ890" s="30"/>
      <c r="CK890" s="30"/>
      <c r="CL890" s="30"/>
      <c r="CM890" s="30"/>
      <c r="CN890" s="1"/>
      <c r="CO890" s="1"/>
      <c r="CP890" s="1"/>
      <c r="CQ890" s="1"/>
      <c r="CR890" s="1"/>
      <c r="CS890" s="1"/>
      <c r="CT890" s="1"/>
      <c r="CU890" s="1"/>
      <c r="CV890" s="1"/>
      <c r="CW890" s="1"/>
    </row>
    <row r="891" spans="2:101" ht="15" hidden="1" customHeight="1" x14ac:dyDescent="0.25"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30"/>
      <c r="W891" s="30"/>
      <c r="X891" s="30"/>
      <c r="Y891" s="30"/>
      <c r="Z891" s="30"/>
      <c r="AA891" s="30"/>
      <c r="AB891" s="30"/>
      <c r="AC891" s="30"/>
      <c r="AD891" s="30"/>
      <c r="AE891" s="30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30"/>
      <c r="AQ891" s="30"/>
      <c r="AR891" s="30"/>
      <c r="AS891" s="30"/>
      <c r="AT891" s="30"/>
      <c r="AU891" s="30"/>
      <c r="AV891" s="30"/>
      <c r="AW891" s="30"/>
      <c r="AX891" s="30"/>
      <c r="AY891" s="30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30"/>
      <c r="BK891" s="30"/>
      <c r="BL891" s="30"/>
      <c r="BM891" s="30"/>
      <c r="BN891" s="30"/>
      <c r="BO891" s="30"/>
      <c r="BP891" s="30"/>
      <c r="BQ891" s="30"/>
      <c r="BR891" s="30"/>
      <c r="BS891" s="30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30"/>
      <c r="CE891" s="30"/>
      <c r="CF891" s="30"/>
      <c r="CG891" s="30"/>
      <c r="CH891" s="30"/>
      <c r="CI891" s="30"/>
      <c r="CJ891" s="30"/>
      <c r="CK891" s="30"/>
      <c r="CL891" s="30"/>
      <c r="CM891" s="30"/>
      <c r="CN891" s="1"/>
      <c r="CO891" s="1"/>
      <c r="CP891" s="1"/>
      <c r="CQ891" s="1"/>
      <c r="CR891" s="1"/>
      <c r="CS891" s="1"/>
      <c r="CT891" s="1"/>
      <c r="CU891" s="1"/>
      <c r="CV891" s="1"/>
      <c r="CW891" s="1"/>
    </row>
    <row r="892" spans="2:101" ht="15" hidden="1" customHeight="1" x14ac:dyDescent="0.25"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30"/>
      <c r="W892" s="30"/>
      <c r="X892" s="30"/>
      <c r="Y892" s="30"/>
      <c r="Z892" s="30"/>
      <c r="AA892" s="30"/>
      <c r="AB892" s="30"/>
      <c r="AC892" s="30"/>
      <c r="AD892" s="30"/>
      <c r="AE892" s="30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30"/>
      <c r="AQ892" s="30"/>
      <c r="AR892" s="30"/>
      <c r="AS892" s="30"/>
      <c r="AT892" s="30"/>
      <c r="AU892" s="30"/>
      <c r="AV892" s="30"/>
      <c r="AW892" s="30"/>
      <c r="AX892" s="30"/>
      <c r="AY892" s="30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30"/>
      <c r="BK892" s="30"/>
      <c r="BL892" s="30"/>
      <c r="BM892" s="30"/>
      <c r="BN892" s="30"/>
      <c r="BO892" s="30"/>
      <c r="BP892" s="30"/>
      <c r="BQ892" s="30"/>
      <c r="BR892" s="30"/>
      <c r="BS892" s="30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30"/>
      <c r="CE892" s="30"/>
      <c r="CF892" s="30"/>
      <c r="CG892" s="30"/>
      <c r="CH892" s="30"/>
      <c r="CI892" s="30"/>
      <c r="CJ892" s="30"/>
      <c r="CK892" s="30"/>
      <c r="CL892" s="30"/>
      <c r="CM892" s="30"/>
      <c r="CN892" s="1"/>
      <c r="CO892" s="1"/>
      <c r="CP892" s="1"/>
      <c r="CQ892" s="1"/>
      <c r="CR892" s="1"/>
      <c r="CS892" s="1"/>
      <c r="CT892" s="1"/>
      <c r="CU892" s="1"/>
      <c r="CV892" s="1"/>
      <c r="CW892" s="1"/>
    </row>
    <row r="893" spans="2:101" ht="15" hidden="1" customHeight="1" x14ac:dyDescent="0.25"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30"/>
      <c r="W893" s="30"/>
      <c r="X893" s="30"/>
      <c r="Y893" s="30"/>
      <c r="Z893" s="30"/>
      <c r="AA893" s="30"/>
      <c r="AB893" s="30"/>
      <c r="AC893" s="30"/>
      <c r="AD893" s="30"/>
      <c r="AE893" s="30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30"/>
      <c r="AQ893" s="30"/>
      <c r="AR893" s="30"/>
      <c r="AS893" s="30"/>
      <c r="AT893" s="30"/>
      <c r="AU893" s="30"/>
      <c r="AV893" s="30"/>
      <c r="AW893" s="30"/>
      <c r="AX893" s="30"/>
      <c r="AY893" s="30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30"/>
      <c r="BK893" s="30"/>
      <c r="BL893" s="30"/>
      <c r="BM893" s="30"/>
      <c r="BN893" s="30"/>
      <c r="BO893" s="30"/>
      <c r="BP893" s="30"/>
      <c r="BQ893" s="30"/>
      <c r="BR893" s="30"/>
      <c r="BS893" s="30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30"/>
      <c r="CE893" s="30"/>
      <c r="CF893" s="30"/>
      <c r="CG893" s="30"/>
      <c r="CH893" s="30"/>
      <c r="CI893" s="30"/>
      <c r="CJ893" s="30"/>
      <c r="CK893" s="30"/>
      <c r="CL893" s="30"/>
      <c r="CM893" s="30"/>
      <c r="CN893" s="1"/>
      <c r="CO893" s="1"/>
      <c r="CP893" s="1"/>
      <c r="CQ893" s="1"/>
      <c r="CR893" s="1"/>
      <c r="CS893" s="1"/>
      <c r="CT893" s="1"/>
      <c r="CU893" s="1"/>
      <c r="CV893" s="1"/>
      <c r="CW893" s="1"/>
    </row>
    <row r="894" spans="2:101" ht="15" hidden="1" customHeight="1" x14ac:dyDescent="0.25"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30"/>
      <c r="W894" s="30"/>
      <c r="X894" s="30"/>
      <c r="Y894" s="30"/>
      <c r="Z894" s="30"/>
      <c r="AA894" s="30"/>
      <c r="AB894" s="30"/>
      <c r="AC894" s="30"/>
      <c r="AD894" s="30"/>
      <c r="AE894" s="30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30"/>
      <c r="AQ894" s="30"/>
      <c r="AR894" s="30"/>
      <c r="AS894" s="30"/>
      <c r="AT894" s="30"/>
      <c r="AU894" s="30"/>
      <c r="AV894" s="30"/>
      <c r="AW894" s="30"/>
      <c r="AX894" s="30"/>
      <c r="AY894" s="30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30"/>
      <c r="BK894" s="30"/>
      <c r="BL894" s="30"/>
      <c r="BM894" s="30"/>
      <c r="BN894" s="30"/>
      <c r="BO894" s="30"/>
      <c r="BP894" s="30"/>
      <c r="BQ894" s="30"/>
      <c r="BR894" s="30"/>
      <c r="BS894" s="30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30"/>
      <c r="CE894" s="30"/>
      <c r="CF894" s="30"/>
      <c r="CG894" s="30"/>
      <c r="CH894" s="30"/>
      <c r="CI894" s="30"/>
      <c r="CJ894" s="30"/>
      <c r="CK894" s="30"/>
      <c r="CL894" s="30"/>
      <c r="CM894" s="30"/>
      <c r="CN894" s="1"/>
      <c r="CO894" s="1"/>
      <c r="CP894" s="1"/>
      <c r="CQ894" s="1"/>
      <c r="CR894" s="1"/>
      <c r="CS894" s="1"/>
      <c r="CT894" s="1"/>
      <c r="CU894" s="1"/>
      <c r="CV894" s="1"/>
      <c r="CW894" s="1"/>
    </row>
    <row r="895" spans="2:101" ht="15" hidden="1" customHeight="1" x14ac:dyDescent="0.25"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30"/>
      <c r="W895" s="30"/>
      <c r="X895" s="30"/>
      <c r="Y895" s="30"/>
      <c r="Z895" s="30"/>
      <c r="AA895" s="30"/>
      <c r="AB895" s="30"/>
      <c r="AC895" s="30"/>
      <c r="AD895" s="30"/>
      <c r="AE895" s="30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30"/>
      <c r="AQ895" s="30"/>
      <c r="AR895" s="30"/>
      <c r="AS895" s="30"/>
      <c r="AT895" s="30"/>
      <c r="AU895" s="30"/>
      <c r="AV895" s="30"/>
      <c r="AW895" s="30"/>
      <c r="AX895" s="30"/>
      <c r="AY895" s="30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30"/>
      <c r="BK895" s="30"/>
      <c r="BL895" s="30"/>
      <c r="BM895" s="30"/>
      <c r="BN895" s="30"/>
      <c r="BO895" s="30"/>
      <c r="BP895" s="30"/>
      <c r="BQ895" s="30"/>
      <c r="BR895" s="30"/>
      <c r="BS895" s="30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30"/>
      <c r="CE895" s="30"/>
      <c r="CF895" s="30"/>
      <c r="CG895" s="30"/>
      <c r="CH895" s="30"/>
      <c r="CI895" s="30"/>
      <c r="CJ895" s="30"/>
      <c r="CK895" s="30"/>
      <c r="CL895" s="30"/>
      <c r="CM895" s="30"/>
      <c r="CN895" s="1"/>
      <c r="CO895" s="1"/>
      <c r="CP895" s="1"/>
      <c r="CQ895" s="1"/>
      <c r="CR895" s="1"/>
      <c r="CS895" s="1"/>
      <c r="CT895" s="1"/>
      <c r="CU895" s="1"/>
      <c r="CV895" s="1"/>
      <c r="CW895" s="1"/>
    </row>
    <row r="896" spans="2:101" ht="15" hidden="1" customHeight="1" x14ac:dyDescent="0.25"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30"/>
      <c r="W896" s="30"/>
      <c r="X896" s="30"/>
      <c r="Y896" s="30"/>
      <c r="Z896" s="30"/>
      <c r="AA896" s="30"/>
      <c r="AB896" s="30"/>
      <c r="AC896" s="30"/>
      <c r="AD896" s="30"/>
      <c r="AE896" s="30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30"/>
      <c r="AQ896" s="30"/>
      <c r="AR896" s="30"/>
      <c r="AS896" s="30"/>
      <c r="AT896" s="30"/>
      <c r="AU896" s="30"/>
      <c r="AV896" s="30"/>
      <c r="AW896" s="30"/>
      <c r="AX896" s="30"/>
      <c r="AY896" s="30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30"/>
      <c r="BK896" s="30"/>
      <c r="BL896" s="30"/>
      <c r="BM896" s="30"/>
      <c r="BN896" s="30"/>
      <c r="BO896" s="30"/>
      <c r="BP896" s="30"/>
      <c r="BQ896" s="30"/>
      <c r="BR896" s="30"/>
      <c r="BS896" s="30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30"/>
      <c r="CE896" s="30"/>
      <c r="CF896" s="30"/>
      <c r="CG896" s="30"/>
      <c r="CH896" s="30"/>
      <c r="CI896" s="30"/>
      <c r="CJ896" s="30"/>
      <c r="CK896" s="30"/>
      <c r="CL896" s="30"/>
      <c r="CM896" s="30"/>
      <c r="CN896" s="1"/>
      <c r="CO896" s="1"/>
      <c r="CP896" s="1"/>
      <c r="CQ896" s="1"/>
      <c r="CR896" s="1"/>
      <c r="CS896" s="1"/>
      <c r="CT896" s="1"/>
      <c r="CU896" s="1"/>
      <c r="CV896" s="1"/>
      <c r="CW896" s="1"/>
    </row>
    <row r="897" spans="2:101" ht="15" hidden="1" customHeight="1" x14ac:dyDescent="0.25"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30"/>
      <c r="W897" s="30"/>
      <c r="X897" s="30"/>
      <c r="Y897" s="30"/>
      <c r="Z897" s="30"/>
      <c r="AA897" s="30"/>
      <c r="AB897" s="30"/>
      <c r="AC897" s="30"/>
      <c r="AD897" s="30"/>
      <c r="AE897" s="30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30"/>
      <c r="AQ897" s="30"/>
      <c r="AR897" s="30"/>
      <c r="AS897" s="30"/>
      <c r="AT897" s="30"/>
      <c r="AU897" s="30"/>
      <c r="AV897" s="30"/>
      <c r="AW897" s="30"/>
      <c r="AX897" s="30"/>
      <c r="AY897" s="30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30"/>
      <c r="BK897" s="30"/>
      <c r="BL897" s="30"/>
      <c r="BM897" s="30"/>
      <c r="BN897" s="30"/>
      <c r="BO897" s="30"/>
      <c r="BP897" s="30"/>
      <c r="BQ897" s="30"/>
      <c r="BR897" s="30"/>
      <c r="BS897" s="30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30"/>
      <c r="CE897" s="30"/>
      <c r="CF897" s="30"/>
      <c r="CG897" s="30"/>
      <c r="CH897" s="30"/>
      <c r="CI897" s="30"/>
      <c r="CJ897" s="30"/>
      <c r="CK897" s="30"/>
      <c r="CL897" s="30"/>
      <c r="CM897" s="30"/>
      <c r="CN897" s="1"/>
      <c r="CO897" s="1"/>
      <c r="CP897" s="1"/>
      <c r="CQ897" s="1"/>
      <c r="CR897" s="1"/>
      <c r="CS897" s="1"/>
      <c r="CT897" s="1"/>
      <c r="CU897" s="1"/>
      <c r="CV897" s="1"/>
      <c r="CW897" s="1"/>
    </row>
    <row r="898" spans="2:101" ht="15" hidden="1" customHeight="1" x14ac:dyDescent="0.25"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30"/>
      <c r="W898" s="30"/>
      <c r="X898" s="30"/>
      <c r="Y898" s="30"/>
      <c r="Z898" s="30"/>
      <c r="AA898" s="30"/>
      <c r="AB898" s="30"/>
      <c r="AC898" s="30"/>
      <c r="AD898" s="30"/>
      <c r="AE898" s="30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30"/>
      <c r="AQ898" s="30"/>
      <c r="AR898" s="30"/>
      <c r="AS898" s="30"/>
      <c r="AT898" s="30"/>
      <c r="AU898" s="30"/>
      <c r="AV898" s="30"/>
      <c r="AW898" s="30"/>
      <c r="AX898" s="30"/>
      <c r="AY898" s="30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30"/>
      <c r="BK898" s="30"/>
      <c r="BL898" s="30"/>
      <c r="BM898" s="30"/>
      <c r="BN898" s="30"/>
      <c r="BO898" s="30"/>
      <c r="BP898" s="30"/>
      <c r="BQ898" s="30"/>
      <c r="BR898" s="30"/>
      <c r="BS898" s="30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30"/>
      <c r="CE898" s="30"/>
      <c r="CF898" s="30"/>
      <c r="CG898" s="30"/>
      <c r="CH898" s="30"/>
      <c r="CI898" s="30"/>
      <c r="CJ898" s="30"/>
      <c r="CK898" s="30"/>
      <c r="CL898" s="30"/>
      <c r="CM898" s="30"/>
      <c r="CN898" s="1"/>
      <c r="CO898" s="1"/>
      <c r="CP898" s="1"/>
      <c r="CQ898" s="1"/>
      <c r="CR898" s="1"/>
      <c r="CS898" s="1"/>
      <c r="CT898" s="1"/>
      <c r="CU898" s="1"/>
      <c r="CV898" s="1"/>
      <c r="CW898" s="1"/>
    </row>
    <row r="899" spans="2:101" ht="15" hidden="1" customHeight="1" x14ac:dyDescent="0.25"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30"/>
      <c r="W899" s="30"/>
      <c r="X899" s="30"/>
      <c r="Y899" s="30"/>
      <c r="Z899" s="30"/>
      <c r="AA899" s="30"/>
      <c r="AB899" s="30"/>
      <c r="AC899" s="30"/>
      <c r="AD899" s="30"/>
      <c r="AE899" s="30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30"/>
      <c r="AQ899" s="30"/>
      <c r="AR899" s="30"/>
      <c r="AS899" s="30"/>
      <c r="AT899" s="30"/>
      <c r="AU899" s="30"/>
      <c r="AV899" s="30"/>
      <c r="AW899" s="30"/>
      <c r="AX899" s="30"/>
      <c r="AY899" s="30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30"/>
      <c r="BK899" s="30"/>
      <c r="BL899" s="30"/>
      <c r="BM899" s="30"/>
      <c r="BN899" s="30"/>
      <c r="BO899" s="30"/>
      <c r="BP899" s="30"/>
      <c r="BQ899" s="30"/>
      <c r="BR899" s="30"/>
      <c r="BS899" s="30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30"/>
      <c r="CE899" s="30"/>
      <c r="CF899" s="30"/>
      <c r="CG899" s="30"/>
      <c r="CH899" s="30"/>
      <c r="CI899" s="30"/>
      <c r="CJ899" s="30"/>
      <c r="CK899" s="30"/>
      <c r="CL899" s="30"/>
      <c r="CM899" s="30"/>
      <c r="CN899" s="1"/>
      <c r="CO899" s="1"/>
      <c r="CP899" s="1"/>
      <c r="CQ899" s="1"/>
      <c r="CR899" s="1"/>
      <c r="CS899" s="1"/>
      <c r="CT899" s="1"/>
      <c r="CU899" s="1"/>
      <c r="CV899" s="1"/>
      <c r="CW899" s="1"/>
    </row>
    <row r="900" spans="2:101" ht="15" hidden="1" customHeight="1" x14ac:dyDescent="0.25"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30"/>
      <c r="W900" s="30"/>
      <c r="X900" s="30"/>
      <c r="Y900" s="30"/>
      <c r="Z900" s="30"/>
      <c r="AA900" s="30"/>
      <c r="AB900" s="30"/>
      <c r="AC900" s="30"/>
      <c r="AD900" s="30"/>
      <c r="AE900" s="30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30"/>
      <c r="AQ900" s="30"/>
      <c r="AR900" s="30"/>
      <c r="AS900" s="30"/>
      <c r="AT900" s="30"/>
      <c r="AU900" s="30"/>
      <c r="AV900" s="30"/>
      <c r="AW900" s="30"/>
      <c r="AX900" s="30"/>
      <c r="AY900" s="30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30"/>
      <c r="BK900" s="30"/>
      <c r="BL900" s="30"/>
      <c r="BM900" s="30"/>
      <c r="BN900" s="30"/>
      <c r="BO900" s="30"/>
      <c r="BP900" s="30"/>
      <c r="BQ900" s="30"/>
      <c r="BR900" s="30"/>
      <c r="BS900" s="30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30"/>
      <c r="CE900" s="30"/>
      <c r="CF900" s="30"/>
      <c r="CG900" s="30"/>
      <c r="CH900" s="30"/>
      <c r="CI900" s="30"/>
      <c r="CJ900" s="30"/>
      <c r="CK900" s="30"/>
      <c r="CL900" s="30"/>
      <c r="CM900" s="30"/>
      <c r="CN900" s="1"/>
      <c r="CO900" s="1"/>
      <c r="CP900" s="1"/>
      <c r="CQ900" s="1"/>
      <c r="CR900" s="1"/>
      <c r="CS900" s="1"/>
      <c r="CT900" s="1"/>
      <c r="CU900" s="1"/>
      <c r="CV900" s="1"/>
      <c r="CW900" s="1"/>
    </row>
    <row r="901" spans="2:101" ht="15" hidden="1" customHeight="1" x14ac:dyDescent="0.25"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30"/>
      <c r="W901" s="30"/>
      <c r="X901" s="30"/>
      <c r="Y901" s="30"/>
      <c r="Z901" s="30"/>
      <c r="AA901" s="30"/>
      <c r="AB901" s="30"/>
      <c r="AC901" s="30"/>
      <c r="AD901" s="30"/>
      <c r="AE901" s="30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30"/>
      <c r="AQ901" s="30"/>
      <c r="AR901" s="30"/>
      <c r="AS901" s="30"/>
      <c r="AT901" s="30"/>
      <c r="AU901" s="30"/>
      <c r="AV901" s="30"/>
      <c r="AW901" s="30"/>
      <c r="AX901" s="30"/>
      <c r="AY901" s="30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30"/>
      <c r="BK901" s="30"/>
      <c r="BL901" s="30"/>
      <c r="BM901" s="30"/>
      <c r="BN901" s="30"/>
      <c r="BO901" s="30"/>
      <c r="BP901" s="30"/>
      <c r="BQ901" s="30"/>
      <c r="BR901" s="30"/>
      <c r="BS901" s="30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30"/>
      <c r="CE901" s="30"/>
      <c r="CF901" s="30"/>
      <c r="CG901" s="30"/>
      <c r="CH901" s="30"/>
      <c r="CI901" s="30"/>
      <c r="CJ901" s="30"/>
      <c r="CK901" s="30"/>
      <c r="CL901" s="30"/>
      <c r="CM901" s="30"/>
      <c r="CN901" s="1"/>
      <c r="CO901" s="1"/>
      <c r="CP901" s="1"/>
      <c r="CQ901" s="1"/>
      <c r="CR901" s="1"/>
      <c r="CS901" s="1"/>
      <c r="CT901" s="1"/>
      <c r="CU901" s="1"/>
      <c r="CV901" s="1"/>
      <c r="CW901" s="1"/>
    </row>
    <row r="902" spans="2:101" ht="15" hidden="1" customHeight="1" x14ac:dyDescent="0.25"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30"/>
      <c r="W902" s="30"/>
      <c r="X902" s="30"/>
      <c r="Y902" s="30"/>
      <c r="Z902" s="30"/>
      <c r="AA902" s="30"/>
      <c r="AB902" s="30"/>
      <c r="AC902" s="30"/>
      <c r="AD902" s="30"/>
      <c r="AE902" s="30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30"/>
      <c r="AQ902" s="30"/>
      <c r="AR902" s="30"/>
      <c r="AS902" s="30"/>
      <c r="AT902" s="30"/>
      <c r="AU902" s="30"/>
      <c r="AV902" s="30"/>
      <c r="AW902" s="30"/>
      <c r="AX902" s="30"/>
      <c r="AY902" s="30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30"/>
      <c r="BK902" s="30"/>
      <c r="BL902" s="30"/>
      <c r="BM902" s="30"/>
      <c r="BN902" s="30"/>
      <c r="BO902" s="30"/>
      <c r="BP902" s="30"/>
      <c r="BQ902" s="30"/>
      <c r="BR902" s="30"/>
      <c r="BS902" s="30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30"/>
      <c r="CE902" s="30"/>
      <c r="CF902" s="30"/>
      <c r="CG902" s="30"/>
      <c r="CH902" s="30"/>
      <c r="CI902" s="30"/>
      <c r="CJ902" s="30"/>
      <c r="CK902" s="30"/>
      <c r="CL902" s="30"/>
      <c r="CM902" s="30"/>
      <c r="CN902" s="1"/>
      <c r="CO902" s="1"/>
      <c r="CP902" s="1"/>
      <c r="CQ902" s="1"/>
      <c r="CR902" s="1"/>
      <c r="CS902" s="1"/>
      <c r="CT902" s="1"/>
      <c r="CU902" s="1"/>
      <c r="CV902" s="1"/>
      <c r="CW902" s="1"/>
    </row>
    <row r="903" spans="2:101" ht="15" hidden="1" customHeight="1" x14ac:dyDescent="0.25"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30"/>
      <c r="W903" s="30"/>
      <c r="X903" s="30"/>
      <c r="Y903" s="30"/>
      <c r="Z903" s="30"/>
      <c r="AA903" s="30"/>
      <c r="AB903" s="30"/>
      <c r="AC903" s="30"/>
      <c r="AD903" s="30"/>
      <c r="AE903" s="30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30"/>
      <c r="AQ903" s="30"/>
      <c r="AR903" s="30"/>
      <c r="AS903" s="30"/>
      <c r="AT903" s="30"/>
      <c r="AU903" s="30"/>
      <c r="AV903" s="30"/>
      <c r="AW903" s="30"/>
      <c r="AX903" s="30"/>
      <c r="AY903" s="30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30"/>
      <c r="BK903" s="30"/>
      <c r="BL903" s="30"/>
      <c r="BM903" s="30"/>
      <c r="BN903" s="30"/>
      <c r="BO903" s="30"/>
      <c r="BP903" s="30"/>
      <c r="BQ903" s="30"/>
      <c r="BR903" s="30"/>
      <c r="BS903" s="30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30"/>
      <c r="CE903" s="30"/>
      <c r="CF903" s="30"/>
      <c r="CG903" s="30"/>
      <c r="CH903" s="30"/>
      <c r="CI903" s="30"/>
      <c r="CJ903" s="30"/>
      <c r="CK903" s="30"/>
      <c r="CL903" s="30"/>
      <c r="CM903" s="30"/>
      <c r="CN903" s="1"/>
      <c r="CO903" s="1"/>
      <c r="CP903" s="1"/>
      <c r="CQ903" s="1"/>
      <c r="CR903" s="1"/>
      <c r="CS903" s="1"/>
      <c r="CT903" s="1"/>
      <c r="CU903" s="1"/>
      <c r="CV903" s="1"/>
      <c r="CW903" s="1"/>
    </row>
    <row r="904" spans="2:101" ht="15" hidden="1" customHeight="1" x14ac:dyDescent="0.25"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30"/>
      <c r="W904" s="30"/>
      <c r="X904" s="30"/>
      <c r="Y904" s="30"/>
      <c r="Z904" s="30"/>
      <c r="AA904" s="30"/>
      <c r="AB904" s="30"/>
      <c r="AC904" s="30"/>
      <c r="AD904" s="30"/>
      <c r="AE904" s="30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30"/>
      <c r="AQ904" s="30"/>
      <c r="AR904" s="30"/>
      <c r="AS904" s="30"/>
      <c r="AT904" s="30"/>
      <c r="AU904" s="30"/>
      <c r="AV904" s="30"/>
      <c r="AW904" s="30"/>
      <c r="AX904" s="30"/>
      <c r="AY904" s="30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30"/>
      <c r="BK904" s="30"/>
      <c r="BL904" s="30"/>
      <c r="BM904" s="30"/>
      <c r="BN904" s="30"/>
      <c r="BO904" s="30"/>
      <c r="BP904" s="30"/>
      <c r="BQ904" s="30"/>
      <c r="BR904" s="30"/>
      <c r="BS904" s="30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30"/>
      <c r="CE904" s="30"/>
      <c r="CF904" s="30"/>
      <c r="CG904" s="30"/>
      <c r="CH904" s="30"/>
      <c r="CI904" s="30"/>
      <c r="CJ904" s="30"/>
      <c r="CK904" s="30"/>
      <c r="CL904" s="30"/>
      <c r="CM904" s="30"/>
      <c r="CN904" s="1"/>
      <c r="CO904" s="1"/>
      <c r="CP904" s="1"/>
      <c r="CQ904" s="1"/>
      <c r="CR904" s="1"/>
      <c r="CS904" s="1"/>
      <c r="CT904" s="1"/>
      <c r="CU904" s="1"/>
      <c r="CV904" s="1"/>
      <c r="CW904" s="1"/>
    </row>
    <row r="905" spans="2:101" ht="15" hidden="1" customHeight="1" x14ac:dyDescent="0.25"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30"/>
      <c r="W905" s="30"/>
      <c r="X905" s="30"/>
      <c r="Y905" s="30"/>
      <c r="Z905" s="30"/>
      <c r="AA905" s="30"/>
      <c r="AB905" s="30"/>
      <c r="AC905" s="30"/>
      <c r="AD905" s="30"/>
      <c r="AE905" s="30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30"/>
      <c r="AQ905" s="30"/>
      <c r="AR905" s="30"/>
      <c r="AS905" s="30"/>
      <c r="AT905" s="30"/>
      <c r="AU905" s="30"/>
      <c r="AV905" s="30"/>
      <c r="AW905" s="30"/>
      <c r="AX905" s="30"/>
      <c r="AY905" s="30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30"/>
      <c r="BK905" s="30"/>
      <c r="BL905" s="30"/>
      <c r="BM905" s="30"/>
      <c r="BN905" s="30"/>
      <c r="BO905" s="30"/>
      <c r="BP905" s="30"/>
      <c r="BQ905" s="30"/>
      <c r="BR905" s="30"/>
      <c r="BS905" s="30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30"/>
      <c r="CE905" s="30"/>
      <c r="CF905" s="30"/>
      <c r="CG905" s="30"/>
      <c r="CH905" s="30"/>
      <c r="CI905" s="30"/>
      <c r="CJ905" s="30"/>
      <c r="CK905" s="30"/>
      <c r="CL905" s="30"/>
      <c r="CM905" s="30"/>
      <c r="CN905" s="1"/>
      <c r="CO905" s="1"/>
      <c r="CP905" s="1"/>
      <c r="CQ905" s="1"/>
      <c r="CR905" s="1"/>
      <c r="CS905" s="1"/>
      <c r="CT905" s="1"/>
      <c r="CU905" s="1"/>
      <c r="CV905" s="1"/>
      <c r="CW905" s="1"/>
    </row>
    <row r="906" spans="2:101" ht="15" hidden="1" customHeight="1" x14ac:dyDescent="0.25"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30"/>
      <c r="W906" s="30"/>
      <c r="X906" s="30"/>
      <c r="Y906" s="30"/>
      <c r="Z906" s="30"/>
      <c r="AA906" s="30"/>
      <c r="AB906" s="30"/>
      <c r="AC906" s="30"/>
      <c r="AD906" s="30"/>
      <c r="AE906" s="30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30"/>
      <c r="AQ906" s="30"/>
      <c r="AR906" s="30"/>
      <c r="AS906" s="30"/>
      <c r="AT906" s="30"/>
      <c r="AU906" s="30"/>
      <c r="AV906" s="30"/>
      <c r="AW906" s="30"/>
      <c r="AX906" s="30"/>
      <c r="AY906" s="30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30"/>
      <c r="BK906" s="30"/>
      <c r="BL906" s="30"/>
      <c r="BM906" s="30"/>
      <c r="BN906" s="30"/>
      <c r="BO906" s="30"/>
      <c r="BP906" s="30"/>
      <c r="BQ906" s="30"/>
      <c r="BR906" s="30"/>
      <c r="BS906" s="30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30"/>
      <c r="CE906" s="30"/>
      <c r="CF906" s="30"/>
      <c r="CG906" s="30"/>
      <c r="CH906" s="30"/>
      <c r="CI906" s="30"/>
      <c r="CJ906" s="30"/>
      <c r="CK906" s="30"/>
      <c r="CL906" s="30"/>
      <c r="CM906" s="30"/>
      <c r="CN906" s="1"/>
      <c r="CO906" s="1"/>
      <c r="CP906" s="1"/>
      <c r="CQ906" s="1"/>
      <c r="CR906" s="1"/>
      <c r="CS906" s="1"/>
      <c r="CT906" s="1"/>
      <c r="CU906" s="1"/>
      <c r="CV906" s="1"/>
      <c r="CW906" s="1"/>
    </row>
    <row r="907" spans="2:101" ht="15" hidden="1" customHeight="1" x14ac:dyDescent="0.25"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30"/>
      <c r="W907" s="30"/>
      <c r="X907" s="30"/>
      <c r="Y907" s="30"/>
      <c r="Z907" s="30"/>
      <c r="AA907" s="30"/>
      <c r="AB907" s="30"/>
      <c r="AC907" s="30"/>
      <c r="AD907" s="30"/>
      <c r="AE907" s="30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30"/>
      <c r="AQ907" s="30"/>
      <c r="AR907" s="30"/>
      <c r="AS907" s="30"/>
      <c r="AT907" s="30"/>
      <c r="AU907" s="30"/>
      <c r="AV907" s="30"/>
      <c r="AW907" s="30"/>
      <c r="AX907" s="30"/>
      <c r="AY907" s="30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30"/>
      <c r="BK907" s="30"/>
      <c r="BL907" s="30"/>
      <c r="BM907" s="30"/>
      <c r="BN907" s="30"/>
      <c r="BO907" s="30"/>
      <c r="BP907" s="30"/>
      <c r="BQ907" s="30"/>
      <c r="BR907" s="30"/>
      <c r="BS907" s="30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30"/>
      <c r="CE907" s="30"/>
      <c r="CF907" s="30"/>
      <c r="CG907" s="30"/>
      <c r="CH907" s="30"/>
      <c r="CI907" s="30"/>
      <c r="CJ907" s="30"/>
      <c r="CK907" s="30"/>
      <c r="CL907" s="30"/>
      <c r="CM907" s="30"/>
      <c r="CN907" s="1"/>
      <c r="CO907" s="1"/>
      <c r="CP907" s="1"/>
      <c r="CQ907" s="1"/>
      <c r="CR907" s="1"/>
      <c r="CS907" s="1"/>
      <c r="CT907" s="1"/>
      <c r="CU907" s="1"/>
      <c r="CV907" s="1"/>
      <c r="CW907" s="1"/>
    </row>
    <row r="908" spans="2:101" ht="15" hidden="1" customHeight="1" x14ac:dyDescent="0.25"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30"/>
      <c r="W908" s="30"/>
      <c r="X908" s="30"/>
      <c r="Y908" s="30"/>
      <c r="Z908" s="30"/>
      <c r="AA908" s="30"/>
      <c r="AB908" s="30"/>
      <c r="AC908" s="30"/>
      <c r="AD908" s="30"/>
      <c r="AE908" s="30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30"/>
      <c r="AQ908" s="30"/>
      <c r="AR908" s="30"/>
      <c r="AS908" s="30"/>
      <c r="AT908" s="30"/>
      <c r="AU908" s="30"/>
      <c r="AV908" s="30"/>
      <c r="AW908" s="30"/>
      <c r="AX908" s="30"/>
      <c r="AY908" s="30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30"/>
      <c r="BK908" s="30"/>
      <c r="BL908" s="30"/>
      <c r="BM908" s="30"/>
      <c r="BN908" s="30"/>
      <c r="BO908" s="30"/>
      <c r="BP908" s="30"/>
      <c r="BQ908" s="30"/>
      <c r="BR908" s="30"/>
      <c r="BS908" s="30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30"/>
      <c r="CE908" s="30"/>
      <c r="CF908" s="30"/>
      <c r="CG908" s="30"/>
      <c r="CH908" s="30"/>
      <c r="CI908" s="30"/>
      <c r="CJ908" s="30"/>
      <c r="CK908" s="30"/>
      <c r="CL908" s="30"/>
      <c r="CM908" s="30"/>
      <c r="CN908" s="1"/>
      <c r="CO908" s="1"/>
      <c r="CP908" s="1"/>
      <c r="CQ908" s="1"/>
      <c r="CR908" s="1"/>
      <c r="CS908" s="1"/>
      <c r="CT908" s="1"/>
      <c r="CU908" s="1"/>
      <c r="CV908" s="1"/>
      <c r="CW908" s="1"/>
    </row>
    <row r="909" spans="2:101" ht="15" hidden="1" customHeight="1" x14ac:dyDescent="0.25"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30"/>
      <c r="W909" s="30"/>
      <c r="X909" s="30"/>
      <c r="Y909" s="30"/>
      <c r="Z909" s="30"/>
      <c r="AA909" s="30"/>
      <c r="AB909" s="30"/>
      <c r="AC909" s="30"/>
      <c r="AD909" s="30"/>
      <c r="AE909" s="30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30"/>
      <c r="AQ909" s="30"/>
      <c r="AR909" s="30"/>
      <c r="AS909" s="30"/>
      <c r="AT909" s="30"/>
      <c r="AU909" s="30"/>
      <c r="AV909" s="30"/>
      <c r="AW909" s="30"/>
      <c r="AX909" s="30"/>
      <c r="AY909" s="30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30"/>
      <c r="BK909" s="30"/>
      <c r="BL909" s="30"/>
      <c r="BM909" s="30"/>
      <c r="BN909" s="30"/>
      <c r="BO909" s="30"/>
      <c r="BP909" s="30"/>
      <c r="BQ909" s="30"/>
      <c r="BR909" s="30"/>
      <c r="BS909" s="30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30"/>
      <c r="CE909" s="30"/>
      <c r="CF909" s="30"/>
      <c r="CG909" s="30"/>
      <c r="CH909" s="30"/>
      <c r="CI909" s="30"/>
      <c r="CJ909" s="30"/>
      <c r="CK909" s="30"/>
      <c r="CL909" s="30"/>
      <c r="CM909" s="30"/>
      <c r="CN909" s="1"/>
      <c r="CO909" s="1"/>
      <c r="CP909" s="1"/>
      <c r="CQ909" s="1"/>
      <c r="CR909" s="1"/>
      <c r="CS909" s="1"/>
      <c r="CT909" s="1"/>
      <c r="CU909" s="1"/>
      <c r="CV909" s="1"/>
      <c r="CW909" s="1"/>
    </row>
    <row r="910" spans="2:101" ht="15" hidden="1" customHeight="1" x14ac:dyDescent="0.25"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30"/>
      <c r="W910" s="30"/>
      <c r="X910" s="30"/>
      <c r="Y910" s="30"/>
      <c r="Z910" s="30"/>
      <c r="AA910" s="30"/>
      <c r="AB910" s="30"/>
      <c r="AC910" s="30"/>
      <c r="AD910" s="30"/>
      <c r="AE910" s="30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30"/>
      <c r="AQ910" s="30"/>
      <c r="AR910" s="30"/>
      <c r="AS910" s="30"/>
      <c r="AT910" s="30"/>
      <c r="AU910" s="30"/>
      <c r="AV910" s="30"/>
      <c r="AW910" s="30"/>
      <c r="AX910" s="30"/>
      <c r="AY910" s="30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30"/>
      <c r="BK910" s="30"/>
      <c r="BL910" s="30"/>
      <c r="BM910" s="30"/>
      <c r="BN910" s="30"/>
      <c r="BO910" s="30"/>
      <c r="BP910" s="30"/>
      <c r="BQ910" s="30"/>
      <c r="BR910" s="30"/>
      <c r="BS910" s="30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30"/>
      <c r="CE910" s="30"/>
      <c r="CF910" s="30"/>
      <c r="CG910" s="30"/>
      <c r="CH910" s="30"/>
      <c r="CI910" s="30"/>
      <c r="CJ910" s="30"/>
      <c r="CK910" s="30"/>
      <c r="CL910" s="30"/>
      <c r="CM910" s="30"/>
      <c r="CN910" s="1"/>
      <c r="CO910" s="1"/>
      <c r="CP910" s="1"/>
      <c r="CQ910" s="1"/>
      <c r="CR910" s="1"/>
      <c r="CS910" s="1"/>
      <c r="CT910" s="1"/>
      <c r="CU910" s="1"/>
      <c r="CV910" s="1"/>
      <c r="CW910" s="1"/>
    </row>
    <row r="911" spans="2:101" ht="15" hidden="1" customHeight="1" x14ac:dyDescent="0.25"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30"/>
      <c r="W911" s="30"/>
      <c r="X911" s="30"/>
      <c r="Y911" s="30"/>
      <c r="Z911" s="30"/>
      <c r="AA911" s="30"/>
      <c r="AB911" s="30"/>
      <c r="AC911" s="30"/>
      <c r="AD911" s="30"/>
      <c r="AE911" s="30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30"/>
      <c r="AQ911" s="30"/>
      <c r="AR911" s="30"/>
      <c r="AS911" s="30"/>
      <c r="AT911" s="30"/>
      <c r="AU911" s="30"/>
      <c r="AV911" s="30"/>
      <c r="AW911" s="30"/>
      <c r="AX911" s="30"/>
      <c r="AY911" s="30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30"/>
      <c r="BK911" s="30"/>
      <c r="BL911" s="30"/>
      <c r="BM911" s="30"/>
      <c r="BN911" s="30"/>
      <c r="BO911" s="30"/>
      <c r="BP911" s="30"/>
      <c r="BQ911" s="30"/>
      <c r="BR911" s="30"/>
      <c r="BS911" s="30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30"/>
      <c r="CE911" s="30"/>
      <c r="CF911" s="30"/>
      <c r="CG911" s="30"/>
      <c r="CH911" s="30"/>
      <c r="CI911" s="30"/>
      <c r="CJ911" s="30"/>
      <c r="CK911" s="30"/>
      <c r="CL911" s="30"/>
      <c r="CM911" s="30"/>
      <c r="CN911" s="1"/>
      <c r="CO911" s="1"/>
      <c r="CP911" s="1"/>
      <c r="CQ911" s="1"/>
      <c r="CR911" s="1"/>
      <c r="CS911" s="1"/>
      <c r="CT911" s="1"/>
      <c r="CU911" s="1"/>
      <c r="CV911" s="1"/>
      <c r="CW911" s="1"/>
    </row>
    <row r="912" spans="2:101" ht="15" hidden="1" customHeight="1" x14ac:dyDescent="0.25"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30"/>
      <c r="W912" s="30"/>
      <c r="X912" s="30"/>
      <c r="Y912" s="30"/>
      <c r="Z912" s="30"/>
      <c r="AA912" s="30"/>
      <c r="AB912" s="30"/>
      <c r="AC912" s="30"/>
      <c r="AD912" s="30"/>
      <c r="AE912" s="30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30"/>
      <c r="AQ912" s="30"/>
      <c r="AR912" s="30"/>
      <c r="AS912" s="30"/>
      <c r="AT912" s="30"/>
      <c r="AU912" s="30"/>
      <c r="AV912" s="30"/>
      <c r="AW912" s="30"/>
      <c r="AX912" s="30"/>
      <c r="AY912" s="30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30"/>
      <c r="BK912" s="30"/>
      <c r="BL912" s="30"/>
      <c r="BM912" s="30"/>
      <c r="BN912" s="30"/>
      <c r="BO912" s="30"/>
      <c r="BP912" s="30"/>
      <c r="BQ912" s="30"/>
      <c r="BR912" s="30"/>
      <c r="BS912" s="30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30"/>
      <c r="CE912" s="30"/>
      <c r="CF912" s="30"/>
      <c r="CG912" s="30"/>
      <c r="CH912" s="30"/>
      <c r="CI912" s="30"/>
      <c r="CJ912" s="30"/>
      <c r="CK912" s="30"/>
      <c r="CL912" s="30"/>
      <c r="CM912" s="30"/>
      <c r="CN912" s="1"/>
      <c r="CO912" s="1"/>
      <c r="CP912" s="1"/>
      <c r="CQ912" s="1"/>
      <c r="CR912" s="1"/>
      <c r="CS912" s="1"/>
      <c r="CT912" s="1"/>
      <c r="CU912" s="1"/>
      <c r="CV912" s="1"/>
      <c r="CW912" s="1"/>
    </row>
    <row r="913" spans="2:101" ht="15" hidden="1" customHeight="1" x14ac:dyDescent="0.25"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30"/>
      <c r="W913" s="30"/>
      <c r="X913" s="30"/>
      <c r="Y913" s="30"/>
      <c r="Z913" s="30"/>
      <c r="AA913" s="30"/>
      <c r="AB913" s="30"/>
      <c r="AC913" s="30"/>
      <c r="AD913" s="30"/>
      <c r="AE913" s="30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30"/>
      <c r="AQ913" s="30"/>
      <c r="AR913" s="30"/>
      <c r="AS913" s="30"/>
      <c r="AT913" s="30"/>
      <c r="AU913" s="30"/>
      <c r="AV913" s="30"/>
      <c r="AW913" s="30"/>
      <c r="AX913" s="30"/>
      <c r="AY913" s="30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30"/>
      <c r="BK913" s="30"/>
      <c r="BL913" s="30"/>
      <c r="BM913" s="30"/>
      <c r="BN913" s="30"/>
      <c r="BO913" s="30"/>
      <c r="BP913" s="30"/>
      <c r="BQ913" s="30"/>
      <c r="BR913" s="30"/>
      <c r="BS913" s="30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30"/>
      <c r="CE913" s="30"/>
      <c r="CF913" s="30"/>
      <c r="CG913" s="30"/>
      <c r="CH913" s="30"/>
      <c r="CI913" s="30"/>
      <c r="CJ913" s="30"/>
      <c r="CK913" s="30"/>
      <c r="CL913" s="30"/>
      <c r="CM913" s="30"/>
      <c r="CN913" s="1"/>
      <c r="CO913" s="1"/>
      <c r="CP913" s="1"/>
      <c r="CQ913" s="1"/>
      <c r="CR913" s="1"/>
      <c r="CS913" s="1"/>
      <c r="CT913" s="1"/>
      <c r="CU913" s="1"/>
      <c r="CV913" s="1"/>
      <c r="CW913" s="1"/>
    </row>
    <row r="914" spans="2:101" ht="15" hidden="1" customHeight="1" x14ac:dyDescent="0.25"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30"/>
      <c r="W914" s="30"/>
      <c r="X914" s="30"/>
      <c r="Y914" s="30"/>
      <c r="Z914" s="30"/>
      <c r="AA914" s="30"/>
      <c r="AB914" s="30"/>
      <c r="AC914" s="30"/>
      <c r="AD914" s="30"/>
      <c r="AE914" s="30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30"/>
      <c r="AQ914" s="30"/>
      <c r="AR914" s="30"/>
      <c r="AS914" s="30"/>
      <c r="AT914" s="30"/>
      <c r="AU914" s="30"/>
      <c r="AV914" s="30"/>
      <c r="AW914" s="30"/>
      <c r="AX914" s="30"/>
      <c r="AY914" s="30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30"/>
      <c r="BK914" s="30"/>
      <c r="BL914" s="30"/>
      <c r="BM914" s="30"/>
      <c r="BN914" s="30"/>
      <c r="BO914" s="30"/>
      <c r="BP914" s="30"/>
      <c r="BQ914" s="30"/>
      <c r="BR914" s="30"/>
      <c r="BS914" s="30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30"/>
      <c r="CE914" s="30"/>
      <c r="CF914" s="30"/>
      <c r="CG914" s="30"/>
      <c r="CH914" s="30"/>
      <c r="CI914" s="30"/>
      <c r="CJ914" s="30"/>
      <c r="CK914" s="30"/>
      <c r="CL914" s="30"/>
      <c r="CM914" s="30"/>
      <c r="CN914" s="1"/>
      <c r="CO914" s="1"/>
      <c r="CP914" s="1"/>
      <c r="CQ914" s="1"/>
      <c r="CR914" s="1"/>
      <c r="CS914" s="1"/>
      <c r="CT914" s="1"/>
      <c r="CU914" s="1"/>
      <c r="CV914" s="1"/>
      <c r="CW914" s="1"/>
    </row>
    <row r="915" spans="2:101" ht="15" hidden="1" customHeight="1" x14ac:dyDescent="0.25"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30"/>
      <c r="W915" s="30"/>
      <c r="X915" s="30"/>
      <c r="Y915" s="30"/>
      <c r="Z915" s="30"/>
      <c r="AA915" s="30"/>
      <c r="AB915" s="30"/>
      <c r="AC915" s="30"/>
      <c r="AD915" s="30"/>
      <c r="AE915" s="30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30"/>
      <c r="AQ915" s="30"/>
      <c r="AR915" s="30"/>
      <c r="AS915" s="30"/>
      <c r="AT915" s="30"/>
      <c r="AU915" s="30"/>
      <c r="AV915" s="30"/>
      <c r="AW915" s="30"/>
      <c r="AX915" s="30"/>
      <c r="AY915" s="30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30"/>
      <c r="BK915" s="30"/>
      <c r="BL915" s="30"/>
      <c r="BM915" s="30"/>
      <c r="BN915" s="30"/>
      <c r="BO915" s="30"/>
      <c r="BP915" s="30"/>
      <c r="BQ915" s="30"/>
      <c r="BR915" s="30"/>
      <c r="BS915" s="30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30"/>
      <c r="CE915" s="30"/>
      <c r="CF915" s="30"/>
      <c r="CG915" s="30"/>
      <c r="CH915" s="30"/>
      <c r="CI915" s="30"/>
      <c r="CJ915" s="30"/>
      <c r="CK915" s="30"/>
      <c r="CL915" s="30"/>
      <c r="CM915" s="30"/>
      <c r="CN915" s="1"/>
      <c r="CO915" s="1"/>
      <c r="CP915" s="1"/>
      <c r="CQ915" s="1"/>
      <c r="CR915" s="1"/>
      <c r="CS915" s="1"/>
      <c r="CT915" s="1"/>
      <c r="CU915" s="1"/>
      <c r="CV915" s="1"/>
      <c r="CW915" s="1"/>
    </row>
    <row r="916" spans="2:101" ht="15" hidden="1" customHeight="1" x14ac:dyDescent="0.25"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30"/>
      <c r="W916" s="30"/>
      <c r="X916" s="30"/>
      <c r="Y916" s="30"/>
      <c r="Z916" s="30"/>
      <c r="AA916" s="30"/>
      <c r="AB916" s="30"/>
      <c r="AC916" s="30"/>
      <c r="AD916" s="30"/>
      <c r="AE916" s="30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30"/>
      <c r="AQ916" s="30"/>
      <c r="AR916" s="30"/>
      <c r="AS916" s="30"/>
      <c r="AT916" s="30"/>
      <c r="AU916" s="30"/>
      <c r="AV916" s="30"/>
      <c r="AW916" s="30"/>
      <c r="AX916" s="30"/>
      <c r="AY916" s="30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30"/>
      <c r="BK916" s="30"/>
      <c r="BL916" s="30"/>
      <c r="BM916" s="30"/>
      <c r="BN916" s="30"/>
      <c r="BO916" s="30"/>
      <c r="BP916" s="30"/>
      <c r="BQ916" s="30"/>
      <c r="BR916" s="30"/>
      <c r="BS916" s="30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30"/>
      <c r="CE916" s="30"/>
      <c r="CF916" s="30"/>
      <c r="CG916" s="30"/>
      <c r="CH916" s="30"/>
      <c r="CI916" s="30"/>
      <c r="CJ916" s="30"/>
      <c r="CK916" s="30"/>
      <c r="CL916" s="30"/>
      <c r="CM916" s="30"/>
      <c r="CN916" s="1"/>
      <c r="CO916" s="1"/>
      <c r="CP916" s="1"/>
      <c r="CQ916" s="1"/>
      <c r="CR916" s="1"/>
      <c r="CS916" s="1"/>
      <c r="CT916" s="1"/>
      <c r="CU916" s="1"/>
      <c r="CV916" s="1"/>
      <c r="CW916" s="1"/>
    </row>
    <row r="917" spans="2:101" ht="15" hidden="1" customHeight="1" x14ac:dyDescent="0.25"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30"/>
      <c r="W917" s="30"/>
      <c r="X917" s="30"/>
      <c r="Y917" s="30"/>
      <c r="Z917" s="30"/>
      <c r="AA917" s="30"/>
      <c r="AB917" s="30"/>
      <c r="AC917" s="30"/>
      <c r="AD917" s="30"/>
      <c r="AE917" s="30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30"/>
      <c r="AQ917" s="30"/>
      <c r="AR917" s="30"/>
      <c r="AS917" s="30"/>
      <c r="AT917" s="30"/>
      <c r="AU917" s="30"/>
      <c r="AV917" s="30"/>
      <c r="AW917" s="30"/>
      <c r="AX917" s="30"/>
      <c r="AY917" s="30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30"/>
      <c r="BK917" s="30"/>
      <c r="BL917" s="30"/>
      <c r="BM917" s="30"/>
      <c r="BN917" s="30"/>
      <c r="BO917" s="30"/>
      <c r="BP917" s="30"/>
      <c r="BQ917" s="30"/>
      <c r="BR917" s="30"/>
      <c r="BS917" s="30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30"/>
      <c r="CE917" s="30"/>
      <c r="CF917" s="30"/>
      <c r="CG917" s="30"/>
      <c r="CH917" s="30"/>
      <c r="CI917" s="30"/>
      <c r="CJ917" s="30"/>
      <c r="CK917" s="30"/>
      <c r="CL917" s="30"/>
      <c r="CM917" s="30"/>
      <c r="CN917" s="1"/>
      <c r="CO917" s="1"/>
      <c r="CP917" s="1"/>
      <c r="CQ917" s="1"/>
      <c r="CR917" s="1"/>
      <c r="CS917" s="1"/>
      <c r="CT917" s="1"/>
      <c r="CU917" s="1"/>
      <c r="CV917" s="1"/>
      <c r="CW917" s="1"/>
    </row>
    <row r="918" spans="2:101" ht="15" hidden="1" customHeight="1" x14ac:dyDescent="0.25"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30"/>
      <c r="W918" s="30"/>
      <c r="X918" s="30"/>
      <c r="Y918" s="30"/>
      <c r="Z918" s="30"/>
      <c r="AA918" s="30"/>
      <c r="AB918" s="30"/>
      <c r="AC918" s="30"/>
      <c r="AD918" s="30"/>
      <c r="AE918" s="30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30"/>
      <c r="AQ918" s="30"/>
      <c r="AR918" s="30"/>
      <c r="AS918" s="30"/>
      <c r="AT918" s="30"/>
      <c r="AU918" s="30"/>
      <c r="AV918" s="30"/>
      <c r="AW918" s="30"/>
      <c r="AX918" s="30"/>
      <c r="AY918" s="30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30"/>
      <c r="BK918" s="30"/>
      <c r="BL918" s="30"/>
      <c r="BM918" s="30"/>
      <c r="BN918" s="30"/>
      <c r="BO918" s="30"/>
      <c r="BP918" s="30"/>
      <c r="BQ918" s="30"/>
      <c r="BR918" s="30"/>
      <c r="BS918" s="30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30"/>
      <c r="CE918" s="30"/>
      <c r="CF918" s="30"/>
      <c r="CG918" s="30"/>
      <c r="CH918" s="30"/>
      <c r="CI918" s="30"/>
      <c r="CJ918" s="30"/>
      <c r="CK918" s="30"/>
      <c r="CL918" s="30"/>
      <c r="CM918" s="30"/>
      <c r="CN918" s="1"/>
      <c r="CO918" s="1"/>
      <c r="CP918" s="1"/>
      <c r="CQ918" s="1"/>
      <c r="CR918" s="1"/>
      <c r="CS918" s="1"/>
      <c r="CT918" s="1"/>
      <c r="CU918" s="1"/>
      <c r="CV918" s="1"/>
      <c r="CW918" s="1"/>
    </row>
    <row r="919" spans="2:101" ht="15" hidden="1" customHeight="1" x14ac:dyDescent="0.25"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30"/>
      <c r="W919" s="30"/>
      <c r="X919" s="30"/>
      <c r="Y919" s="30"/>
      <c r="Z919" s="30"/>
      <c r="AA919" s="30"/>
      <c r="AB919" s="30"/>
      <c r="AC919" s="30"/>
      <c r="AD919" s="30"/>
      <c r="AE919" s="30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30"/>
      <c r="AQ919" s="30"/>
      <c r="AR919" s="30"/>
      <c r="AS919" s="30"/>
      <c r="AT919" s="30"/>
      <c r="AU919" s="30"/>
      <c r="AV919" s="30"/>
      <c r="AW919" s="30"/>
      <c r="AX919" s="30"/>
      <c r="AY919" s="30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30"/>
      <c r="BK919" s="30"/>
      <c r="BL919" s="30"/>
      <c r="BM919" s="30"/>
      <c r="BN919" s="30"/>
      <c r="BO919" s="30"/>
      <c r="BP919" s="30"/>
      <c r="BQ919" s="30"/>
      <c r="BR919" s="30"/>
      <c r="BS919" s="30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30"/>
      <c r="CE919" s="30"/>
      <c r="CF919" s="30"/>
      <c r="CG919" s="30"/>
      <c r="CH919" s="30"/>
      <c r="CI919" s="30"/>
      <c r="CJ919" s="30"/>
      <c r="CK919" s="30"/>
      <c r="CL919" s="30"/>
      <c r="CM919" s="30"/>
      <c r="CN919" s="1"/>
      <c r="CO919" s="1"/>
      <c r="CP919" s="1"/>
      <c r="CQ919" s="1"/>
      <c r="CR919" s="1"/>
      <c r="CS919" s="1"/>
      <c r="CT919" s="1"/>
      <c r="CU919" s="1"/>
      <c r="CV919" s="1"/>
      <c r="CW919" s="1"/>
    </row>
    <row r="920" spans="2:101" ht="15" hidden="1" customHeight="1" x14ac:dyDescent="0.25"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30"/>
      <c r="W920" s="30"/>
      <c r="X920" s="30"/>
      <c r="Y920" s="30"/>
      <c r="Z920" s="30"/>
      <c r="AA920" s="30"/>
      <c r="AB920" s="30"/>
      <c r="AC920" s="30"/>
      <c r="AD920" s="30"/>
      <c r="AE920" s="30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30"/>
      <c r="AQ920" s="30"/>
      <c r="AR920" s="30"/>
      <c r="AS920" s="30"/>
      <c r="AT920" s="30"/>
      <c r="AU920" s="30"/>
      <c r="AV920" s="30"/>
      <c r="AW920" s="30"/>
      <c r="AX920" s="30"/>
      <c r="AY920" s="30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30"/>
      <c r="BK920" s="30"/>
      <c r="BL920" s="30"/>
      <c r="BM920" s="30"/>
      <c r="BN920" s="30"/>
      <c r="BO920" s="30"/>
      <c r="BP920" s="30"/>
      <c r="BQ920" s="30"/>
      <c r="BR920" s="30"/>
      <c r="BS920" s="30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30"/>
      <c r="CE920" s="30"/>
      <c r="CF920" s="30"/>
      <c r="CG920" s="30"/>
      <c r="CH920" s="30"/>
      <c r="CI920" s="30"/>
      <c r="CJ920" s="30"/>
      <c r="CK920" s="30"/>
      <c r="CL920" s="30"/>
      <c r="CM920" s="30"/>
      <c r="CN920" s="1"/>
      <c r="CO920" s="1"/>
      <c r="CP920" s="1"/>
      <c r="CQ920" s="1"/>
      <c r="CR920" s="1"/>
      <c r="CS920" s="1"/>
      <c r="CT920" s="1"/>
      <c r="CU920" s="1"/>
      <c r="CV920" s="1"/>
      <c r="CW920" s="1"/>
    </row>
    <row r="921" spans="2:101" ht="15" hidden="1" customHeight="1" x14ac:dyDescent="0.25"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30"/>
      <c r="W921" s="30"/>
      <c r="X921" s="30"/>
      <c r="Y921" s="30"/>
      <c r="Z921" s="30"/>
      <c r="AA921" s="30"/>
      <c r="AB921" s="30"/>
      <c r="AC921" s="30"/>
      <c r="AD921" s="30"/>
      <c r="AE921" s="30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30"/>
      <c r="AQ921" s="30"/>
      <c r="AR921" s="30"/>
      <c r="AS921" s="30"/>
      <c r="AT921" s="30"/>
      <c r="AU921" s="30"/>
      <c r="AV921" s="30"/>
      <c r="AW921" s="30"/>
      <c r="AX921" s="30"/>
      <c r="AY921" s="30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30"/>
      <c r="BK921" s="30"/>
      <c r="BL921" s="30"/>
      <c r="BM921" s="30"/>
      <c r="BN921" s="30"/>
      <c r="BO921" s="30"/>
      <c r="BP921" s="30"/>
      <c r="BQ921" s="30"/>
      <c r="BR921" s="30"/>
      <c r="BS921" s="30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30"/>
      <c r="CE921" s="30"/>
      <c r="CF921" s="30"/>
      <c r="CG921" s="30"/>
      <c r="CH921" s="30"/>
      <c r="CI921" s="30"/>
      <c r="CJ921" s="30"/>
      <c r="CK921" s="30"/>
      <c r="CL921" s="30"/>
      <c r="CM921" s="30"/>
      <c r="CN921" s="1"/>
      <c r="CO921" s="1"/>
      <c r="CP921" s="1"/>
      <c r="CQ921" s="1"/>
      <c r="CR921" s="1"/>
      <c r="CS921" s="1"/>
      <c r="CT921" s="1"/>
      <c r="CU921" s="1"/>
      <c r="CV921" s="1"/>
      <c r="CW921" s="1"/>
    </row>
    <row r="922" spans="2:101" ht="15" hidden="1" customHeight="1" x14ac:dyDescent="0.25"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30"/>
      <c r="W922" s="30"/>
      <c r="X922" s="30"/>
      <c r="Y922" s="30"/>
      <c r="Z922" s="30"/>
      <c r="AA922" s="30"/>
      <c r="AB922" s="30"/>
      <c r="AC922" s="30"/>
      <c r="AD922" s="30"/>
      <c r="AE922" s="30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30"/>
      <c r="AQ922" s="30"/>
      <c r="AR922" s="30"/>
      <c r="AS922" s="30"/>
      <c r="AT922" s="30"/>
      <c r="AU922" s="30"/>
      <c r="AV922" s="30"/>
      <c r="AW922" s="30"/>
      <c r="AX922" s="30"/>
      <c r="AY922" s="30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30"/>
      <c r="BK922" s="30"/>
      <c r="BL922" s="30"/>
      <c r="BM922" s="30"/>
      <c r="BN922" s="30"/>
      <c r="BO922" s="30"/>
      <c r="BP922" s="30"/>
      <c r="BQ922" s="30"/>
      <c r="BR922" s="30"/>
      <c r="BS922" s="30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30"/>
      <c r="CE922" s="30"/>
      <c r="CF922" s="30"/>
      <c r="CG922" s="30"/>
      <c r="CH922" s="30"/>
      <c r="CI922" s="30"/>
      <c r="CJ922" s="30"/>
      <c r="CK922" s="30"/>
      <c r="CL922" s="30"/>
      <c r="CM922" s="30"/>
      <c r="CN922" s="1"/>
      <c r="CO922" s="1"/>
      <c r="CP922" s="1"/>
      <c r="CQ922" s="1"/>
      <c r="CR922" s="1"/>
      <c r="CS922" s="1"/>
      <c r="CT922" s="1"/>
      <c r="CU922" s="1"/>
      <c r="CV922" s="1"/>
      <c r="CW922" s="1"/>
    </row>
    <row r="923" spans="2:101" ht="15" hidden="1" customHeight="1" x14ac:dyDescent="0.25"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30"/>
      <c r="W923" s="30"/>
      <c r="X923" s="30"/>
      <c r="Y923" s="30"/>
      <c r="Z923" s="30"/>
      <c r="AA923" s="30"/>
      <c r="AB923" s="30"/>
      <c r="AC923" s="30"/>
      <c r="AD923" s="30"/>
      <c r="AE923" s="30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30"/>
      <c r="AQ923" s="30"/>
      <c r="AR923" s="30"/>
      <c r="AS923" s="30"/>
      <c r="AT923" s="30"/>
      <c r="AU923" s="30"/>
      <c r="AV923" s="30"/>
      <c r="AW923" s="30"/>
      <c r="AX923" s="30"/>
      <c r="AY923" s="30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30"/>
      <c r="BK923" s="30"/>
      <c r="BL923" s="30"/>
      <c r="BM923" s="30"/>
      <c r="BN923" s="30"/>
      <c r="BO923" s="30"/>
      <c r="BP923" s="30"/>
      <c r="BQ923" s="30"/>
      <c r="BR923" s="30"/>
      <c r="BS923" s="30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30"/>
      <c r="CE923" s="30"/>
      <c r="CF923" s="30"/>
      <c r="CG923" s="30"/>
      <c r="CH923" s="30"/>
      <c r="CI923" s="30"/>
      <c r="CJ923" s="30"/>
      <c r="CK923" s="30"/>
      <c r="CL923" s="30"/>
      <c r="CM923" s="30"/>
      <c r="CN923" s="1"/>
      <c r="CO923" s="1"/>
      <c r="CP923" s="1"/>
      <c r="CQ923" s="1"/>
      <c r="CR923" s="1"/>
      <c r="CS923" s="1"/>
      <c r="CT923" s="1"/>
      <c r="CU923" s="1"/>
      <c r="CV923" s="1"/>
      <c r="CW923" s="1"/>
    </row>
    <row r="924" spans="2:101" ht="15" hidden="1" customHeight="1" x14ac:dyDescent="0.25"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30"/>
      <c r="W924" s="30"/>
      <c r="X924" s="30"/>
      <c r="Y924" s="30"/>
      <c r="Z924" s="30"/>
      <c r="AA924" s="30"/>
      <c r="AB924" s="30"/>
      <c r="AC924" s="30"/>
      <c r="AD924" s="30"/>
      <c r="AE924" s="30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30"/>
      <c r="AQ924" s="30"/>
      <c r="AR924" s="30"/>
      <c r="AS924" s="30"/>
      <c r="AT924" s="30"/>
      <c r="AU924" s="30"/>
      <c r="AV924" s="30"/>
      <c r="AW924" s="30"/>
      <c r="AX924" s="30"/>
      <c r="AY924" s="30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30"/>
      <c r="BK924" s="30"/>
      <c r="BL924" s="30"/>
      <c r="BM924" s="30"/>
      <c r="BN924" s="30"/>
      <c r="BO924" s="30"/>
      <c r="BP924" s="30"/>
      <c r="BQ924" s="30"/>
      <c r="BR924" s="30"/>
      <c r="BS924" s="30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30"/>
      <c r="CE924" s="30"/>
      <c r="CF924" s="30"/>
      <c r="CG924" s="30"/>
      <c r="CH924" s="30"/>
      <c r="CI924" s="30"/>
      <c r="CJ924" s="30"/>
      <c r="CK924" s="30"/>
      <c r="CL924" s="30"/>
      <c r="CM924" s="30"/>
      <c r="CN924" s="1"/>
      <c r="CO924" s="1"/>
      <c r="CP924" s="1"/>
      <c r="CQ924" s="1"/>
      <c r="CR924" s="1"/>
      <c r="CS924" s="1"/>
      <c r="CT924" s="1"/>
      <c r="CU924" s="1"/>
      <c r="CV924" s="1"/>
      <c r="CW924" s="1"/>
    </row>
    <row r="925" spans="2:101" ht="15" hidden="1" customHeight="1" x14ac:dyDescent="0.25"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30"/>
      <c r="W925" s="30"/>
      <c r="X925" s="30"/>
      <c r="Y925" s="30"/>
      <c r="Z925" s="30"/>
      <c r="AA925" s="30"/>
      <c r="AB925" s="30"/>
      <c r="AC925" s="30"/>
      <c r="AD925" s="30"/>
      <c r="AE925" s="30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30"/>
      <c r="AQ925" s="30"/>
      <c r="AR925" s="30"/>
      <c r="AS925" s="30"/>
      <c r="AT925" s="30"/>
      <c r="AU925" s="30"/>
      <c r="AV925" s="30"/>
      <c r="AW925" s="30"/>
      <c r="AX925" s="30"/>
      <c r="AY925" s="30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30"/>
      <c r="BK925" s="30"/>
      <c r="BL925" s="30"/>
      <c r="BM925" s="30"/>
      <c r="BN925" s="30"/>
      <c r="BO925" s="30"/>
      <c r="BP925" s="30"/>
      <c r="BQ925" s="30"/>
      <c r="BR925" s="30"/>
      <c r="BS925" s="30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30"/>
      <c r="CE925" s="30"/>
      <c r="CF925" s="30"/>
      <c r="CG925" s="30"/>
      <c r="CH925" s="30"/>
      <c r="CI925" s="30"/>
      <c r="CJ925" s="30"/>
      <c r="CK925" s="30"/>
      <c r="CL925" s="30"/>
      <c r="CM925" s="30"/>
      <c r="CN925" s="1"/>
      <c r="CO925" s="1"/>
      <c r="CP925" s="1"/>
      <c r="CQ925" s="1"/>
      <c r="CR925" s="1"/>
      <c r="CS925" s="1"/>
      <c r="CT925" s="1"/>
      <c r="CU925" s="1"/>
      <c r="CV925" s="1"/>
      <c r="CW925" s="1"/>
    </row>
    <row r="926" spans="2:101" ht="15" hidden="1" customHeight="1" x14ac:dyDescent="0.25"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30"/>
      <c r="W926" s="30"/>
      <c r="X926" s="30"/>
      <c r="Y926" s="30"/>
      <c r="Z926" s="30"/>
      <c r="AA926" s="30"/>
      <c r="AB926" s="30"/>
      <c r="AC926" s="30"/>
      <c r="AD926" s="30"/>
      <c r="AE926" s="30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30"/>
      <c r="AQ926" s="30"/>
      <c r="AR926" s="30"/>
      <c r="AS926" s="30"/>
      <c r="AT926" s="30"/>
      <c r="AU926" s="30"/>
      <c r="AV926" s="30"/>
      <c r="AW926" s="30"/>
      <c r="AX926" s="30"/>
      <c r="AY926" s="30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30"/>
      <c r="BK926" s="30"/>
      <c r="BL926" s="30"/>
      <c r="BM926" s="30"/>
      <c r="BN926" s="30"/>
      <c r="BO926" s="30"/>
      <c r="BP926" s="30"/>
      <c r="BQ926" s="30"/>
      <c r="BR926" s="30"/>
      <c r="BS926" s="30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30"/>
      <c r="CE926" s="30"/>
      <c r="CF926" s="30"/>
      <c r="CG926" s="30"/>
      <c r="CH926" s="30"/>
      <c r="CI926" s="30"/>
      <c r="CJ926" s="30"/>
      <c r="CK926" s="30"/>
      <c r="CL926" s="30"/>
      <c r="CM926" s="30"/>
      <c r="CN926" s="1"/>
      <c r="CO926" s="1"/>
      <c r="CP926" s="1"/>
      <c r="CQ926" s="1"/>
      <c r="CR926" s="1"/>
      <c r="CS926" s="1"/>
      <c r="CT926" s="1"/>
      <c r="CU926" s="1"/>
      <c r="CV926" s="1"/>
      <c r="CW926" s="1"/>
    </row>
    <row r="927" spans="2:101" ht="15" hidden="1" customHeight="1" x14ac:dyDescent="0.25"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30"/>
      <c r="W927" s="30"/>
      <c r="X927" s="30"/>
      <c r="Y927" s="30"/>
      <c r="Z927" s="30"/>
      <c r="AA927" s="30"/>
      <c r="AB927" s="30"/>
      <c r="AC927" s="30"/>
      <c r="AD927" s="30"/>
      <c r="AE927" s="30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30"/>
      <c r="AQ927" s="30"/>
      <c r="AR927" s="30"/>
      <c r="AS927" s="30"/>
      <c r="AT927" s="30"/>
      <c r="AU927" s="30"/>
      <c r="AV927" s="30"/>
      <c r="AW927" s="30"/>
      <c r="AX927" s="30"/>
      <c r="AY927" s="30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30"/>
      <c r="BK927" s="30"/>
      <c r="BL927" s="30"/>
      <c r="BM927" s="30"/>
      <c r="BN927" s="30"/>
      <c r="BO927" s="30"/>
      <c r="BP927" s="30"/>
      <c r="BQ927" s="30"/>
      <c r="BR927" s="30"/>
      <c r="BS927" s="30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30"/>
      <c r="CE927" s="30"/>
      <c r="CF927" s="30"/>
      <c r="CG927" s="30"/>
      <c r="CH927" s="30"/>
      <c r="CI927" s="30"/>
      <c r="CJ927" s="30"/>
      <c r="CK927" s="30"/>
      <c r="CL927" s="30"/>
      <c r="CM927" s="30"/>
      <c r="CN927" s="1"/>
      <c r="CO927" s="1"/>
      <c r="CP927" s="1"/>
      <c r="CQ927" s="1"/>
      <c r="CR927" s="1"/>
      <c r="CS927" s="1"/>
      <c r="CT927" s="1"/>
      <c r="CU927" s="1"/>
      <c r="CV927" s="1"/>
      <c r="CW927" s="1"/>
    </row>
    <row r="928" spans="2:101" ht="15" hidden="1" customHeight="1" x14ac:dyDescent="0.25"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30"/>
      <c r="W928" s="30"/>
      <c r="X928" s="30"/>
      <c r="Y928" s="30"/>
      <c r="Z928" s="30"/>
      <c r="AA928" s="30"/>
      <c r="AB928" s="30"/>
      <c r="AC928" s="30"/>
      <c r="AD928" s="30"/>
      <c r="AE928" s="30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30"/>
      <c r="AQ928" s="30"/>
      <c r="AR928" s="30"/>
      <c r="AS928" s="30"/>
      <c r="AT928" s="30"/>
      <c r="AU928" s="30"/>
      <c r="AV928" s="30"/>
      <c r="AW928" s="30"/>
      <c r="AX928" s="30"/>
      <c r="AY928" s="30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30"/>
      <c r="BK928" s="30"/>
      <c r="BL928" s="30"/>
      <c r="BM928" s="30"/>
      <c r="BN928" s="30"/>
      <c r="BO928" s="30"/>
      <c r="BP928" s="30"/>
      <c r="BQ928" s="30"/>
      <c r="BR928" s="30"/>
      <c r="BS928" s="30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30"/>
      <c r="CE928" s="30"/>
      <c r="CF928" s="30"/>
      <c r="CG928" s="30"/>
      <c r="CH928" s="30"/>
      <c r="CI928" s="30"/>
      <c r="CJ928" s="30"/>
      <c r="CK928" s="30"/>
      <c r="CL928" s="30"/>
      <c r="CM928" s="30"/>
      <c r="CN928" s="1"/>
      <c r="CO928" s="1"/>
      <c r="CP928" s="1"/>
      <c r="CQ928" s="1"/>
      <c r="CR928" s="1"/>
      <c r="CS928" s="1"/>
      <c r="CT928" s="1"/>
      <c r="CU928" s="1"/>
      <c r="CV928" s="1"/>
      <c r="CW928" s="1"/>
    </row>
    <row r="929" spans="2:101" ht="15" hidden="1" customHeight="1" x14ac:dyDescent="0.25"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30"/>
      <c r="W929" s="30"/>
      <c r="X929" s="30"/>
      <c r="Y929" s="30"/>
      <c r="Z929" s="30"/>
      <c r="AA929" s="30"/>
      <c r="AB929" s="30"/>
      <c r="AC929" s="30"/>
      <c r="AD929" s="30"/>
      <c r="AE929" s="30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30"/>
      <c r="AQ929" s="30"/>
      <c r="AR929" s="30"/>
      <c r="AS929" s="30"/>
      <c r="AT929" s="30"/>
      <c r="AU929" s="30"/>
      <c r="AV929" s="30"/>
      <c r="AW929" s="30"/>
      <c r="AX929" s="30"/>
      <c r="AY929" s="30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30"/>
      <c r="BK929" s="30"/>
      <c r="BL929" s="30"/>
      <c r="BM929" s="30"/>
      <c r="BN929" s="30"/>
      <c r="BO929" s="30"/>
      <c r="BP929" s="30"/>
      <c r="BQ929" s="30"/>
      <c r="BR929" s="30"/>
      <c r="BS929" s="30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30"/>
      <c r="CE929" s="30"/>
      <c r="CF929" s="30"/>
      <c r="CG929" s="30"/>
      <c r="CH929" s="30"/>
      <c r="CI929" s="30"/>
      <c r="CJ929" s="30"/>
      <c r="CK929" s="30"/>
      <c r="CL929" s="30"/>
      <c r="CM929" s="30"/>
      <c r="CN929" s="1"/>
      <c r="CO929" s="1"/>
      <c r="CP929" s="1"/>
      <c r="CQ929" s="1"/>
      <c r="CR929" s="1"/>
      <c r="CS929" s="1"/>
      <c r="CT929" s="1"/>
      <c r="CU929" s="1"/>
      <c r="CV929" s="1"/>
      <c r="CW929" s="1"/>
    </row>
    <row r="930" spans="2:101" ht="15" hidden="1" customHeight="1" x14ac:dyDescent="0.25"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30"/>
      <c r="W930" s="30"/>
      <c r="X930" s="30"/>
      <c r="Y930" s="30"/>
      <c r="Z930" s="30"/>
      <c r="AA930" s="30"/>
      <c r="AB930" s="30"/>
      <c r="AC930" s="30"/>
      <c r="AD930" s="30"/>
      <c r="AE930" s="30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30"/>
      <c r="AQ930" s="30"/>
      <c r="AR930" s="30"/>
      <c r="AS930" s="30"/>
      <c r="AT930" s="30"/>
      <c r="AU930" s="30"/>
      <c r="AV930" s="30"/>
      <c r="AW930" s="30"/>
      <c r="AX930" s="30"/>
      <c r="AY930" s="30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30"/>
      <c r="BK930" s="30"/>
      <c r="BL930" s="30"/>
      <c r="BM930" s="30"/>
      <c r="BN930" s="30"/>
      <c r="BO930" s="30"/>
      <c r="BP930" s="30"/>
      <c r="BQ930" s="30"/>
      <c r="BR930" s="30"/>
      <c r="BS930" s="30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30"/>
      <c r="CE930" s="30"/>
      <c r="CF930" s="30"/>
      <c r="CG930" s="30"/>
      <c r="CH930" s="30"/>
      <c r="CI930" s="30"/>
      <c r="CJ930" s="30"/>
      <c r="CK930" s="30"/>
      <c r="CL930" s="30"/>
      <c r="CM930" s="30"/>
      <c r="CN930" s="1"/>
      <c r="CO930" s="1"/>
      <c r="CP930" s="1"/>
      <c r="CQ930" s="1"/>
      <c r="CR930" s="1"/>
      <c r="CS930" s="1"/>
      <c r="CT930" s="1"/>
      <c r="CU930" s="1"/>
      <c r="CV930" s="1"/>
      <c r="CW930" s="1"/>
    </row>
    <row r="931" spans="2:101" ht="15" hidden="1" customHeight="1" x14ac:dyDescent="0.25"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30"/>
      <c r="W931" s="30"/>
      <c r="X931" s="30"/>
      <c r="Y931" s="30"/>
      <c r="Z931" s="30"/>
      <c r="AA931" s="30"/>
      <c r="AB931" s="30"/>
      <c r="AC931" s="30"/>
      <c r="AD931" s="30"/>
      <c r="AE931" s="30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30"/>
      <c r="AQ931" s="30"/>
      <c r="AR931" s="30"/>
      <c r="AS931" s="30"/>
      <c r="AT931" s="30"/>
      <c r="AU931" s="30"/>
      <c r="AV931" s="30"/>
      <c r="AW931" s="30"/>
      <c r="AX931" s="30"/>
      <c r="AY931" s="30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30"/>
      <c r="BK931" s="30"/>
      <c r="BL931" s="30"/>
      <c r="BM931" s="30"/>
      <c r="BN931" s="30"/>
      <c r="BO931" s="30"/>
      <c r="BP931" s="30"/>
      <c r="BQ931" s="30"/>
      <c r="BR931" s="30"/>
      <c r="BS931" s="30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30"/>
      <c r="CE931" s="30"/>
      <c r="CF931" s="30"/>
      <c r="CG931" s="30"/>
      <c r="CH931" s="30"/>
      <c r="CI931" s="30"/>
      <c r="CJ931" s="30"/>
      <c r="CK931" s="30"/>
      <c r="CL931" s="30"/>
      <c r="CM931" s="30"/>
      <c r="CN931" s="1"/>
      <c r="CO931" s="1"/>
      <c r="CP931" s="1"/>
      <c r="CQ931" s="1"/>
      <c r="CR931" s="1"/>
      <c r="CS931" s="1"/>
      <c r="CT931" s="1"/>
      <c r="CU931" s="1"/>
      <c r="CV931" s="1"/>
      <c r="CW931" s="1"/>
    </row>
    <row r="932" spans="2:101" ht="15" hidden="1" customHeight="1" x14ac:dyDescent="0.25"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30"/>
      <c r="W932" s="30"/>
      <c r="X932" s="30"/>
      <c r="Y932" s="30"/>
      <c r="Z932" s="30"/>
      <c r="AA932" s="30"/>
      <c r="AB932" s="30"/>
      <c r="AC932" s="30"/>
      <c r="AD932" s="30"/>
      <c r="AE932" s="30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30"/>
      <c r="AQ932" s="30"/>
      <c r="AR932" s="30"/>
      <c r="AS932" s="30"/>
      <c r="AT932" s="30"/>
      <c r="AU932" s="30"/>
      <c r="AV932" s="30"/>
      <c r="AW932" s="30"/>
      <c r="AX932" s="30"/>
      <c r="AY932" s="30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30"/>
      <c r="BK932" s="30"/>
      <c r="BL932" s="30"/>
      <c r="BM932" s="30"/>
      <c r="BN932" s="30"/>
      <c r="BO932" s="30"/>
      <c r="BP932" s="30"/>
      <c r="BQ932" s="30"/>
      <c r="BR932" s="30"/>
      <c r="BS932" s="30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30"/>
      <c r="CE932" s="30"/>
      <c r="CF932" s="30"/>
      <c r="CG932" s="30"/>
      <c r="CH932" s="30"/>
      <c r="CI932" s="30"/>
      <c r="CJ932" s="30"/>
      <c r="CK932" s="30"/>
      <c r="CL932" s="30"/>
      <c r="CM932" s="30"/>
      <c r="CN932" s="1"/>
      <c r="CO932" s="1"/>
      <c r="CP932" s="1"/>
      <c r="CQ932" s="1"/>
      <c r="CR932" s="1"/>
      <c r="CS932" s="1"/>
      <c r="CT932" s="1"/>
      <c r="CU932" s="1"/>
      <c r="CV932" s="1"/>
      <c r="CW932" s="1"/>
    </row>
    <row r="933" spans="2:101" ht="15" hidden="1" customHeight="1" x14ac:dyDescent="0.25"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30"/>
      <c r="W933" s="30"/>
      <c r="X933" s="30"/>
      <c r="Y933" s="30"/>
      <c r="Z933" s="30"/>
      <c r="AA933" s="30"/>
      <c r="AB933" s="30"/>
      <c r="AC933" s="30"/>
      <c r="AD933" s="30"/>
      <c r="AE933" s="30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30"/>
      <c r="AQ933" s="30"/>
      <c r="AR933" s="30"/>
      <c r="AS933" s="30"/>
      <c r="AT933" s="30"/>
      <c r="AU933" s="30"/>
      <c r="AV933" s="30"/>
      <c r="AW933" s="30"/>
      <c r="AX933" s="30"/>
      <c r="AY933" s="30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30"/>
      <c r="BK933" s="30"/>
      <c r="BL933" s="30"/>
      <c r="BM933" s="30"/>
      <c r="BN933" s="30"/>
      <c r="BO933" s="30"/>
      <c r="BP933" s="30"/>
      <c r="BQ933" s="30"/>
      <c r="BR933" s="30"/>
      <c r="BS933" s="30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30"/>
      <c r="CE933" s="30"/>
      <c r="CF933" s="30"/>
      <c r="CG933" s="30"/>
      <c r="CH933" s="30"/>
      <c r="CI933" s="30"/>
      <c r="CJ933" s="30"/>
      <c r="CK933" s="30"/>
      <c r="CL933" s="30"/>
      <c r="CM933" s="30"/>
      <c r="CN933" s="1"/>
      <c r="CO933" s="1"/>
      <c r="CP933" s="1"/>
      <c r="CQ933" s="1"/>
      <c r="CR933" s="1"/>
      <c r="CS933" s="1"/>
      <c r="CT933" s="1"/>
      <c r="CU933" s="1"/>
      <c r="CV933" s="1"/>
      <c r="CW933" s="1"/>
    </row>
    <row r="934" spans="2:101" ht="15" hidden="1" customHeight="1" x14ac:dyDescent="0.25"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30"/>
      <c r="W934" s="30"/>
      <c r="X934" s="30"/>
      <c r="Y934" s="30"/>
      <c r="Z934" s="30"/>
      <c r="AA934" s="30"/>
      <c r="AB934" s="30"/>
      <c r="AC934" s="30"/>
      <c r="AD934" s="30"/>
      <c r="AE934" s="30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30"/>
      <c r="AQ934" s="30"/>
      <c r="AR934" s="30"/>
      <c r="AS934" s="30"/>
      <c r="AT934" s="30"/>
      <c r="AU934" s="30"/>
      <c r="AV934" s="30"/>
      <c r="AW934" s="30"/>
      <c r="AX934" s="30"/>
      <c r="AY934" s="30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30"/>
      <c r="BK934" s="30"/>
      <c r="BL934" s="30"/>
      <c r="BM934" s="30"/>
      <c r="BN934" s="30"/>
      <c r="BO934" s="30"/>
      <c r="BP934" s="30"/>
      <c r="BQ934" s="30"/>
      <c r="BR934" s="30"/>
      <c r="BS934" s="30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30"/>
      <c r="CE934" s="30"/>
      <c r="CF934" s="30"/>
      <c r="CG934" s="30"/>
      <c r="CH934" s="30"/>
      <c r="CI934" s="30"/>
      <c r="CJ934" s="30"/>
      <c r="CK934" s="30"/>
      <c r="CL934" s="30"/>
      <c r="CM934" s="30"/>
      <c r="CN934" s="1"/>
      <c r="CO934" s="1"/>
      <c r="CP934" s="1"/>
      <c r="CQ934" s="1"/>
      <c r="CR934" s="1"/>
      <c r="CS934" s="1"/>
      <c r="CT934" s="1"/>
      <c r="CU934" s="1"/>
      <c r="CV934" s="1"/>
      <c r="CW934" s="1"/>
    </row>
    <row r="935" spans="2:101" ht="15" hidden="1" customHeight="1" x14ac:dyDescent="0.25"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30"/>
      <c r="W935" s="30"/>
      <c r="X935" s="30"/>
      <c r="Y935" s="30"/>
      <c r="Z935" s="30"/>
      <c r="AA935" s="30"/>
      <c r="AB935" s="30"/>
      <c r="AC935" s="30"/>
      <c r="AD935" s="30"/>
      <c r="AE935" s="30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30"/>
      <c r="AQ935" s="30"/>
      <c r="AR935" s="30"/>
      <c r="AS935" s="30"/>
      <c r="AT935" s="30"/>
      <c r="AU935" s="30"/>
      <c r="AV935" s="30"/>
      <c r="AW935" s="30"/>
      <c r="AX935" s="30"/>
      <c r="AY935" s="30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30"/>
      <c r="BK935" s="30"/>
      <c r="BL935" s="30"/>
      <c r="BM935" s="30"/>
      <c r="BN935" s="30"/>
      <c r="BO935" s="30"/>
      <c r="BP935" s="30"/>
      <c r="BQ935" s="30"/>
      <c r="BR935" s="30"/>
      <c r="BS935" s="30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30"/>
      <c r="CE935" s="30"/>
      <c r="CF935" s="30"/>
      <c r="CG935" s="30"/>
      <c r="CH935" s="30"/>
      <c r="CI935" s="30"/>
      <c r="CJ935" s="30"/>
      <c r="CK935" s="30"/>
      <c r="CL935" s="30"/>
      <c r="CM935" s="30"/>
      <c r="CN935" s="1"/>
      <c r="CO935" s="1"/>
      <c r="CP935" s="1"/>
      <c r="CQ935" s="1"/>
      <c r="CR935" s="1"/>
      <c r="CS935" s="1"/>
      <c r="CT935" s="1"/>
      <c r="CU935" s="1"/>
      <c r="CV935" s="1"/>
      <c r="CW935" s="1"/>
    </row>
    <row r="936" spans="2:101" ht="15" hidden="1" customHeight="1" x14ac:dyDescent="0.25"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30"/>
      <c r="W936" s="30"/>
      <c r="X936" s="30"/>
      <c r="Y936" s="30"/>
      <c r="Z936" s="30"/>
      <c r="AA936" s="30"/>
      <c r="AB936" s="30"/>
      <c r="AC936" s="30"/>
      <c r="AD936" s="30"/>
      <c r="AE936" s="30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30"/>
      <c r="AQ936" s="30"/>
      <c r="AR936" s="30"/>
      <c r="AS936" s="30"/>
      <c r="AT936" s="30"/>
      <c r="AU936" s="30"/>
      <c r="AV936" s="30"/>
      <c r="AW936" s="30"/>
      <c r="AX936" s="30"/>
      <c r="AY936" s="30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30"/>
      <c r="BK936" s="30"/>
      <c r="BL936" s="30"/>
      <c r="BM936" s="30"/>
      <c r="BN936" s="30"/>
      <c r="BO936" s="30"/>
      <c r="BP936" s="30"/>
      <c r="BQ936" s="30"/>
      <c r="BR936" s="30"/>
      <c r="BS936" s="30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30"/>
      <c r="CE936" s="30"/>
      <c r="CF936" s="30"/>
      <c r="CG936" s="30"/>
      <c r="CH936" s="30"/>
      <c r="CI936" s="30"/>
      <c r="CJ936" s="30"/>
      <c r="CK936" s="30"/>
      <c r="CL936" s="30"/>
      <c r="CM936" s="30"/>
      <c r="CN936" s="1"/>
      <c r="CO936" s="1"/>
      <c r="CP936" s="1"/>
      <c r="CQ936" s="1"/>
      <c r="CR936" s="1"/>
      <c r="CS936" s="1"/>
      <c r="CT936" s="1"/>
      <c r="CU936" s="1"/>
      <c r="CV936" s="1"/>
      <c r="CW936" s="1"/>
    </row>
    <row r="937" spans="2:101" ht="15" hidden="1" customHeight="1" x14ac:dyDescent="0.25"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30"/>
      <c r="W937" s="30"/>
      <c r="X937" s="30"/>
      <c r="Y937" s="30"/>
      <c r="Z937" s="30"/>
      <c r="AA937" s="30"/>
      <c r="AB937" s="30"/>
      <c r="AC937" s="30"/>
      <c r="AD937" s="30"/>
      <c r="AE937" s="30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30"/>
      <c r="AQ937" s="30"/>
      <c r="AR937" s="30"/>
      <c r="AS937" s="30"/>
      <c r="AT937" s="30"/>
      <c r="AU937" s="30"/>
      <c r="AV937" s="30"/>
      <c r="AW937" s="30"/>
      <c r="AX937" s="30"/>
      <c r="AY937" s="30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30"/>
      <c r="BK937" s="30"/>
      <c r="BL937" s="30"/>
      <c r="BM937" s="30"/>
      <c r="BN937" s="30"/>
      <c r="BO937" s="30"/>
      <c r="BP937" s="30"/>
      <c r="BQ937" s="30"/>
      <c r="BR937" s="30"/>
      <c r="BS937" s="30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30"/>
      <c r="CE937" s="30"/>
      <c r="CF937" s="30"/>
      <c r="CG937" s="30"/>
      <c r="CH937" s="30"/>
      <c r="CI937" s="30"/>
      <c r="CJ937" s="30"/>
      <c r="CK937" s="30"/>
      <c r="CL937" s="30"/>
      <c r="CM937" s="30"/>
      <c r="CN937" s="1"/>
      <c r="CO937" s="1"/>
      <c r="CP937" s="1"/>
      <c r="CQ937" s="1"/>
      <c r="CR937" s="1"/>
      <c r="CS937" s="1"/>
      <c r="CT937" s="1"/>
      <c r="CU937" s="1"/>
      <c r="CV937" s="1"/>
      <c r="CW937" s="1"/>
    </row>
    <row r="938" spans="2:101" ht="15" hidden="1" customHeight="1" x14ac:dyDescent="0.25"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30"/>
      <c r="AQ938" s="30"/>
      <c r="AR938" s="30"/>
      <c r="AS938" s="30"/>
      <c r="AT938" s="30"/>
      <c r="AU938" s="30"/>
      <c r="AV938" s="30"/>
      <c r="AW938" s="30"/>
      <c r="AX938" s="30"/>
      <c r="AY938" s="30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30"/>
      <c r="BK938" s="30"/>
      <c r="BL938" s="30"/>
      <c r="BM938" s="30"/>
      <c r="BN938" s="30"/>
      <c r="BO938" s="30"/>
      <c r="BP938" s="30"/>
      <c r="BQ938" s="30"/>
      <c r="BR938" s="30"/>
      <c r="BS938" s="30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30"/>
      <c r="CE938" s="30"/>
      <c r="CF938" s="30"/>
      <c r="CG938" s="30"/>
      <c r="CH938" s="30"/>
      <c r="CI938" s="30"/>
      <c r="CJ938" s="30"/>
      <c r="CK938" s="30"/>
      <c r="CL938" s="30"/>
      <c r="CM938" s="30"/>
      <c r="CN938" s="1"/>
      <c r="CO938" s="1"/>
      <c r="CP938" s="1"/>
      <c r="CQ938" s="1"/>
      <c r="CR938" s="1"/>
      <c r="CS938" s="1"/>
      <c r="CT938" s="1"/>
      <c r="CU938" s="1"/>
      <c r="CV938" s="1"/>
      <c r="CW938" s="1"/>
    </row>
    <row r="939" spans="2:101" ht="15" hidden="1" customHeight="1" x14ac:dyDescent="0.25"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30"/>
      <c r="W939" s="30"/>
      <c r="X939" s="30"/>
      <c r="Y939" s="30"/>
      <c r="Z939" s="30"/>
      <c r="AA939" s="30"/>
      <c r="AB939" s="30"/>
      <c r="AC939" s="30"/>
      <c r="AD939" s="30"/>
      <c r="AE939" s="30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30"/>
      <c r="AQ939" s="30"/>
      <c r="AR939" s="30"/>
      <c r="AS939" s="30"/>
      <c r="AT939" s="30"/>
      <c r="AU939" s="30"/>
      <c r="AV939" s="30"/>
      <c r="AW939" s="30"/>
      <c r="AX939" s="30"/>
      <c r="AY939" s="30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30"/>
      <c r="BK939" s="30"/>
      <c r="BL939" s="30"/>
      <c r="BM939" s="30"/>
      <c r="BN939" s="30"/>
      <c r="BO939" s="30"/>
      <c r="BP939" s="30"/>
      <c r="BQ939" s="30"/>
      <c r="BR939" s="30"/>
      <c r="BS939" s="30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30"/>
      <c r="CE939" s="30"/>
      <c r="CF939" s="30"/>
      <c r="CG939" s="30"/>
      <c r="CH939" s="30"/>
      <c r="CI939" s="30"/>
      <c r="CJ939" s="30"/>
      <c r="CK939" s="30"/>
      <c r="CL939" s="30"/>
      <c r="CM939" s="30"/>
      <c r="CN939" s="1"/>
      <c r="CO939" s="1"/>
      <c r="CP939" s="1"/>
      <c r="CQ939" s="1"/>
      <c r="CR939" s="1"/>
      <c r="CS939" s="1"/>
      <c r="CT939" s="1"/>
      <c r="CU939" s="1"/>
      <c r="CV939" s="1"/>
      <c r="CW939" s="1"/>
    </row>
    <row r="940" spans="2:101" ht="15" hidden="1" customHeight="1" x14ac:dyDescent="0.25"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30"/>
      <c r="W940" s="30"/>
      <c r="X940" s="30"/>
      <c r="Y940" s="30"/>
      <c r="Z940" s="30"/>
      <c r="AA940" s="30"/>
      <c r="AB940" s="30"/>
      <c r="AC940" s="30"/>
      <c r="AD940" s="30"/>
      <c r="AE940" s="30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30"/>
      <c r="AQ940" s="30"/>
      <c r="AR940" s="30"/>
      <c r="AS940" s="30"/>
      <c r="AT940" s="30"/>
      <c r="AU940" s="30"/>
      <c r="AV940" s="30"/>
      <c r="AW940" s="30"/>
      <c r="AX940" s="30"/>
      <c r="AY940" s="30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30"/>
      <c r="BK940" s="30"/>
      <c r="BL940" s="30"/>
      <c r="BM940" s="30"/>
      <c r="BN940" s="30"/>
      <c r="BO940" s="30"/>
      <c r="BP940" s="30"/>
      <c r="BQ940" s="30"/>
      <c r="BR940" s="30"/>
      <c r="BS940" s="30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30"/>
      <c r="CE940" s="30"/>
      <c r="CF940" s="30"/>
      <c r="CG940" s="30"/>
      <c r="CH940" s="30"/>
      <c r="CI940" s="30"/>
      <c r="CJ940" s="30"/>
      <c r="CK940" s="30"/>
      <c r="CL940" s="30"/>
      <c r="CM940" s="30"/>
      <c r="CN940" s="1"/>
      <c r="CO940" s="1"/>
      <c r="CP940" s="1"/>
      <c r="CQ940" s="1"/>
      <c r="CR940" s="1"/>
      <c r="CS940" s="1"/>
      <c r="CT940" s="1"/>
      <c r="CU940" s="1"/>
      <c r="CV940" s="1"/>
      <c r="CW940" s="1"/>
    </row>
    <row r="941" spans="2:101" ht="15" hidden="1" customHeight="1" x14ac:dyDescent="0.25"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30"/>
      <c r="W941" s="30"/>
      <c r="X941" s="30"/>
      <c r="Y941" s="30"/>
      <c r="Z941" s="30"/>
      <c r="AA941" s="30"/>
      <c r="AB941" s="30"/>
      <c r="AC941" s="30"/>
      <c r="AD941" s="30"/>
      <c r="AE941" s="30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30"/>
      <c r="AQ941" s="30"/>
      <c r="AR941" s="30"/>
      <c r="AS941" s="30"/>
      <c r="AT941" s="30"/>
      <c r="AU941" s="30"/>
      <c r="AV941" s="30"/>
      <c r="AW941" s="30"/>
      <c r="AX941" s="30"/>
      <c r="AY941" s="30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30"/>
      <c r="BK941" s="30"/>
      <c r="BL941" s="30"/>
      <c r="BM941" s="30"/>
      <c r="BN941" s="30"/>
      <c r="BO941" s="30"/>
      <c r="BP941" s="30"/>
      <c r="BQ941" s="30"/>
      <c r="BR941" s="30"/>
      <c r="BS941" s="30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30"/>
      <c r="CE941" s="30"/>
      <c r="CF941" s="30"/>
      <c r="CG941" s="30"/>
      <c r="CH941" s="30"/>
      <c r="CI941" s="30"/>
      <c r="CJ941" s="30"/>
      <c r="CK941" s="30"/>
      <c r="CL941" s="30"/>
      <c r="CM941" s="30"/>
      <c r="CN941" s="1"/>
      <c r="CO941" s="1"/>
      <c r="CP941" s="1"/>
      <c r="CQ941" s="1"/>
      <c r="CR941" s="1"/>
      <c r="CS941" s="1"/>
      <c r="CT941" s="1"/>
      <c r="CU941" s="1"/>
      <c r="CV941" s="1"/>
      <c r="CW941" s="1"/>
    </row>
    <row r="942" spans="2:101" ht="15" hidden="1" customHeight="1" x14ac:dyDescent="0.25"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30"/>
      <c r="W942" s="30"/>
      <c r="X942" s="30"/>
      <c r="Y942" s="30"/>
      <c r="Z942" s="30"/>
      <c r="AA942" s="30"/>
      <c r="AB942" s="30"/>
      <c r="AC942" s="30"/>
      <c r="AD942" s="30"/>
      <c r="AE942" s="30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30"/>
      <c r="AQ942" s="30"/>
      <c r="AR942" s="30"/>
      <c r="AS942" s="30"/>
      <c r="AT942" s="30"/>
      <c r="AU942" s="30"/>
      <c r="AV942" s="30"/>
      <c r="AW942" s="30"/>
      <c r="AX942" s="30"/>
      <c r="AY942" s="30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30"/>
      <c r="BK942" s="30"/>
      <c r="BL942" s="30"/>
      <c r="BM942" s="30"/>
      <c r="BN942" s="30"/>
      <c r="BO942" s="30"/>
      <c r="BP942" s="30"/>
      <c r="BQ942" s="30"/>
      <c r="BR942" s="30"/>
      <c r="BS942" s="30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30"/>
      <c r="CE942" s="30"/>
      <c r="CF942" s="30"/>
      <c r="CG942" s="30"/>
      <c r="CH942" s="30"/>
      <c r="CI942" s="30"/>
      <c r="CJ942" s="30"/>
      <c r="CK942" s="30"/>
      <c r="CL942" s="30"/>
      <c r="CM942" s="30"/>
      <c r="CN942" s="1"/>
      <c r="CO942" s="1"/>
      <c r="CP942" s="1"/>
      <c r="CQ942" s="1"/>
      <c r="CR942" s="1"/>
      <c r="CS942" s="1"/>
      <c r="CT942" s="1"/>
      <c r="CU942" s="1"/>
      <c r="CV942" s="1"/>
      <c r="CW942" s="1"/>
    </row>
    <row r="943" spans="2:101" ht="15" hidden="1" customHeight="1" x14ac:dyDescent="0.25"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30"/>
      <c r="W943" s="30"/>
      <c r="X943" s="30"/>
      <c r="Y943" s="30"/>
      <c r="Z943" s="30"/>
      <c r="AA943" s="30"/>
      <c r="AB943" s="30"/>
      <c r="AC943" s="30"/>
      <c r="AD943" s="30"/>
      <c r="AE943" s="30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30"/>
      <c r="AQ943" s="30"/>
      <c r="AR943" s="30"/>
      <c r="AS943" s="30"/>
      <c r="AT943" s="30"/>
      <c r="AU943" s="30"/>
      <c r="AV943" s="30"/>
      <c r="AW943" s="30"/>
      <c r="AX943" s="30"/>
      <c r="AY943" s="30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30"/>
      <c r="BK943" s="30"/>
      <c r="BL943" s="30"/>
      <c r="BM943" s="30"/>
      <c r="BN943" s="30"/>
      <c r="BO943" s="30"/>
      <c r="BP943" s="30"/>
      <c r="BQ943" s="30"/>
      <c r="BR943" s="30"/>
      <c r="BS943" s="30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30"/>
      <c r="CE943" s="30"/>
      <c r="CF943" s="30"/>
      <c r="CG943" s="30"/>
      <c r="CH943" s="30"/>
      <c r="CI943" s="30"/>
      <c r="CJ943" s="30"/>
      <c r="CK943" s="30"/>
      <c r="CL943" s="30"/>
      <c r="CM943" s="30"/>
      <c r="CN943" s="1"/>
      <c r="CO943" s="1"/>
      <c r="CP943" s="1"/>
      <c r="CQ943" s="1"/>
      <c r="CR943" s="1"/>
      <c r="CS943" s="1"/>
      <c r="CT943" s="1"/>
      <c r="CU943" s="1"/>
      <c r="CV943" s="1"/>
      <c r="CW943" s="1"/>
    </row>
    <row r="944" spans="2:101" ht="15" hidden="1" customHeight="1" x14ac:dyDescent="0.25"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30"/>
      <c r="W944" s="30"/>
      <c r="X944" s="30"/>
      <c r="Y944" s="30"/>
      <c r="Z944" s="30"/>
      <c r="AA944" s="30"/>
      <c r="AB944" s="30"/>
      <c r="AC944" s="30"/>
      <c r="AD944" s="30"/>
      <c r="AE944" s="30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30"/>
      <c r="AQ944" s="30"/>
      <c r="AR944" s="30"/>
      <c r="AS944" s="30"/>
      <c r="AT944" s="30"/>
      <c r="AU944" s="30"/>
      <c r="AV944" s="30"/>
      <c r="AW944" s="30"/>
      <c r="AX944" s="30"/>
      <c r="AY944" s="30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30"/>
      <c r="BK944" s="30"/>
      <c r="BL944" s="30"/>
      <c r="BM944" s="30"/>
      <c r="BN944" s="30"/>
      <c r="BO944" s="30"/>
      <c r="BP944" s="30"/>
      <c r="BQ944" s="30"/>
      <c r="BR944" s="30"/>
      <c r="BS944" s="30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30"/>
      <c r="CE944" s="30"/>
      <c r="CF944" s="30"/>
      <c r="CG944" s="30"/>
      <c r="CH944" s="30"/>
      <c r="CI944" s="30"/>
      <c r="CJ944" s="30"/>
      <c r="CK944" s="30"/>
      <c r="CL944" s="30"/>
      <c r="CM944" s="30"/>
      <c r="CN944" s="1"/>
      <c r="CO944" s="1"/>
      <c r="CP944" s="1"/>
      <c r="CQ944" s="1"/>
      <c r="CR944" s="1"/>
      <c r="CS944" s="1"/>
      <c r="CT944" s="1"/>
      <c r="CU944" s="1"/>
      <c r="CV944" s="1"/>
      <c r="CW944" s="1"/>
    </row>
    <row r="945" spans="2:101" ht="15" hidden="1" customHeight="1" x14ac:dyDescent="0.25"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30"/>
      <c r="W945" s="30"/>
      <c r="X945" s="30"/>
      <c r="Y945" s="30"/>
      <c r="Z945" s="30"/>
      <c r="AA945" s="30"/>
      <c r="AB945" s="30"/>
      <c r="AC945" s="30"/>
      <c r="AD945" s="30"/>
      <c r="AE945" s="30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30"/>
      <c r="AQ945" s="30"/>
      <c r="AR945" s="30"/>
      <c r="AS945" s="30"/>
      <c r="AT945" s="30"/>
      <c r="AU945" s="30"/>
      <c r="AV945" s="30"/>
      <c r="AW945" s="30"/>
      <c r="AX945" s="30"/>
      <c r="AY945" s="30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30"/>
      <c r="BK945" s="30"/>
      <c r="BL945" s="30"/>
      <c r="BM945" s="30"/>
      <c r="BN945" s="30"/>
      <c r="BO945" s="30"/>
      <c r="BP945" s="30"/>
      <c r="BQ945" s="30"/>
      <c r="BR945" s="30"/>
      <c r="BS945" s="30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30"/>
      <c r="CE945" s="30"/>
      <c r="CF945" s="30"/>
      <c r="CG945" s="30"/>
      <c r="CH945" s="30"/>
      <c r="CI945" s="30"/>
      <c r="CJ945" s="30"/>
      <c r="CK945" s="30"/>
      <c r="CL945" s="30"/>
      <c r="CM945" s="30"/>
      <c r="CN945" s="1"/>
      <c r="CO945" s="1"/>
      <c r="CP945" s="1"/>
      <c r="CQ945" s="1"/>
      <c r="CR945" s="1"/>
      <c r="CS945" s="1"/>
      <c r="CT945" s="1"/>
      <c r="CU945" s="1"/>
      <c r="CV945" s="1"/>
      <c r="CW945" s="1"/>
    </row>
    <row r="946" spans="2:101" ht="15" hidden="1" customHeight="1" x14ac:dyDescent="0.25"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30"/>
      <c r="W946" s="30"/>
      <c r="X946" s="30"/>
      <c r="Y946" s="30"/>
      <c r="Z946" s="30"/>
      <c r="AA946" s="30"/>
      <c r="AB946" s="30"/>
      <c r="AC946" s="30"/>
      <c r="AD946" s="30"/>
      <c r="AE946" s="30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30"/>
      <c r="AQ946" s="30"/>
      <c r="AR946" s="30"/>
      <c r="AS946" s="30"/>
      <c r="AT946" s="30"/>
      <c r="AU946" s="30"/>
      <c r="AV946" s="30"/>
      <c r="AW946" s="30"/>
      <c r="AX946" s="30"/>
      <c r="AY946" s="30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30"/>
      <c r="BK946" s="30"/>
      <c r="BL946" s="30"/>
      <c r="BM946" s="30"/>
      <c r="BN946" s="30"/>
      <c r="BO946" s="30"/>
      <c r="BP946" s="30"/>
      <c r="BQ946" s="30"/>
      <c r="BR946" s="30"/>
      <c r="BS946" s="30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30"/>
      <c r="CE946" s="30"/>
      <c r="CF946" s="30"/>
      <c r="CG946" s="30"/>
      <c r="CH946" s="30"/>
      <c r="CI946" s="30"/>
      <c r="CJ946" s="30"/>
      <c r="CK946" s="30"/>
      <c r="CL946" s="30"/>
      <c r="CM946" s="30"/>
      <c r="CN946" s="1"/>
      <c r="CO946" s="1"/>
      <c r="CP946" s="1"/>
      <c r="CQ946" s="1"/>
      <c r="CR946" s="1"/>
      <c r="CS946" s="1"/>
      <c r="CT946" s="1"/>
      <c r="CU946" s="1"/>
      <c r="CV946" s="1"/>
      <c r="CW946" s="1"/>
    </row>
    <row r="947" spans="2:101" ht="15" hidden="1" customHeight="1" x14ac:dyDescent="0.25"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30"/>
      <c r="W947" s="30"/>
      <c r="X947" s="30"/>
      <c r="Y947" s="30"/>
      <c r="Z947" s="30"/>
      <c r="AA947" s="30"/>
      <c r="AB947" s="30"/>
      <c r="AC947" s="30"/>
      <c r="AD947" s="30"/>
      <c r="AE947" s="30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30"/>
      <c r="AQ947" s="30"/>
      <c r="AR947" s="30"/>
      <c r="AS947" s="30"/>
      <c r="AT947" s="30"/>
      <c r="AU947" s="30"/>
      <c r="AV947" s="30"/>
      <c r="AW947" s="30"/>
      <c r="AX947" s="30"/>
      <c r="AY947" s="30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30"/>
      <c r="BK947" s="30"/>
      <c r="BL947" s="30"/>
      <c r="BM947" s="30"/>
      <c r="BN947" s="30"/>
      <c r="BO947" s="30"/>
      <c r="BP947" s="30"/>
      <c r="BQ947" s="30"/>
      <c r="BR947" s="30"/>
      <c r="BS947" s="30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30"/>
      <c r="CE947" s="30"/>
      <c r="CF947" s="30"/>
      <c r="CG947" s="30"/>
      <c r="CH947" s="30"/>
      <c r="CI947" s="30"/>
      <c r="CJ947" s="30"/>
      <c r="CK947" s="30"/>
      <c r="CL947" s="30"/>
      <c r="CM947" s="30"/>
      <c r="CN947" s="1"/>
      <c r="CO947" s="1"/>
      <c r="CP947" s="1"/>
      <c r="CQ947" s="1"/>
      <c r="CR947" s="1"/>
      <c r="CS947" s="1"/>
      <c r="CT947" s="1"/>
      <c r="CU947" s="1"/>
      <c r="CV947" s="1"/>
      <c r="CW947" s="1"/>
    </row>
    <row r="948" spans="2:101" ht="15" hidden="1" customHeight="1" x14ac:dyDescent="0.25"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30"/>
      <c r="W948" s="30"/>
      <c r="X948" s="30"/>
      <c r="Y948" s="30"/>
      <c r="Z948" s="30"/>
      <c r="AA948" s="30"/>
      <c r="AB948" s="30"/>
      <c r="AC948" s="30"/>
      <c r="AD948" s="30"/>
      <c r="AE948" s="30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30"/>
      <c r="AQ948" s="30"/>
      <c r="AR948" s="30"/>
      <c r="AS948" s="30"/>
      <c r="AT948" s="30"/>
      <c r="AU948" s="30"/>
      <c r="AV948" s="30"/>
      <c r="AW948" s="30"/>
      <c r="AX948" s="30"/>
      <c r="AY948" s="30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30"/>
      <c r="BK948" s="30"/>
      <c r="BL948" s="30"/>
      <c r="BM948" s="30"/>
      <c r="BN948" s="30"/>
      <c r="BO948" s="30"/>
      <c r="BP948" s="30"/>
      <c r="BQ948" s="30"/>
      <c r="BR948" s="30"/>
      <c r="BS948" s="30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30"/>
      <c r="CE948" s="30"/>
      <c r="CF948" s="30"/>
      <c r="CG948" s="30"/>
      <c r="CH948" s="30"/>
      <c r="CI948" s="30"/>
      <c r="CJ948" s="30"/>
      <c r="CK948" s="30"/>
      <c r="CL948" s="30"/>
      <c r="CM948" s="30"/>
      <c r="CN948" s="1"/>
      <c r="CO948" s="1"/>
      <c r="CP948" s="1"/>
      <c r="CQ948" s="1"/>
      <c r="CR948" s="1"/>
      <c r="CS948" s="1"/>
      <c r="CT948" s="1"/>
      <c r="CU948" s="1"/>
      <c r="CV948" s="1"/>
      <c r="CW948" s="1"/>
    </row>
    <row r="949" spans="2:101" ht="15" hidden="1" customHeight="1" x14ac:dyDescent="0.25"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30"/>
      <c r="W949" s="30"/>
      <c r="X949" s="30"/>
      <c r="Y949" s="30"/>
      <c r="Z949" s="30"/>
      <c r="AA949" s="30"/>
      <c r="AB949" s="30"/>
      <c r="AC949" s="30"/>
      <c r="AD949" s="30"/>
      <c r="AE949" s="30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30"/>
      <c r="AQ949" s="30"/>
      <c r="AR949" s="30"/>
      <c r="AS949" s="30"/>
      <c r="AT949" s="30"/>
      <c r="AU949" s="30"/>
      <c r="AV949" s="30"/>
      <c r="AW949" s="30"/>
      <c r="AX949" s="30"/>
      <c r="AY949" s="30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30"/>
      <c r="BK949" s="30"/>
      <c r="BL949" s="30"/>
      <c r="BM949" s="30"/>
      <c r="BN949" s="30"/>
      <c r="BO949" s="30"/>
      <c r="BP949" s="30"/>
      <c r="BQ949" s="30"/>
      <c r="BR949" s="30"/>
      <c r="BS949" s="30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30"/>
      <c r="CE949" s="30"/>
      <c r="CF949" s="30"/>
      <c r="CG949" s="30"/>
      <c r="CH949" s="30"/>
      <c r="CI949" s="30"/>
      <c r="CJ949" s="30"/>
      <c r="CK949" s="30"/>
      <c r="CL949" s="30"/>
      <c r="CM949" s="30"/>
      <c r="CN949" s="1"/>
      <c r="CO949" s="1"/>
      <c r="CP949" s="1"/>
      <c r="CQ949" s="1"/>
      <c r="CR949" s="1"/>
      <c r="CS949" s="1"/>
      <c r="CT949" s="1"/>
      <c r="CU949" s="1"/>
      <c r="CV949" s="1"/>
      <c r="CW949" s="1"/>
    </row>
    <row r="950" spans="2:101" ht="15" hidden="1" customHeight="1" x14ac:dyDescent="0.25"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30"/>
      <c r="W950" s="30"/>
      <c r="X950" s="30"/>
      <c r="Y950" s="30"/>
      <c r="Z950" s="30"/>
      <c r="AA950" s="30"/>
      <c r="AB950" s="30"/>
      <c r="AC950" s="30"/>
      <c r="AD950" s="30"/>
      <c r="AE950" s="30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30"/>
      <c r="AQ950" s="30"/>
      <c r="AR950" s="30"/>
      <c r="AS950" s="30"/>
      <c r="AT950" s="30"/>
      <c r="AU950" s="30"/>
      <c r="AV950" s="30"/>
      <c r="AW950" s="30"/>
      <c r="AX950" s="30"/>
      <c r="AY950" s="30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30"/>
      <c r="BK950" s="30"/>
      <c r="BL950" s="30"/>
      <c r="BM950" s="30"/>
      <c r="BN950" s="30"/>
      <c r="BO950" s="30"/>
      <c r="BP950" s="30"/>
      <c r="BQ950" s="30"/>
      <c r="BR950" s="30"/>
      <c r="BS950" s="30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30"/>
      <c r="CE950" s="30"/>
      <c r="CF950" s="30"/>
      <c r="CG950" s="30"/>
      <c r="CH950" s="30"/>
      <c r="CI950" s="30"/>
      <c r="CJ950" s="30"/>
      <c r="CK950" s="30"/>
      <c r="CL950" s="30"/>
      <c r="CM950" s="30"/>
      <c r="CN950" s="1"/>
      <c r="CO950" s="1"/>
      <c r="CP950" s="1"/>
      <c r="CQ950" s="1"/>
      <c r="CR950" s="1"/>
      <c r="CS950" s="1"/>
      <c r="CT950" s="1"/>
      <c r="CU950" s="1"/>
      <c r="CV950" s="1"/>
      <c r="CW950" s="1"/>
    </row>
    <row r="951" spans="2:101" ht="15" hidden="1" customHeight="1" x14ac:dyDescent="0.25"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30"/>
      <c r="W951" s="30"/>
      <c r="X951" s="30"/>
      <c r="Y951" s="30"/>
      <c r="Z951" s="30"/>
      <c r="AA951" s="30"/>
      <c r="AB951" s="30"/>
      <c r="AC951" s="30"/>
      <c r="AD951" s="30"/>
      <c r="AE951" s="30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30"/>
      <c r="BK951" s="30"/>
      <c r="BL951" s="30"/>
      <c r="BM951" s="30"/>
      <c r="BN951" s="30"/>
      <c r="BO951" s="30"/>
      <c r="BP951" s="30"/>
      <c r="BQ951" s="30"/>
      <c r="BR951" s="30"/>
      <c r="BS951" s="30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30"/>
      <c r="CE951" s="30"/>
      <c r="CF951" s="30"/>
      <c r="CG951" s="30"/>
      <c r="CH951" s="30"/>
      <c r="CI951" s="30"/>
      <c r="CJ951" s="30"/>
      <c r="CK951" s="30"/>
      <c r="CL951" s="30"/>
      <c r="CM951" s="30"/>
      <c r="CN951" s="1"/>
      <c r="CO951" s="1"/>
      <c r="CP951" s="1"/>
      <c r="CQ951" s="1"/>
      <c r="CR951" s="1"/>
      <c r="CS951" s="1"/>
      <c r="CT951" s="1"/>
      <c r="CU951" s="1"/>
      <c r="CV951" s="1"/>
      <c r="CW951" s="1"/>
    </row>
    <row r="952" spans="2:101" ht="15" hidden="1" customHeight="1" x14ac:dyDescent="0.25"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30"/>
      <c r="W952" s="30"/>
      <c r="X952" s="30"/>
      <c r="Y952" s="30"/>
      <c r="Z952" s="30"/>
      <c r="AA952" s="30"/>
      <c r="AB952" s="30"/>
      <c r="AC952" s="30"/>
      <c r="AD952" s="30"/>
      <c r="AE952" s="30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30"/>
      <c r="AQ952" s="30"/>
      <c r="AR952" s="30"/>
      <c r="AS952" s="30"/>
      <c r="AT952" s="30"/>
      <c r="AU952" s="30"/>
      <c r="AV952" s="30"/>
      <c r="AW952" s="30"/>
      <c r="AX952" s="30"/>
      <c r="AY952" s="30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30"/>
      <c r="BK952" s="30"/>
      <c r="BL952" s="30"/>
      <c r="BM952" s="30"/>
      <c r="BN952" s="30"/>
      <c r="BO952" s="30"/>
      <c r="BP952" s="30"/>
      <c r="BQ952" s="30"/>
      <c r="BR952" s="30"/>
      <c r="BS952" s="30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30"/>
      <c r="CE952" s="30"/>
      <c r="CF952" s="30"/>
      <c r="CG952" s="30"/>
      <c r="CH952" s="30"/>
      <c r="CI952" s="30"/>
      <c r="CJ952" s="30"/>
      <c r="CK952" s="30"/>
      <c r="CL952" s="30"/>
      <c r="CM952" s="30"/>
      <c r="CN952" s="1"/>
      <c r="CO952" s="1"/>
      <c r="CP952" s="1"/>
      <c r="CQ952" s="1"/>
      <c r="CR952" s="1"/>
      <c r="CS952" s="1"/>
      <c r="CT952" s="1"/>
      <c r="CU952" s="1"/>
      <c r="CV952" s="1"/>
      <c r="CW952" s="1"/>
    </row>
    <row r="953" spans="2:101" ht="15" hidden="1" customHeight="1" x14ac:dyDescent="0.25"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30"/>
      <c r="W953" s="30"/>
      <c r="X953" s="30"/>
      <c r="Y953" s="30"/>
      <c r="Z953" s="30"/>
      <c r="AA953" s="30"/>
      <c r="AB953" s="30"/>
      <c r="AC953" s="30"/>
      <c r="AD953" s="30"/>
      <c r="AE953" s="30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30"/>
      <c r="AQ953" s="30"/>
      <c r="AR953" s="30"/>
      <c r="AS953" s="30"/>
      <c r="AT953" s="30"/>
      <c r="AU953" s="30"/>
      <c r="AV953" s="30"/>
      <c r="AW953" s="30"/>
      <c r="AX953" s="30"/>
      <c r="AY953" s="30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30"/>
      <c r="BK953" s="30"/>
      <c r="BL953" s="30"/>
      <c r="BM953" s="30"/>
      <c r="BN953" s="30"/>
      <c r="BO953" s="30"/>
      <c r="BP953" s="30"/>
      <c r="BQ953" s="30"/>
      <c r="BR953" s="30"/>
      <c r="BS953" s="30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30"/>
      <c r="CE953" s="30"/>
      <c r="CF953" s="30"/>
      <c r="CG953" s="30"/>
      <c r="CH953" s="30"/>
      <c r="CI953" s="30"/>
      <c r="CJ953" s="30"/>
      <c r="CK953" s="30"/>
      <c r="CL953" s="30"/>
      <c r="CM953" s="30"/>
      <c r="CN953" s="1"/>
      <c r="CO953" s="1"/>
      <c r="CP953" s="1"/>
      <c r="CQ953" s="1"/>
      <c r="CR953" s="1"/>
      <c r="CS953" s="1"/>
      <c r="CT953" s="1"/>
      <c r="CU953" s="1"/>
      <c r="CV953" s="1"/>
      <c r="CW953" s="1"/>
    </row>
    <row r="954" spans="2:101" ht="15" hidden="1" customHeight="1" x14ac:dyDescent="0.25"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30"/>
      <c r="W954" s="30"/>
      <c r="X954" s="30"/>
      <c r="Y954" s="30"/>
      <c r="Z954" s="30"/>
      <c r="AA954" s="30"/>
      <c r="AB954" s="30"/>
      <c r="AC954" s="30"/>
      <c r="AD954" s="30"/>
      <c r="AE954" s="30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30"/>
      <c r="AQ954" s="30"/>
      <c r="AR954" s="30"/>
      <c r="AS954" s="30"/>
      <c r="AT954" s="30"/>
      <c r="AU954" s="30"/>
      <c r="AV954" s="30"/>
      <c r="AW954" s="30"/>
      <c r="AX954" s="30"/>
      <c r="AY954" s="30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30"/>
      <c r="BK954" s="30"/>
      <c r="BL954" s="30"/>
      <c r="BM954" s="30"/>
      <c r="BN954" s="30"/>
      <c r="BO954" s="30"/>
      <c r="BP954" s="30"/>
      <c r="BQ954" s="30"/>
      <c r="BR954" s="30"/>
      <c r="BS954" s="30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30"/>
      <c r="CE954" s="30"/>
      <c r="CF954" s="30"/>
      <c r="CG954" s="30"/>
      <c r="CH954" s="30"/>
      <c r="CI954" s="30"/>
      <c r="CJ954" s="30"/>
      <c r="CK954" s="30"/>
      <c r="CL954" s="30"/>
      <c r="CM954" s="30"/>
      <c r="CN954" s="1"/>
      <c r="CO954" s="1"/>
      <c r="CP954" s="1"/>
      <c r="CQ954" s="1"/>
      <c r="CR954" s="1"/>
      <c r="CS954" s="1"/>
      <c r="CT954" s="1"/>
      <c r="CU954" s="1"/>
      <c r="CV954" s="1"/>
      <c r="CW954" s="1"/>
    </row>
    <row r="955" spans="2:101" ht="15" hidden="1" customHeight="1" x14ac:dyDescent="0.25"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30"/>
      <c r="W955" s="30"/>
      <c r="X955" s="30"/>
      <c r="Y955" s="30"/>
      <c r="Z955" s="30"/>
      <c r="AA955" s="30"/>
      <c r="AB955" s="30"/>
      <c r="AC955" s="30"/>
      <c r="AD955" s="30"/>
      <c r="AE955" s="30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30"/>
      <c r="AQ955" s="30"/>
      <c r="AR955" s="30"/>
      <c r="AS955" s="30"/>
      <c r="AT955" s="30"/>
      <c r="AU955" s="30"/>
      <c r="AV955" s="30"/>
      <c r="AW955" s="30"/>
      <c r="AX955" s="30"/>
      <c r="AY955" s="30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30"/>
      <c r="BK955" s="30"/>
      <c r="BL955" s="30"/>
      <c r="BM955" s="30"/>
      <c r="BN955" s="30"/>
      <c r="BO955" s="30"/>
      <c r="BP955" s="30"/>
      <c r="BQ955" s="30"/>
      <c r="BR955" s="30"/>
      <c r="BS955" s="30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30"/>
      <c r="CE955" s="30"/>
      <c r="CF955" s="30"/>
      <c r="CG955" s="30"/>
      <c r="CH955" s="30"/>
      <c r="CI955" s="30"/>
      <c r="CJ955" s="30"/>
      <c r="CK955" s="30"/>
      <c r="CL955" s="30"/>
      <c r="CM955" s="30"/>
      <c r="CN955" s="1"/>
      <c r="CO955" s="1"/>
      <c r="CP955" s="1"/>
      <c r="CQ955" s="1"/>
      <c r="CR955" s="1"/>
      <c r="CS955" s="1"/>
      <c r="CT955" s="1"/>
      <c r="CU955" s="1"/>
      <c r="CV955" s="1"/>
      <c r="CW955" s="1"/>
    </row>
    <row r="956" spans="2:101" ht="15" hidden="1" customHeight="1" x14ac:dyDescent="0.25"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30"/>
      <c r="W956" s="30"/>
      <c r="X956" s="30"/>
      <c r="Y956" s="30"/>
      <c r="Z956" s="30"/>
      <c r="AA956" s="30"/>
      <c r="AB956" s="30"/>
      <c r="AC956" s="30"/>
      <c r="AD956" s="30"/>
      <c r="AE956" s="30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30"/>
      <c r="AQ956" s="30"/>
      <c r="AR956" s="30"/>
      <c r="AS956" s="30"/>
      <c r="AT956" s="30"/>
      <c r="AU956" s="30"/>
      <c r="AV956" s="30"/>
      <c r="AW956" s="30"/>
      <c r="AX956" s="30"/>
      <c r="AY956" s="30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30"/>
      <c r="BK956" s="30"/>
      <c r="BL956" s="30"/>
      <c r="BM956" s="30"/>
      <c r="BN956" s="30"/>
      <c r="BO956" s="30"/>
      <c r="BP956" s="30"/>
      <c r="BQ956" s="30"/>
      <c r="BR956" s="30"/>
      <c r="BS956" s="30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30"/>
      <c r="CE956" s="30"/>
      <c r="CF956" s="30"/>
      <c r="CG956" s="30"/>
      <c r="CH956" s="30"/>
      <c r="CI956" s="30"/>
      <c r="CJ956" s="30"/>
      <c r="CK956" s="30"/>
      <c r="CL956" s="30"/>
      <c r="CM956" s="30"/>
      <c r="CN956" s="1"/>
      <c r="CO956" s="1"/>
      <c r="CP956" s="1"/>
      <c r="CQ956" s="1"/>
      <c r="CR956" s="1"/>
      <c r="CS956" s="1"/>
      <c r="CT956" s="1"/>
      <c r="CU956" s="1"/>
      <c r="CV956" s="1"/>
      <c r="CW956" s="1"/>
    </row>
    <row r="957" spans="2:101" ht="15" hidden="1" customHeight="1" x14ac:dyDescent="0.25"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30"/>
      <c r="W957" s="30"/>
      <c r="X957" s="30"/>
      <c r="Y957" s="30"/>
      <c r="Z957" s="30"/>
      <c r="AA957" s="30"/>
      <c r="AB957" s="30"/>
      <c r="AC957" s="30"/>
      <c r="AD957" s="30"/>
      <c r="AE957" s="30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30"/>
      <c r="AQ957" s="30"/>
      <c r="AR957" s="30"/>
      <c r="AS957" s="30"/>
      <c r="AT957" s="30"/>
      <c r="AU957" s="30"/>
      <c r="AV957" s="30"/>
      <c r="AW957" s="30"/>
      <c r="AX957" s="30"/>
      <c r="AY957" s="30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30"/>
      <c r="BK957" s="30"/>
      <c r="BL957" s="30"/>
      <c r="BM957" s="30"/>
      <c r="BN957" s="30"/>
      <c r="BO957" s="30"/>
      <c r="BP957" s="30"/>
      <c r="BQ957" s="30"/>
      <c r="BR957" s="30"/>
      <c r="BS957" s="30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30"/>
      <c r="CE957" s="30"/>
      <c r="CF957" s="30"/>
      <c r="CG957" s="30"/>
      <c r="CH957" s="30"/>
      <c r="CI957" s="30"/>
      <c r="CJ957" s="30"/>
      <c r="CK957" s="30"/>
      <c r="CL957" s="30"/>
      <c r="CM957" s="30"/>
      <c r="CN957" s="1"/>
      <c r="CO957" s="1"/>
      <c r="CP957" s="1"/>
      <c r="CQ957" s="1"/>
      <c r="CR957" s="1"/>
      <c r="CS957" s="1"/>
      <c r="CT957" s="1"/>
      <c r="CU957" s="1"/>
      <c r="CV957" s="1"/>
      <c r="CW957" s="1"/>
    </row>
    <row r="958" spans="2:101" ht="15" hidden="1" customHeight="1" x14ac:dyDescent="0.25"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30"/>
      <c r="W958" s="30"/>
      <c r="X958" s="30"/>
      <c r="Y958" s="30"/>
      <c r="Z958" s="30"/>
      <c r="AA958" s="30"/>
      <c r="AB958" s="30"/>
      <c r="AC958" s="30"/>
      <c r="AD958" s="30"/>
      <c r="AE958" s="30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30"/>
      <c r="AQ958" s="30"/>
      <c r="AR958" s="30"/>
      <c r="AS958" s="30"/>
      <c r="AT958" s="30"/>
      <c r="AU958" s="30"/>
      <c r="AV958" s="30"/>
      <c r="AW958" s="30"/>
      <c r="AX958" s="30"/>
      <c r="AY958" s="30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30"/>
      <c r="BK958" s="30"/>
      <c r="BL958" s="30"/>
      <c r="BM958" s="30"/>
      <c r="BN958" s="30"/>
      <c r="BO958" s="30"/>
      <c r="BP958" s="30"/>
      <c r="BQ958" s="30"/>
      <c r="BR958" s="30"/>
      <c r="BS958" s="30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30"/>
      <c r="CE958" s="30"/>
      <c r="CF958" s="30"/>
      <c r="CG958" s="30"/>
      <c r="CH958" s="30"/>
      <c r="CI958" s="30"/>
      <c r="CJ958" s="30"/>
      <c r="CK958" s="30"/>
      <c r="CL958" s="30"/>
      <c r="CM958" s="30"/>
      <c r="CN958" s="1"/>
      <c r="CO958" s="1"/>
      <c r="CP958" s="1"/>
      <c r="CQ958" s="1"/>
      <c r="CR958" s="1"/>
      <c r="CS958" s="1"/>
      <c r="CT958" s="1"/>
      <c r="CU958" s="1"/>
      <c r="CV958" s="1"/>
      <c r="CW958" s="1"/>
    </row>
    <row r="959" spans="2:101" ht="15" hidden="1" customHeight="1" x14ac:dyDescent="0.25"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30"/>
      <c r="W959" s="30"/>
      <c r="X959" s="30"/>
      <c r="Y959" s="30"/>
      <c r="Z959" s="30"/>
      <c r="AA959" s="30"/>
      <c r="AB959" s="30"/>
      <c r="AC959" s="30"/>
      <c r="AD959" s="30"/>
      <c r="AE959" s="30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30"/>
      <c r="AQ959" s="30"/>
      <c r="AR959" s="30"/>
      <c r="AS959" s="30"/>
      <c r="AT959" s="30"/>
      <c r="AU959" s="30"/>
      <c r="AV959" s="30"/>
      <c r="AW959" s="30"/>
      <c r="AX959" s="30"/>
      <c r="AY959" s="30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30"/>
      <c r="BK959" s="30"/>
      <c r="BL959" s="30"/>
      <c r="BM959" s="30"/>
      <c r="BN959" s="30"/>
      <c r="BO959" s="30"/>
      <c r="BP959" s="30"/>
      <c r="BQ959" s="30"/>
      <c r="BR959" s="30"/>
      <c r="BS959" s="30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30"/>
      <c r="CE959" s="30"/>
      <c r="CF959" s="30"/>
      <c r="CG959" s="30"/>
      <c r="CH959" s="30"/>
      <c r="CI959" s="30"/>
      <c r="CJ959" s="30"/>
      <c r="CK959" s="30"/>
      <c r="CL959" s="30"/>
      <c r="CM959" s="30"/>
      <c r="CN959" s="1"/>
      <c r="CO959" s="1"/>
      <c r="CP959" s="1"/>
      <c r="CQ959" s="1"/>
      <c r="CR959" s="1"/>
      <c r="CS959" s="1"/>
      <c r="CT959" s="1"/>
      <c r="CU959" s="1"/>
      <c r="CV959" s="1"/>
      <c r="CW959" s="1"/>
    </row>
    <row r="960" spans="2:101" ht="15" hidden="1" customHeight="1" x14ac:dyDescent="0.25"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30"/>
      <c r="W960" s="30"/>
      <c r="X960" s="30"/>
      <c r="Y960" s="30"/>
      <c r="Z960" s="30"/>
      <c r="AA960" s="30"/>
      <c r="AB960" s="30"/>
      <c r="AC960" s="30"/>
      <c r="AD960" s="30"/>
      <c r="AE960" s="30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30"/>
      <c r="AQ960" s="30"/>
      <c r="AR960" s="30"/>
      <c r="AS960" s="30"/>
      <c r="AT960" s="30"/>
      <c r="AU960" s="30"/>
      <c r="AV960" s="30"/>
      <c r="AW960" s="30"/>
      <c r="AX960" s="30"/>
      <c r="AY960" s="30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30"/>
      <c r="BK960" s="30"/>
      <c r="BL960" s="30"/>
      <c r="BM960" s="30"/>
      <c r="BN960" s="30"/>
      <c r="BO960" s="30"/>
      <c r="BP960" s="30"/>
      <c r="BQ960" s="30"/>
      <c r="BR960" s="30"/>
      <c r="BS960" s="30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30"/>
      <c r="CE960" s="30"/>
      <c r="CF960" s="30"/>
      <c r="CG960" s="30"/>
      <c r="CH960" s="30"/>
      <c r="CI960" s="30"/>
      <c r="CJ960" s="30"/>
      <c r="CK960" s="30"/>
      <c r="CL960" s="30"/>
      <c r="CM960" s="30"/>
      <c r="CN960" s="1"/>
      <c r="CO960" s="1"/>
      <c r="CP960" s="1"/>
      <c r="CQ960" s="1"/>
      <c r="CR960" s="1"/>
      <c r="CS960" s="1"/>
      <c r="CT960" s="1"/>
      <c r="CU960" s="1"/>
      <c r="CV960" s="1"/>
      <c r="CW960" s="1"/>
    </row>
    <row r="961" spans="2:101" ht="15" hidden="1" customHeight="1" x14ac:dyDescent="0.25"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30"/>
      <c r="W961" s="30"/>
      <c r="X961" s="30"/>
      <c r="Y961" s="30"/>
      <c r="Z961" s="30"/>
      <c r="AA961" s="30"/>
      <c r="AB961" s="30"/>
      <c r="AC961" s="30"/>
      <c r="AD961" s="30"/>
      <c r="AE961" s="30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30"/>
      <c r="AQ961" s="30"/>
      <c r="AR961" s="30"/>
      <c r="AS961" s="30"/>
      <c r="AT961" s="30"/>
      <c r="AU961" s="30"/>
      <c r="AV961" s="30"/>
      <c r="AW961" s="30"/>
      <c r="AX961" s="30"/>
      <c r="AY961" s="30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30"/>
      <c r="BK961" s="30"/>
      <c r="BL961" s="30"/>
      <c r="BM961" s="30"/>
      <c r="BN961" s="30"/>
      <c r="BO961" s="30"/>
      <c r="BP961" s="30"/>
      <c r="BQ961" s="30"/>
      <c r="BR961" s="30"/>
      <c r="BS961" s="30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30"/>
      <c r="CE961" s="30"/>
      <c r="CF961" s="30"/>
      <c r="CG961" s="30"/>
      <c r="CH961" s="30"/>
      <c r="CI961" s="30"/>
      <c r="CJ961" s="30"/>
      <c r="CK961" s="30"/>
      <c r="CL961" s="30"/>
      <c r="CM961" s="30"/>
      <c r="CN961" s="1"/>
      <c r="CO961" s="1"/>
      <c r="CP961" s="1"/>
      <c r="CQ961" s="1"/>
      <c r="CR961" s="1"/>
      <c r="CS961" s="1"/>
      <c r="CT961" s="1"/>
      <c r="CU961" s="1"/>
      <c r="CV961" s="1"/>
      <c r="CW961" s="1"/>
    </row>
    <row r="962" spans="2:101" ht="15" hidden="1" customHeight="1" x14ac:dyDescent="0.25"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30"/>
      <c r="W962" s="30"/>
      <c r="X962" s="30"/>
      <c r="Y962" s="30"/>
      <c r="Z962" s="30"/>
      <c r="AA962" s="30"/>
      <c r="AB962" s="30"/>
      <c r="AC962" s="30"/>
      <c r="AD962" s="30"/>
      <c r="AE962" s="30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30"/>
      <c r="AQ962" s="30"/>
      <c r="AR962" s="30"/>
      <c r="AS962" s="30"/>
      <c r="AT962" s="30"/>
      <c r="AU962" s="30"/>
      <c r="AV962" s="30"/>
      <c r="AW962" s="30"/>
      <c r="AX962" s="30"/>
      <c r="AY962" s="30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30"/>
      <c r="BK962" s="30"/>
      <c r="BL962" s="30"/>
      <c r="BM962" s="30"/>
      <c r="BN962" s="30"/>
      <c r="BO962" s="30"/>
      <c r="BP962" s="30"/>
      <c r="BQ962" s="30"/>
      <c r="BR962" s="30"/>
      <c r="BS962" s="30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30"/>
      <c r="CE962" s="30"/>
      <c r="CF962" s="30"/>
      <c r="CG962" s="30"/>
      <c r="CH962" s="30"/>
      <c r="CI962" s="30"/>
      <c r="CJ962" s="30"/>
      <c r="CK962" s="30"/>
      <c r="CL962" s="30"/>
      <c r="CM962" s="30"/>
      <c r="CN962" s="1"/>
      <c r="CO962" s="1"/>
      <c r="CP962" s="1"/>
      <c r="CQ962" s="1"/>
      <c r="CR962" s="1"/>
      <c r="CS962" s="1"/>
      <c r="CT962" s="1"/>
      <c r="CU962" s="1"/>
      <c r="CV962" s="1"/>
      <c r="CW962" s="1"/>
    </row>
    <row r="963" spans="2:101" ht="15" hidden="1" customHeight="1" x14ac:dyDescent="0.25"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30"/>
      <c r="W963" s="30"/>
      <c r="X963" s="30"/>
      <c r="Y963" s="30"/>
      <c r="Z963" s="30"/>
      <c r="AA963" s="30"/>
      <c r="AB963" s="30"/>
      <c r="AC963" s="30"/>
      <c r="AD963" s="30"/>
      <c r="AE963" s="30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30"/>
      <c r="AQ963" s="30"/>
      <c r="AR963" s="30"/>
      <c r="AS963" s="30"/>
      <c r="AT963" s="30"/>
      <c r="AU963" s="30"/>
      <c r="AV963" s="30"/>
      <c r="AW963" s="30"/>
      <c r="AX963" s="30"/>
      <c r="AY963" s="30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30"/>
      <c r="BK963" s="30"/>
      <c r="BL963" s="30"/>
      <c r="BM963" s="30"/>
      <c r="BN963" s="30"/>
      <c r="BO963" s="30"/>
      <c r="BP963" s="30"/>
      <c r="BQ963" s="30"/>
      <c r="BR963" s="30"/>
      <c r="BS963" s="30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30"/>
      <c r="CE963" s="30"/>
      <c r="CF963" s="30"/>
      <c r="CG963" s="30"/>
      <c r="CH963" s="30"/>
      <c r="CI963" s="30"/>
      <c r="CJ963" s="30"/>
      <c r="CK963" s="30"/>
      <c r="CL963" s="30"/>
      <c r="CM963" s="30"/>
      <c r="CN963" s="1"/>
      <c r="CO963" s="1"/>
      <c r="CP963" s="1"/>
      <c r="CQ963" s="1"/>
      <c r="CR963" s="1"/>
      <c r="CS963" s="1"/>
      <c r="CT963" s="1"/>
      <c r="CU963" s="1"/>
      <c r="CV963" s="1"/>
      <c r="CW963" s="1"/>
    </row>
    <row r="964" spans="2:101" ht="15" hidden="1" customHeight="1" x14ac:dyDescent="0.25"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30"/>
      <c r="W964" s="30"/>
      <c r="X964" s="30"/>
      <c r="Y964" s="30"/>
      <c r="Z964" s="30"/>
      <c r="AA964" s="30"/>
      <c r="AB964" s="30"/>
      <c r="AC964" s="30"/>
      <c r="AD964" s="30"/>
      <c r="AE964" s="30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30"/>
      <c r="AQ964" s="30"/>
      <c r="AR964" s="30"/>
      <c r="AS964" s="30"/>
      <c r="AT964" s="30"/>
      <c r="AU964" s="30"/>
      <c r="AV964" s="30"/>
      <c r="AW964" s="30"/>
      <c r="AX964" s="30"/>
      <c r="AY964" s="30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30"/>
      <c r="BK964" s="30"/>
      <c r="BL964" s="30"/>
      <c r="BM964" s="30"/>
      <c r="BN964" s="30"/>
      <c r="BO964" s="30"/>
      <c r="BP964" s="30"/>
      <c r="BQ964" s="30"/>
      <c r="BR964" s="30"/>
      <c r="BS964" s="30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30"/>
      <c r="CE964" s="30"/>
      <c r="CF964" s="30"/>
      <c r="CG964" s="30"/>
      <c r="CH964" s="30"/>
      <c r="CI964" s="30"/>
      <c r="CJ964" s="30"/>
      <c r="CK964" s="30"/>
      <c r="CL964" s="30"/>
      <c r="CM964" s="30"/>
      <c r="CN964" s="1"/>
      <c r="CO964" s="1"/>
      <c r="CP964" s="1"/>
      <c r="CQ964" s="1"/>
      <c r="CR964" s="1"/>
      <c r="CS964" s="1"/>
      <c r="CT964" s="1"/>
      <c r="CU964" s="1"/>
      <c r="CV964" s="1"/>
      <c r="CW964" s="1"/>
    </row>
    <row r="965" spans="2:101" ht="15" hidden="1" customHeight="1" x14ac:dyDescent="0.25"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30"/>
      <c r="W965" s="30"/>
      <c r="X965" s="30"/>
      <c r="Y965" s="30"/>
      <c r="Z965" s="30"/>
      <c r="AA965" s="30"/>
      <c r="AB965" s="30"/>
      <c r="AC965" s="30"/>
      <c r="AD965" s="30"/>
      <c r="AE965" s="30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30"/>
      <c r="AQ965" s="30"/>
      <c r="AR965" s="30"/>
      <c r="AS965" s="30"/>
      <c r="AT965" s="30"/>
      <c r="AU965" s="30"/>
      <c r="AV965" s="30"/>
      <c r="AW965" s="30"/>
      <c r="AX965" s="30"/>
      <c r="AY965" s="30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30"/>
      <c r="BK965" s="30"/>
      <c r="BL965" s="30"/>
      <c r="BM965" s="30"/>
      <c r="BN965" s="30"/>
      <c r="BO965" s="30"/>
      <c r="BP965" s="30"/>
      <c r="BQ965" s="30"/>
      <c r="BR965" s="30"/>
      <c r="BS965" s="30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30"/>
      <c r="CE965" s="30"/>
      <c r="CF965" s="30"/>
      <c r="CG965" s="30"/>
      <c r="CH965" s="30"/>
      <c r="CI965" s="30"/>
      <c r="CJ965" s="30"/>
      <c r="CK965" s="30"/>
      <c r="CL965" s="30"/>
      <c r="CM965" s="30"/>
      <c r="CN965" s="1"/>
      <c r="CO965" s="1"/>
      <c r="CP965" s="1"/>
      <c r="CQ965" s="1"/>
      <c r="CR965" s="1"/>
      <c r="CS965" s="1"/>
      <c r="CT965" s="1"/>
      <c r="CU965" s="1"/>
      <c r="CV965" s="1"/>
      <c r="CW965" s="1"/>
    </row>
    <row r="966" spans="2:101" ht="15" hidden="1" customHeight="1" x14ac:dyDescent="0.25"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30"/>
      <c r="W966" s="30"/>
      <c r="X966" s="30"/>
      <c r="Y966" s="30"/>
      <c r="Z966" s="30"/>
      <c r="AA966" s="30"/>
      <c r="AB966" s="30"/>
      <c r="AC966" s="30"/>
      <c r="AD966" s="30"/>
      <c r="AE966" s="30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30"/>
      <c r="AQ966" s="30"/>
      <c r="AR966" s="30"/>
      <c r="AS966" s="30"/>
      <c r="AT966" s="30"/>
      <c r="AU966" s="30"/>
      <c r="AV966" s="30"/>
      <c r="AW966" s="30"/>
      <c r="AX966" s="30"/>
      <c r="AY966" s="30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30"/>
      <c r="BK966" s="30"/>
      <c r="BL966" s="30"/>
      <c r="BM966" s="30"/>
      <c r="BN966" s="30"/>
      <c r="BO966" s="30"/>
      <c r="BP966" s="30"/>
      <c r="BQ966" s="30"/>
      <c r="BR966" s="30"/>
      <c r="BS966" s="30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30"/>
      <c r="CE966" s="30"/>
      <c r="CF966" s="30"/>
      <c r="CG966" s="30"/>
      <c r="CH966" s="30"/>
      <c r="CI966" s="30"/>
      <c r="CJ966" s="30"/>
      <c r="CK966" s="30"/>
      <c r="CL966" s="30"/>
      <c r="CM966" s="30"/>
      <c r="CN966" s="1"/>
      <c r="CO966" s="1"/>
      <c r="CP966" s="1"/>
      <c r="CQ966" s="1"/>
      <c r="CR966" s="1"/>
      <c r="CS966" s="1"/>
      <c r="CT966" s="1"/>
      <c r="CU966" s="1"/>
      <c r="CV966" s="1"/>
      <c r="CW966" s="1"/>
    </row>
    <row r="967" spans="2:101" ht="15" hidden="1" customHeight="1" x14ac:dyDescent="0.25"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30"/>
      <c r="W967" s="30"/>
      <c r="X967" s="30"/>
      <c r="Y967" s="30"/>
      <c r="Z967" s="30"/>
      <c r="AA967" s="30"/>
      <c r="AB967" s="30"/>
      <c r="AC967" s="30"/>
      <c r="AD967" s="30"/>
      <c r="AE967" s="30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30"/>
      <c r="AQ967" s="30"/>
      <c r="AR967" s="30"/>
      <c r="AS967" s="30"/>
      <c r="AT967" s="30"/>
      <c r="AU967" s="30"/>
      <c r="AV967" s="30"/>
      <c r="AW967" s="30"/>
      <c r="AX967" s="30"/>
      <c r="AY967" s="30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30"/>
      <c r="BK967" s="30"/>
      <c r="BL967" s="30"/>
      <c r="BM967" s="30"/>
      <c r="BN967" s="30"/>
      <c r="BO967" s="30"/>
      <c r="BP967" s="30"/>
      <c r="BQ967" s="30"/>
      <c r="BR967" s="30"/>
      <c r="BS967" s="30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30"/>
      <c r="CE967" s="30"/>
      <c r="CF967" s="30"/>
      <c r="CG967" s="30"/>
      <c r="CH967" s="30"/>
      <c r="CI967" s="30"/>
      <c r="CJ967" s="30"/>
      <c r="CK967" s="30"/>
      <c r="CL967" s="30"/>
      <c r="CM967" s="30"/>
      <c r="CN967" s="1"/>
      <c r="CO967" s="1"/>
      <c r="CP967" s="1"/>
      <c r="CQ967" s="1"/>
      <c r="CR967" s="1"/>
      <c r="CS967" s="1"/>
      <c r="CT967" s="1"/>
      <c r="CU967" s="1"/>
      <c r="CV967" s="1"/>
      <c r="CW967" s="1"/>
    </row>
    <row r="968" spans="2:101" ht="15" hidden="1" customHeight="1" x14ac:dyDescent="0.25"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30"/>
      <c r="W968" s="30"/>
      <c r="X968" s="30"/>
      <c r="Y968" s="30"/>
      <c r="Z968" s="30"/>
      <c r="AA968" s="30"/>
      <c r="AB968" s="30"/>
      <c r="AC968" s="30"/>
      <c r="AD968" s="30"/>
      <c r="AE968" s="30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30"/>
      <c r="AQ968" s="30"/>
      <c r="AR968" s="30"/>
      <c r="AS968" s="30"/>
      <c r="AT968" s="30"/>
      <c r="AU968" s="30"/>
      <c r="AV968" s="30"/>
      <c r="AW968" s="30"/>
      <c r="AX968" s="30"/>
      <c r="AY968" s="30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30"/>
      <c r="BK968" s="30"/>
      <c r="BL968" s="30"/>
      <c r="BM968" s="30"/>
      <c r="BN968" s="30"/>
      <c r="BO968" s="30"/>
      <c r="BP968" s="30"/>
      <c r="BQ968" s="30"/>
      <c r="BR968" s="30"/>
      <c r="BS968" s="30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30"/>
      <c r="CE968" s="30"/>
      <c r="CF968" s="30"/>
      <c r="CG968" s="30"/>
      <c r="CH968" s="30"/>
      <c r="CI968" s="30"/>
      <c r="CJ968" s="30"/>
      <c r="CK968" s="30"/>
      <c r="CL968" s="30"/>
      <c r="CM968" s="30"/>
      <c r="CN968" s="1"/>
      <c r="CO968" s="1"/>
      <c r="CP968" s="1"/>
      <c r="CQ968" s="1"/>
      <c r="CR968" s="1"/>
      <c r="CS968" s="1"/>
      <c r="CT968" s="1"/>
      <c r="CU968" s="1"/>
      <c r="CV968" s="1"/>
      <c r="CW968" s="1"/>
    </row>
    <row r="969" spans="2:101" ht="15" hidden="1" customHeight="1" x14ac:dyDescent="0.25"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30"/>
      <c r="W969" s="30"/>
      <c r="X969" s="30"/>
      <c r="Y969" s="30"/>
      <c r="Z969" s="30"/>
      <c r="AA969" s="30"/>
      <c r="AB969" s="30"/>
      <c r="AC969" s="30"/>
      <c r="AD969" s="30"/>
      <c r="AE969" s="30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30"/>
      <c r="AQ969" s="30"/>
      <c r="AR969" s="30"/>
      <c r="AS969" s="30"/>
      <c r="AT969" s="30"/>
      <c r="AU969" s="30"/>
      <c r="AV969" s="30"/>
      <c r="AW969" s="30"/>
      <c r="AX969" s="30"/>
      <c r="AY969" s="30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30"/>
      <c r="BK969" s="30"/>
      <c r="BL969" s="30"/>
      <c r="BM969" s="30"/>
      <c r="BN969" s="30"/>
      <c r="BO969" s="30"/>
      <c r="BP969" s="30"/>
      <c r="BQ969" s="30"/>
      <c r="BR969" s="30"/>
      <c r="BS969" s="30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30"/>
      <c r="CE969" s="30"/>
      <c r="CF969" s="30"/>
      <c r="CG969" s="30"/>
      <c r="CH969" s="30"/>
      <c r="CI969" s="30"/>
      <c r="CJ969" s="30"/>
      <c r="CK969" s="30"/>
      <c r="CL969" s="30"/>
      <c r="CM969" s="30"/>
      <c r="CN969" s="1"/>
      <c r="CO969" s="1"/>
      <c r="CP969" s="1"/>
      <c r="CQ969" s="1"/>
      <c r="CR969" s="1"/>
      <c r="CS969" s="1"/>
      <c r="CT969" s="1"/>
      <c r="CU969" s="1"/>
      <c r="CV969" s="1"/>
      <c r="CW969" s="1"/>
    </row>
    <row r="970" spans="2:101" ht="15" hidden="1" customHeight="1" x14ac:dyDescent="0.25"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30"/>
      <c r="W970" s="30"/>
      <c r="X970" s="30"/>
      <c r="Y970" s="30"/>
      <c r="Z970" s="30"/>
      <c r="AA970" s="30"/>
      <c r="AB970" s="30"/>
      <c r="AC970" s="30"/>
      <c r="AD970" s="30"/>
      <c r="AE970" s="30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30"/>
      <c r="AQ970" s="30"/>
      <c r="AR970" s="30"/>
      <c r="AS970" s="30"/>
      <c r="AT970" s="30"/>
      <c r="AU970" s="30"/>
      <c r="AV970" s="30"/>
      <c r="AW970" s="30"/>
      <c r="AX970" s="30"/>
      <c r="AY970" s="30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30"/>
      <c r="BK970" s="30"/>
      <c r="BL970" s="30"/>
      <c r="BM970" s="30"/>
      <c r="BN970" s="30"/>
      <c r="BO970" s="30"/>
      <c r="BP970" s="30"/>
      <c r="BQ970" s="30"/>
      <c r="BR970" s="30"/>
      <c r="BS970" s="30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30"/>
      <c r="CE970" s="30"/>
      <c r="CF970" s="30"/>
      <c r="CG970" s="30"/>
      <c r="CH970" s="30"/>
      <c r="CI970" s="30"/>
      <c r="CJ970" s="30"/>
      <c r="CK970" s="30"/>
      <c r="CL970" s="30"/>
      <c r="CM970" s="30"/>
      <c r="CN970" s="1"/>
      <c r="CO970" s="1"/>
      <c r="CP970" s="1"/>
      <c r="CQ970" s="1"/>
      <c r="CR970" s="1"/>
      <c r="CS970" s="1"/>
      <c r="CT970" s="1"/>
      <c r="CU970" s="1"/>
      <c r="CV970" s="1"/>
      <c r="CW970" s="1"/>
    </row>
    <row r="971" spans="2:101" ht="15" hidden="1" customHeight="1" x14ac:dyDescent="0.25"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30"/>
      <c r="W971" s="30"/>
      <c r="X971" s="30"/>
      <c r="Y971" s="30"/>
      <c r="Z971" s="30"/>
      <c r="AA971" s="30"/>
      <c r="AB971" s="30"/>
      <c r="AC971" s="30"/>
      <c r="AD971" s="30"/>
      <c r="AE971" s="30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30"/>
      <c r="AQ971" s="30"/>
      <c r="AR971" s="30"/>
      <c r="AS971" s="30"/>
      <c r="AT971" s="30"/>
      <c r="AU971" s="30"/>
      <c r="AV971" s="30"/>
      <c r="AW971" s="30"/>
      <c r="AX971" s="30"/>
      <c r="AY971" s="30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30"/>
      <c r="BK971" s="30"/>
      <c r="BL971" s="30"/>
      <c r="BM971" s="30"/>
      <c r="BN971" s="30"/>
      <c r="BO971" s="30"/>
      <c r="BP971" s="30"/>
      <c r="BQ971" s="30"/>
      <c r="BR971" s="30"/>
      <c r="BS971" s="30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30"/>
      <c r="CE971" s="30"/>
      <c r="CF971" s="30"/>
      <c r="CG971" s="30"/>
      <c r="CH971" s="30"/>
      <c r="CI971" s="30"/>
      <c r="CJ971" s="30"/>
      <c r="CK971" s="30"/>
      <c r="CL971" s="30"/>
      <c r="CM971" s="30"/>
      <c r="CN971" s="1"/>
      <c r="CO971" s="1"/>
      <c r="CP971" s="1"/>
      <c r="CQ971" s="1"/>
      <c r="CR971" s="1"/>
      <c r="CS971" s="1"/>
      <c r="CT971" s="1"/>
      <c r="CU971" s="1"/>
      <c r="CV971" s="1"/>
      <c r="CW971" s="1"/>
    </row>
    <row r="972" spans="2:101" ht="15" hidden="1" customHeight="1" x14ac:dyDescent="0.25"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30"/>
      <c r="W972" s="30"/>
      <c r="X972" s="30"/>
      <c r="Y972" s="30"/>
      <c r="Z972" s="30"/>
      <c r="AA972" s="30"/>
      <c r="AB972" s="30"/>
      <c r="AC972" s="30"/>
      <c r="AD972" s="30"/>
      <c r="AE972" s="30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30"/>
      <c r="AQ972" s="30"/>
      <c r="AR972" s="30"/>
      <c r="AS972" s="30"/>
      <c r="AT972" s="30"/>
      <c r="AU972" s="30"/>
      <c r="AV972" s="30"/>
      <c r="AW972" s="30"/>
      <c r="AX972" s="30"/>
      <c r="AY972" s="30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30"/>
      <c r="BK972" s="30"/>
      <c r="BL972" s="30"/>
      <c r="BM972" s="30"/>
      <c r="BN972" s="30"/>
      <c r="BO972" s="30"/>
      <c r="BP972" s="30"/>
      <c r="BQ972" s="30"/>
      <c r="BR972" s="30"/>
      <c r="BS972" s="30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30"/>
      <c r="CE972" s="30"/>
      <c r="CF972" s="30"/>
      <c r="CG972" s="30"/>
      <c r="CH972" s="30"/>
      <c r="CI972" s="30"/>
      <c r="CJ972" s="30"/>
      <c r="CK972" s="30"/>
      <c r="CL972" s="30"/>
      <c r="CM972" s="30"/>
      <c r="CN972" s="1"/>
      <c r="CO972" s="1"/>
      <c r="CP972" s="1"/>
      <c r="CQ972" s="1"/>
      <c r="CR972" s="1"/>
      <c r="CS972" s="1"/>
      <c r="CT972" s="1"/>
      <c r="CU972" s="1"/>
      <c r="CV972" s="1"/>
      <c r="CW972" s="1"/>
    </row>
    <row r="973" spans="2:101" ht="15" hidden="1" customHeight="1" x14ac:dyDescent="0.25"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30"/>
      <c r="W973" s="30"/>
      <c r="X973" s="30"/>
      <c r="Y973" s="30"/>
      <c r="Z973" s="30"/>
      <c r="AA973" s="30"/>
      <c r="AB973" s="30"/>
      <c r="AC973" s="30"/>
      <c r="AD973" s="30"/>
      <c r="AE973" s="30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30"/>
      <c r="AQ973" s="30"/>
      <c r="AR973" s="30"/>
      <c r="AS973" s="30"/>
      <c r="AT973" s="30"/>
      <c r="AU973" s="30"/>
      <c r="AV973" s="30"/>
      <c r="AW973" s="30"/>
      <c r="AX973" s="30"/>
      <c r="AY973" s="30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30"/>
      <c r="BK973" s="30"/>
      <c r="BL973" s="30"/>
      <c r="BM973" s="30"/>
      <c r="BN973" s="30"/>
      <c r="BO973" s="30"/>
      <c r="BP973" s="30"/>
      <c r="BQ973" s="30"/>
      <c r="BR973" s="30"/>
      <c r="BS973" s="30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30"/>
      <c r="CE973" s="30"/>
      <c r="CF973" s="30"/>
      <c r="CG973" s="30"/>
      <c r="CH973" s="30"/>
      <c r="CI973" s="30"/>
      <c r="CJ973" s="30"/>
      <c r="CK973" s="30"/>
      <c r="CL973" s="30"/>
      <c r="CM973" s="30"/>
      <c r="CN973" s="1"/>
      <c r="CO973" s="1"/>
      <c r="CP973" s="1"/>
      <c r="CQ973" s="1"/>
      <c r="CR973" s="1"/>
      <c r="CS973" s="1"/>
      <c r="CT973" s="1"/>
      <c r="CU973" s="1"/>
      <c r="CV973" s="1"/>
      <c r="CW973" s="1"/>
    </row>
    <row r="974" spans="2:101" ht="15" hidden="1" customHeight="1" x14ac:dyDescent="0.25"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30"/>
      <c r="W974" s="30"/>
      <c r="X974" s="30"/>
      <c r="Y974" s="30"/>
      <c r="Z974" s="30"/>
      <c r="AA974" s="30"/>
      <c r="AB974" s="30"/>
      <c r="AC974" s="30"/>
      <c r="AD974" s="30"/>
      <c r="AE974" s="30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30"/>
      <c r="AQ974" s="30"/>
      <c r="AR974" s="30"/>
      <c r="AS974" s="30"/>
      <c r="AT974" s="30"/>
      <c r="AU974" s="30"/>
      <c r="AV974" s="30"/>
      <c r="AW974" s="30"/>
      <c r="AX974" s="30"/>
      <c r="AY974" s="30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30"/>
      <c r="BK974" s="30"/>
      <c r="BL974" s="30"/>
      <c r="BM974" s="30"/>
      <c r="BN974" s="30"/>
      <c r="BO974" s="30"/>
      <c r="BP974" s="30"/>
      <c r="BQ974" s="30"/>
      <c r="BR974" s="30"/>
      <c r="BS974" s="30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30"/>
      <c r="CE974" s="30"/>
      <c r="CF974" s="30"/>
      <c r="CG974" s="30"/>
      <c r="CH974" s="30"/>
      <c r="CI974" s="30"/>
      <c r="CJ974" s="30"/>
      <c r="CK974" s="30"/>
      <c r="CL974" s="30"/>
      <c r="CM974" s="30"/>
      <c r="CN974" s="1"/>
      <c r="CO974" s="1"/>
      <c r="CP974" s="1"/>
      <c r="CQ974" s="1"/>
      <c r="CR974" s="1"/>
      <c r="CS974" s="1"/>
      <c r="CT974" s="1"/>
      <c r="CU974" s="1"/>
      <c r="CV974" s="1"/>
      <c r="CW974" s="1"/>
    </row>
    <row r="975" spans="2:101" ht="15" hidden="1" customHeight="1" x14ac:dyDescent="0.25"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30"/>
      <c r="W975" s="30"/>
      <c r="X975" s="30"/>
      <c r="Y975" s="30"/>
      <c r="Z975" s="30"/>
      <c r="AA975" s="30"/>
      <c r="AB975" s="30"/>
      <c r="AC975" s="30"/>
      <c r="AD975" s="30"/>
      <c r="AE975" s="30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30"/>
      <c r="AQ975" s="30"/>
      <c r="AR975" s="30"/>
      <c r="AS975" s="30"/>
      <c r="AT975" s="30"/>
      <c r="AU975" s="30"/>
      <c r="AV975" s="30"/>
      <c r="AW975" s="30"/>
      <c r="AX975" s="30"/>
      <c r="AY975" s="30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30"/>
      <c r="BK975" s="30"/>
      <c r="BL975" s="30"/>
      <c r="BM975" s="30"/>
      <c r="BN975" s="30"/>
      <c r="BO975" s="30"/>
      <c r="BP975" s="30"/>
      <c r="BQ975" s="30"/>
      <c r="BR975" s="30"/>
      <c r="BS975" s="30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30"/>
      <c r="CE975" s="30"/>
      <c r="CF975" s="30"/>
      <c r="CG975" s="30"/>
      <c r="CH975" s="30"/>
      <c r="CI975" s="30"/>
      <c r="CJ975" s="30"/>
      <c r="CK975" s="30"/>
      <c r="CL975" s="30"/>
      <c r="CM975" s="30"/>
      <c r="CN975" s="1"/>
      <c r="CO975" s="1"/>
      <c r="CP975" s="1"/>
      <c r="CQ975" s="1"/>
      <c r="CR975" s="1"/>
      <c r="CS975" s="1"/>
      <c r="CT975" s="1"/>
      <c r="CU975" s="1"/>
      <c r="CV975" s="1"/>
      <c r="CW975" s="1"/>
    </row>
    <row r="976" spans="2:101" ht="15" hidden="1" customHeight="1" x14ac:dyDescent="0.25"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30"/>
      <c r="W976" s="30"/>
      <c r="X976" s="30"/>
      <c r="Y976" s="30"/>
      <c r="Z976" s="30"/>
      <c r="AA976" s="30"/>
      <c r="AB976" s="30"/>
      <c r="AC976" s="30"/>
      <c r="AD976" s="30"/>
      <c r="AE976" s="30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30"/>
      <c r="BK976" s="30"/>
      <c r="BL976" s="30"/>
      <c r="BM976" s="30"/>
      <c r="BN976" s="30"/>
      <c r="BO976" s="30"/>
      <c r="BP976" s="30"/>
      <c r="BQ976" s="30"/>
      <c r="BR976" s="30"/>
      <c r="BS976" s="30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30"/>
      <c r="CE976" s="30"/>
      <c r="CF976" s="30"/>
      <c r="CG976" s="30"/>
      <c r="CH976" s="30"/>
      <c r="CI976" s="30"/>
      <c r="CJ976" s="30"/>
      <c r="CK976" s="30"/>
      <c r="CL976" s="30"/>
      <c r="CM976" s="30"/>
      <c r="CN976" s="1"/>
      <c r="CO976" s="1"/>
      <c r="CP976" s="1"/>
      <c r="CQ976" s="1"/>
      <c r="CR976" s="1"/>
      <c r="CS976" s="1"/>
      <c r="CT976" s="1"/>
      <c r="CU976" s="1"/>
      <c r="CV976" s="1"/>
      <c r="CW976" s="1"/>
    </row>
    <row r="977" spans="2:101" ht="15" hidden="1" customHeight="1" x14ac:dyDescent="0.25"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30"/>
      <c r="W977" s="30"/>
      <c r="X977" s="30"/>
      <c r="Y977" s="30"/>
      <c r="Z977" s="30"/>
      <c r="AA977" s="30"/>
      <c r="AB977" s="30"/>
      <c r="AC977" s="30"/>
      <c r="AD977" s="30"/>
      <c r="AE977" s="30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30"/>
      <c r="AQ977" s="30"/>
      <c r="AR977" s="30"/>
      <c r="AS977" s="30"/>
      <c r="AT977" s="30"/>
      <c r="AU977" s="30"/>
      <c r="AV977" s="30"/>
      <c r="AW977" s="30"/>
      <c r="AX977" s="30"/>
      <c r="AY977" s="30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30"/>
      <c r="BK977" s="30"/>
      <c r="BL977" s="30"/>
      <c r="BM977" s="30"/>
      <c r="BN977" s="30"/>
      <c r="BO977" s="30"/>
      <c r="BP977" s="30"/>
      <c r="BQ977" s="30"/>
      <c r="BR977" s="30"/>
      <c r="BS977" s="30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30"/>
      <c r="CE977" s="30"/>
      <c r="CF977" s="30"/>
      <c r="CG977" s="30"/>
      <c r="CH977" s="30"/>
      <c r="CI977" s="30"/>
      <c r="CJ977" s="30"/>
      <c r="CK977" s="30"/>
      <c r="CL977" s="30"/>
      <c r="CM977" s="30"/>
      <c r="CN977" s="1"/>
      <c r="CO977" s="1"/>
      <c r="CP977" s="1"/>
      <c r="CQ977" s="1"/>
      <c r="CR977" s="1"/>
      <c r="CS977" s="1"/>
      <c r="CT977" s="1"/>
      <c r="CU977" s="1"/>
      <c r="CV977" s="1"/>
      <c r="CW977" s="1"/>
    </row>
    <row r="978" spans="2:101" ht="15" hidden="1" customHeight="1" x14ac:dyDescent="0.25"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30"/>
      <c r="W978" s="30"/>
      <c r="X978" s="30"/>
      <c r="Y978" s="30"/>
      <c r="Z978" s="30"/>
      <c r="AA978" s="30"/>
      <c r="AB978" s="30"/>
      <c r="AC978" s="30"/>
      <c r="AD978" s="30"/>
      <c r="AE978" s="30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30"/>
      <c r="AQ978" s="30"/>
      <c r="AR978" s="30"/>
      <c r="AS978" s="30"/>
      <c r="AT978" s="30"/>
      <c r="AU978" s="30"/>
      <c r="AV978" s="30"/>
      <c r="AW978" s="30"/>
      <c r="AX978" s="30"/>
      <c r="AY978" s="30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30"/>
      <c r="BK978" s="30"/>
      <c r="BL978" s="30"/>
      <c r="BM978" s="30"/>
      <c r="BN978" s="30"/>
      <c r="BO978" s="30"/>
      <c r="BP978" s="30"/>
      <c r="BQ978" s="30"/>
      <c r="BR978" s="30"/>
      <c r="BS978" s="30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30"/>
      <c r="CE978" s="30"/>
      <c r="CF978" s="30"/>
      <c r="CG978" s="30"/>
      <c r="CH978" s="30"/>
      <c r="CI978" s="30"/>
      <c r="CJ978" s="30"/>
      <c r="CK978" s="30"/>
      <c r="CL978" s="30"/>
      <c r="CM978" s="30"/>
      <c r="CN978" s="1"/>
      <c r="CO978" s="1"/>
      <c r="CP978" s="1"/>
      <c r="CQ978" s="1"/>
      <c r="CR978" s="1"/>
      <c r="CS978" s="1"/>
      <c r="CT978" s="1"/>
      <c r="CU978" s="1"/>
      <c r="CV978" s="1"/>
      <c r="CW978" s="1"/>
    </row>
    <row r="979" spans="2:101" ht="15" hidden="1" customHeight="1" x14ac:dyDescent="0.25"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30"/>
      <c r="W979" s="30"/>
      <c r="X979" s="30"/>
      <c r="Y979" s="30"/>
      <c r="Z979" s="30"/>
      <c r="AA979" s="30"/>
      <c r="AB979" s="30"/>
      <c r="AC979" s="30"/>
      <c r="AD979" s="30"/>
      <c r="AE979" s="30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30"/>
      <c r="AQ979" s="30"/>
      <c r="AR979" s="30"/>
      <c r="AS979" s="30"/>
      <c r="AT979" s="30"/>
      <c r="AU979" s="30"/>
      <c r="AV979" s="30"/>
      <c r="AW979" s="30"/>
      <c r="AX979" s="30"/>
      <c r="AY979" s="30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30"/>
      <c r="BK979" s="30"/>
      <c r="BL979" s="30"/>
      <c r="BM979" s="30"/>
      <c r="BN979" s="30"/>
      <c r="BO979" s="30"/>
      <c r="BP979" s="30"/>
      <c r="BQ979" s="30"/>
      <c r="BR979" s="30"/>
      <c r="BS979" s="30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30"/>
      <c r="CE979" s="30"/>
      <c r="CF979" s="30"/>
      <c r="CG979" s="30"/>
      <c r="CH979" s="30"/>
      <c r="CI979" s="30"/>
      <c r="CJ979" s="30"/>
      <c r="CK979" s="30"/>
      <c r="CL979" s="30"/>
      <c r="CM979" s="30"/>
      <c r="CN979" s="1"/>
      <c r="CO979" s="1"/>
      <c r="CP979" s="1"/>
      <c r="CQ979" s="1"/>
      <c r="CR979" s="1"/>
      <c r="CS979" s="1"/>
      <c r="CT979" s="1"/>
      <c r="CU979" s="1"/>
      <c r="CV979" s="1"/>
      <c r="CW979" s="1"/>
    </row>
    <row r="980" spans="2:101" ht="15" hidden="1" customHeight="1" x14ac:dyDescent="0.25"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30"/>
      <c r="BK980" s="30"/>
      <c r="BL980" s="30"/>
      <c r="BM980" s="30"/>
      <c r="BN980" s="30"/>
      <c r="BO980" s="30"/>
      <c r="BP980" s="30"/>
      <c r="BQ980" s="30"/>
      <c r="BR980" s="30"/>
      <c r="BS980" s="30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30"/>
      <c r="CE980" s="30"/>
      <c r="CF980" s="30"/>
      <c r="CG980" s="30"/>
      <c r="CH980" s="30"/>
      <c r="CI980" s="30"/>
      <c r="CJ980" s="30"/>
      <c r="CK980" s="30"/>
      <c r="CL980" s="30"/>
      <c r="CM980" s="30"/>
      <c r="CN980" s="1"/>
      <c r="CO980" s="1"/>
      <c r="CP980" s="1"/>
      <c r="CQ980" s="1"/>
      <c r="CR980" s="1"/>
      <c r="CS980" s="1"/>
      <c r="CT980" s="1"/>
      <c r="CU980" s="1"/>
      <c r="CV980" s="1"/>
      <c r="CW980" s="1"/>
    </row>
    <row r="981" spans="2:101" ht="15" hidden="1" customHeight="1" x14ac:dyDescent="0.25"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30"/>
      <c r="AQ981" s="30"/>
      <c r="AR981" s="30"/>
      <c r="AS981" s="30"/>
      <c r="AT981" s="30"/>
      <c r="AU981" s="30"/>
      <c r="AV981" s="30"/>
      <c r="AW981" s="30"/>
      <c r="AX981" s="30"/>
      <c r="AY981" s="30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30"/>
      <c r="BK981" s="30"/>
      <c r="BL981" s="30"/>
      <c r="BM981" s="30"/>
      <c r="BN981" s="30"/>
      <c r="BO981" s="30"/>
      <c r="BP981" s="30"/>
      <c r="BQ981" s="30"/>
      <c r="BR981" s="30"/>
      <c r="BS981" s="30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30"/>
      <c r="CE981" s="30"/>
      <c r="CF981" s="30"/>
      <c r="CG981" s="30"/>
      <c r="CH981" s="30"/>
      <c r="CI981" s="30"/>
      <c r="CJ981" s="30"/>
      <c r="CK981" s="30"/>
      <c r="CL981" s="30"/>
      <c r="CM981" s="30"/>
      <c r="CN981" s="1"/>
      <c r="CO981" s="1"/>
      <c r="CP981" s="1"/>
      <c r="CQ981" s="1"/>
      <c r="CR981" s="1"/>
      <c r="CS981" s="1"/>
      <c r="CT981" s="1"/>
      <c r="CU981" s="1"/>
      <c r="CV981" s="1"/>
      <c r="CW981" s="1"/>
    </row>
    <row r="982" spans="2:101" ht="15" hidden="1" customHeight="1" x14ac:dyDescent="0.25"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30"/>
      <c r="AQ982" s="30"/>
      <c r="AR982" s="30"/>
      <c r="AS982" s="30"/>
      <c r="AT982" s="30"/>
      <c r="AU982" s="30"/>
      <c r="AV982" s="30"/>
      <c r="AW982" s="30"/>
      <c r="AX982" s="30"/>
      <c r="AY982" s="30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30"/>
      <c r="BK982" s="30"/>
      <c r="BL982" s="30"/>
      <c r="BM982" s="30"/>
      <c r="BN982" s="30"/>
      <c r="BO982" s="30"/>
      <c r="BP982" s="30"/>
      <c r="BQ982" s="30"/>
      <c r="BR982" s="30"/>
      <c r="BS982" s="30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30"/>
      <c r="CE982" s="30"/>
      <c r="CF982" s="30"/>
      <c r="CG982" s="30"/>
      <c r="CH982" s="30"/>
      <c r="CI982" s="30"/>
      <c r="CJ982" s="30"/>
      <c r="CK982" s="30"/>
      <c r="CL982" s="30"/>
      <c r="CM982" s="30"/>
      <c r="CN982" s="1"/>
      <c r="CO982" s="1"/>
      <c r="CP982" s="1"/>
      <c r="CQ982" s="1"/>
      <c r="CR982" s="1"/>
      <c r="CS982" s="1"/>
      <c r="CT982" s="1"/>
      <c r="CU982" s="1"/>
      <c r="CV982" s="1"/>
      <c r="CW982" s="1"/>
    </row>
    <row r="983" spans="2:101" ht="15" hidden="1" customHeight="1" x14ac:dyDescent="0.25"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30"/>
      <c r="AQ983" s="30"/>
      <c r="AR983" s="30"/>
      <c r="AS983" s="30"/>
      <c r="AT983" s="30"/>
      <c r="AU983" s="30"/>
      <c r="AV983" s="30"/>
      <c r="AW983" s="30"/>
      <c r="AX983" s="30"/>
      <c r="AY983" s="30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30"/>
      <c r="BK983" s="30"/>
      <c r="BL983" s="30"/>
      <c r="BM983" s="30"/>
      <c r="BN983" s="30"/>
      <c r="BO983" s="30"/>
      <c r="BP983" s="30"/>
      <c r="BQ983" s="30"/>
      <c r="BR983" s="30"/>
      <c r="BS983" s="30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30"/>
      <c r="CE983" s="30"/>
      <c r="CF983" s="30"/>
      <c r="CG983" s="30"/>
      <c r="CH983" s="30"/>
      <c r="CI983" s="30"/>
      <c r="CJ983" s="30"/>
      <c r="CK983" s="30"/>
      <c r="CL983" s="30"/>
      <c r="CM983" s="30"/>
      <c r="CN983" s="1"/>
      <c r="CO983" s="1"/>
      <c r="CP983" s="1"/>
      <c r="CQ983" s="1"/>
      <c r="CR983" s="1"/>
      <c r="CS983" s="1"/>
      <c r="CT983" s="1"/>
      <c r="CU983" s="1"/>
      <c r="CV983" s="1"/>
      <c r="CW983" s="1"/>
    </row>
    <row r="984" spans="2:101" ht="15" hidden="1" customHeight="1" x14ac:dyDescent="0.25"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30"/>
      <c r="W984" s="30"/>
      <c r="X984" s="30"/>
      <c r="Y984" s="30"/>
      <c r="Z984" s="30"/>
      <c r="AA984" s="30"/>
      <c r="AB984" s="30"/>
      <c r="AC984" s="30"/>
      <c r="AD984" s="30"/>
      <c r="AE984" s="30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30"/>
      <c r="AQ984" s="30"/>
      <c r="AR984" s="30"/>
      <c r="AS984" s="30"/>
      <c r="AT984" s="30"/>
      <c r="AU984" s="30"/>
      <c r="AV984" s="30"/>
      <c r="AW984" s="30"/>
      <c r="AX984" s="30"/>
      <c r="AY984" s="30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30"/>
      <c r="BK984" s="30"/>
      <c r="BL984" s="30"/>
      <c r="BM984" s="30"/>
      <c r="BN984" s="30"/>
      <c r="BO984" s="30"/>
      <c r="BP984" s="30"/>
      <c r="BQ984" s="30"/>
      <c r="BR984" s="30"/>
      <c r="BS984" s="30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30"/>
      <c r="CE984" s="30"/>
      <c r="CF984" s="30"/>
      <c r="CG984" s="30"/>
      <c r="CH984" s="30"/>
      <c r="CI984" s="30"/>
      <c r="CJ984" s="30"/>
      <c r="CK984" s="30"/>
      <c r="CL984" s="30"/>
      <c r="CM984" s="30"/>
      <c r="CN984" s="1"/>
      <c r="CO984" s="1"/>
      <c r="CP984" s="1"/>
      <c r="CQ984" s="1"/>
      <c r="CR984" s="1"/>
      <c r="CS984" s="1"/>
      <c r="CT984" s="1"/>
      <c r="CU984" s="1"/>
      <c r="CV984" s="1"/>
      <c r="CW984" s="1"/>
    </row>
    <row r="985" spans="2:101" ht="15" hidden="1" customHeight="1" x14ac:dyDescent="0.25"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30"/>
      <c r="W985" s="30"/>
      <c r="X985" s="30"/>
      <c r="Y985" s="30"/>
      <c r="Z985" s="30"/>
      <c r="AA985" s="30"/>
      <c r="AB985" s="30"/>
      <c r="AC985" s="30"/>
      <c r="AD985" s="30"/>
      <c r="AE985" s="30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30"/>
      <c r="AQ985" s="30"/>
      <c r="AR985" s="30"/>
      <c r="AS985" s="30"/>
      <c r="AT985" s="30"/>
      <c r="AU985" s="30"/>
      <c r="AV985" s="30"/>
      <c r="AW985" s="30"/>
      <c r="AX985" s="30"/>
      <c r="AY985" s="30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30"/>
      <c r="BK985" s="30"/>
      <c r="BL985" s="30"/>
      <c r="BM985" s="30"/>
      <c r="BN985" s="30"/>
      <c r="BO985" s="30"/>
      <c r="BP985" s="30"/>
      <c r="BQ985" s="30"/>
      <c r="BR985" s="30"/>
      <c r="BS985" s="30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30"/>
      <c r="CE985" s="30"/>
      <c r="CF985" s="30"/>
      <c r="CG985" s="30"/>
      <c r="CH985" s="30"/>
      <c r="CI985" s="30"/>
      <c r="CJ985" s="30"/>
      <c r="CK985" s="30"/>
      <c r="CL985" s="30"/>
      <c r="CM985" s="30"/>
      <c r="CN985" s="1"/>
      <c r="CO985" s="1"/>
      <c r="CP985" s="1"/>
      <c r="CQ985" s="1"/>
      <c r="CR985" s="1"/>
      <c r="CS985" s="1"/>
      <c r="CT985" s="1"/>
      <c r="CU985" s="1"/>
      <c r="CV985" s="1"/>
      <c r="CW985" s="1"/>
    </row>
    <row r="986" spans="2:101" ht="15" hidden="1" customHeight="1" x14ac:dyDescent="0.25"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30"/>
      <c r="W986" s="30"/>
      <c r="X986" s="30"/>
      <c r="Y986" s="30"/>
      <c r="Z986" s="30"/>
      <c r="AA986" s="30"/>
      <c r="AB986" s="30"/>
      <c r="AC986" s="30"/>
      <c r="AD986" s="30"/>
      <c r="AE986" s="30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30"/>
      <c r="BK986" s="30"/>
      <c r="BL986" s="30"/>
      <c r="BM986" s="30"/>
      <c r="BN986" s="30"/>
      <c r="BO986" s="30"/>
      <c r="BP986" s="30"/>
      <c r="BQ986" s="30"/>
      <c r="BR986" s="30"/>
      <c r="BS986" s="30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30"/>
      <c r="CE986" s="30"/>
      <c r="CF986" s="30"/>
      <c r="CG986" s="30"/>
      <c r="CH986" s="30"/>
      <c r="CI986" s="30"/>
      <c r="CJ986" s="30"/>
      <c r="CK986" s="30"/>
      <c r="CL986" s="30"/>
      <c r="CM986" s="30"/>
      <c r="CN986" s="1"/>
      <c r="CO986" s="1"/>
      <c r="CP986" s="1"/>
      <c r="CQ986" s="1"/>
      <c r="CR986" s="1"/>
      <c r="CS986" s="1"/>
      <c r="CT986" s="1"/>
      <c r="CU986" s="1"/>
      <c r="CV986" s="1"/>
      <c r="CW986" s="1"/>
    </row>
    <row r="987" spans="2:101" ht="15" hidden="1" customHeight="1" x14ac:dyDescent="0.25"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30"/>
      <c r="W987" s="30"/>
      <c r="X987" s="30"/>
      <c r="Y987" s="30"/>
      <c r="Z987" s="30"/>
      <c r="AA987" s="30"/>
      <c r="AB987" s="30"/>
      <c r="AC987" s="30"/>
      <c r="AD987" s="30"/>
      <c r="AE987" s="30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30"/>
      <c r="AQ987" s="30"/>
      <c r="AR987" s="30"/>
      <c r="AS987" s="30"/>
      <c r="AT987" s="30"/>
      <c r="AU987" s="30"/>
      <c r="AV987" s="30"/>
      <c r="AW987" s="30"/>
      <c r="AX987" s="30"/>
      <c r="AY987" s="30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30"/>
      <c r="BK987" s="30"/>
      <c r="BL987" s="30"/>
      <c r="BM987" s="30"/>
      <c r="BN987" s="30"/>
      <c r="BO987" s="30"/>
      <c r="BP987" s="30"/>
      <c r="BQ987" s="30"/>
      <c r="BR987" s="30"/>
      <c r="BS987" s="30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30"/>
      <c r="CE987" s="30"/>
      <c r="CF987" s="30"/>
      <c r="CG987" s="30"/>
      <c r="CH987" s="30"/>
      <c r="CI987" s="30"/>
      <c r="CJ987" s="30"/>
      <c r="CK987" s="30"/>
      <c r="CL987" s="30"/>
      <c r="CM987" s="30"/>
      <c r="CN987" s="1"/>
      <c r="CO987" s="1"/>
      <c r="CP987" s="1"/>
      <c r="CQ987" s="1"/>
      <c r="CR987" s="1"/>
      <c r="CS987" s="1"/>
      <c r="CT987" s="1"/>
      <c r="CU987" s="1"/>
      <c r="CV987" s="1"/>
      <c r="CW987" s="1"/>
    </row>
    <row r="988" spans="2:101" ht="15" hidden="1" customHeight="1" x14ac:dyDescent="0.25"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30"/>
      <c r="W988" s="30"/>
      <c r="X988" s="30"/>
      <c r="Y988" s="30"/>
      <c r="Z988" s="30"/>
      <c r="AA988" s="30"/>
      <c r="AB988" s="30"/>
      <c r="AC988" s="30"/>
      <c r="AD988" s="30"/>
      <c r="AE988" s="30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30"/>
      <c r="AQ988" s="30"/>
      <c r="AR988" s="30"/>
      <c r="AS988" s="30"/>
      <c r="AT988" s="30"/>
      <c r="AU988" s="30"/>
      <c r="AV988" s="30"/>
      <c r="AW988" s="30"/>
      <c r="AX988" s="30"/>
      <c r="AY988" s="30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30"/>
      <c r="BK988" s="30"/>
      <c r="BL988" s="30"/>
      <c r="BM988" s="30"/>
      <c r="BN988" s="30"/>
      <c r="BO988" s="30"/>
      <c r="BP988" s="30"/>
      <c r="BQ988" s="30"/>
      <c r="BR988" s="30"/>
      <c r="BS988" s="30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30"/>
      <c r="CE988" s="30"/>
      <c r="CF988" s="30"/>
      <c r="CG988" s="30"/>
      <c r="CH988" s="30"/>
      <c r="CI988" s="30"/>
      <c r="CJ988" s="30"/>
      <c r="CK988" s="30"/>
      <c r="CL988" s="30"/>
      <c r="CM988" s="30"/>
      <c r="CN988" s="1"/>
      <c r="CO988" s="1"/>
      <c r="CP988" s="1"/>
      <c r="CQ988" s="1"/>
      <c r="CR988" s="1"/>
      <c r="CS988" s="1"/>
      <c r="CT988" s="1"/>
      <c r="CU988" s="1"/>
      <c r="CV988" s="1"/>
      <c r="CW988" s="1"/>
    </row>
    <row r="989" spans="2:101" ht="15" hidden="1" customHeight="1" x14ac:dyDescent="0.25"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30"/>
      <c r="W989" s="30"/>
      <c r="X989" s="30"/>
      <c r="Y989" s="30"/>
      <c r="Z989" s="30"/>
      <c r="AA989" s="30"/>
      <c r="AB989" s="30"/>
      <c r="AC989" s="30"/>
      <c r="AD989" s="30"/>
      <c r="AE989" s="30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30"/>
      <c r="AQ989" s="30"/>
      <c r="AR989" s="30"/>
      <c r="AS989" s="30"/>
      <c r="AT989" s="30"/>
      <c r="AU989" s="30"/>
      <c r="AV989" s="30"/>
      <c r="AW989" s="30"/>
      <c r="AX989" s="30"/>
      <c r="AY989" s="30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30"/>
      <c r="BK989" s="30"/>
      <c r="BL989" s="30"/>
      <c r="BM989" s="30"/>
      <c r="BN989" s="30"/>
      <c r="BO989" s="30"/>
      <c r="BP989" s="30"/>
      <c r="BQ989" s="30"/>
      <c r="BR989" s="30"/>
      <c r="BS989" s="30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30"/>
      <c r="CE989" s="30"/>
      <c r="CF989" s="30"/>
      <c r="CG989" s="30"/>
      <c r="CH989" s="30"/>
      <c r="CI989" s="30"/>
      <c r="CJ989" s="30"/>
      <c r="CK989" s="30"/>
      <c r="CL989" s="30"/>
      <c r="CM989" s="30"/>
      <c r="CN989" s="1"/>
      <c r="CO989" s="1"/>
      <c r="CP989" s="1"/>
      <c r="CQ989" s="1"/>
      <c r="CR989" s="1"/>
      <c r="CS989" s="1"/>
      <c r="CT989" s="1"/>
      <c r="CU989" s="1"/>
      <c r="CV989" s="1"/>
      <c r="CW989" s="1"/>
    </row>
    <row r="990" spans="2:101" ht="15" hidden="1" customHeight="1" x14ac:dyDescent="0.25"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30"/>
      <c r="W990" s="30"/>
      <c r="X990" s="30"/>
      <c r="Y990" s="30"/>
      <c r="Z990" s="30"/>
      <c r="AA990" s="30"/>
      <c r="AB990" s="30"/>
      <c r="AC990" s="30"/>
      <c r="AD990" s="30"/>
      <c r="AE990" s="30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30"/>
      <c r="AQ990" s="30"/>
      <c r="AR990" s="30"/>
      <c r="AS990" s="30"/>
      <c r="AT990" s="30"/>
      <c r="AU990" s="30"/>
      <c r="AV990" s="30"/>
      <c r="AW990" s="30"/>
      <c r="AX990" s="30"/>
      <c r="AY990" s="30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30"/>
      <c r="BK990" s="30"/>
      <c r="BL990" s="30"/>
      <c r="BM990" s="30"/>
      <c r="BN990" s="30"/>
      <c r="BO990" s="30"/>
      <c r="BP990" s="30"/>
      <c r="BQ990" s="30"/>
      <c r="BR990" s="30"/>
      <c r="BS990" s="30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30"/>
      <c r="CE990" s="30"/>
      <c r="CF990" s="30"/>
      <c r="CG990" s="30"/>
      <c r="CH990" s="30"/>
      <c r="CI990" s="30"/>
      <c r="CJ990" s="30"/>
      <c r="CK990" s="30"/>
      <c r="CL990" s="30"/>
      <c r="CM990" s="30"/>
      <c r="CN990" s="1"/>
      <c r="CO990" s="1"/>
      <c r="CP990" s="1"/>
      <c r="CQ990" s="1"/>
      <c r="CR990" s="1"/>
      <c r="CS990" s="1"/>
      <c r="CT990" s="1"/>
      <c r="CU990" s="1"/>
      <c r="CV990" s="1"/>
      <c r="CW990" s="1"/>
    </row>
    <row r="991" spans="2:101" ht="15" hidden="1" customHeight="1" x14ac:dyDescent="0.25"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30"/>
      <c r="W991" s="30"/>
      <c r="X991" s="30"/>
      <c r="Y991" s="30"/>
      <c r="Z991" s="30"/>
      <c r="AA991" s="30"/>
      <c r="AB991" s="30"/>
      <c r="AC991" s="30"/>
      <c r="AD991" s="30"/>
      <c r="AE991" s="30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30"/>
      <c r="AQ991" s="30"/>
      <c r="AR991" s="30"/>
      <c r="AS991" s="30"/>
      <c r="AT991" s="30"/>
      <c r="AU991" s="30"/>
      <c r="AV991" s="30"/>
      <c r="AW991" s="30"/>
      <c r="AX991" s="30"/>
      <c r="AY991" s="30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30"/>
      <c r="BK991" s="30"/>
      <c r="BL991" s="30"/>
      <c r="BM991" s="30"/>
      <c r="BN991" s="30"/>
      <c r="BO991" s="30"/>
      <c r="BP991" s="30"/>
      <c r="BQ991" s="30"/>
      <c r="BR991" s="30"/>
      <c r="BS991" s="30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30"/>
      <c r="CE991" s="30"/>
      <c r="CF991" s="30"/>
      <c r="CG991" s="30"/>
      <c r="CH991" s="30"/>
      <c r="CI991" s="30"/>
      <c r="CJ991" s="30"/>
      <c r="CK991" s="30"/>
      <c r="CL991" s="30"/>
      <c r="CM991" s="30"/>
      <c r="CN991" s="1"/>
      <c r="CO991" s="1"/>
      <c r="CP991" s="1"/>
      <c r="CQ991" s="1"/>
      <c r="CR991" s="1"/>
      <c r="CS991" s="1"/>
      <c r="CT991" s="1"/>
      <c r="CU991" s="1"/>
      <c r="CV991" s="1"/>
      <c r="CW991" s="1"/>
    </row>
    <row r="992" spans="2:101" ht="15" hidden="1" customHeight="1" x14ac:dyDescent="0.25"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30"/>
      <c r="W992" s="30"/>
      <c r="X992" s="30"/>
      <c r="Y992" s="30"/>
      <c r="Z992" s="30"/>
      <c r="AA992" s="30"/>
      <c r="AB992" s="30"/>
      <c r="AC992" s="30"/>
      <c r="AD992" s="30"/>
      <c r="AE992" s="30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30"/>
      <c r="AQ992" s="30"/>
      <c r="AR992" s="30"/>
      <c r="AS992" s="30"/>
      <c r="AT992" s="30"/>
      <c r="AU992" s="30"/>
      <c r="AV992" s="30"/>
      <c r="AW992" s="30"/>
      <c r="AX992" s="30"/>
      <c r="AY992" s="30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30"/>
      <c r="BK992" s="30"/>
      <c r="BL992" s="30"/>
      <c r="BM992" s="30"/>
      <c r="BN992" s="30"/>
      <c r="BO992" s="30"/>
      <c r="BP992" s="30"/>
      <c r="BQ992" s="30"/>
      <c r="BR992" s="30"/>
      <c r="BS992" s="30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30"/>
      <c r="CE992" s="30"/>
      <c r="CF992" s="30"/>
      <c r="CG992" s="30"/>
      <c r="CH992" s="30"/>
      <c r="CI992" s="30"/>
      <c r="CJ992" s="30"/>
      <c r="CK992" s="30"/>
      <c r="CL992" s="30"/>
      <c r="CM992" s="30"/>
      <c r="CN992" s="1"/>
      <c r="CO992" s="1"/>
      <c r="CP992" s="1"/>
      <c r="CQ992" s="1"/>
      <c r="CR992" s="1"/>
      <c r="CS992" s="1"/>
      <c r="CT992" s="1"/>
      <c r="CU992" s="1"/>
      <c r="CV992" s="1"/>
      <c r="CW992" s="1"/>
    </row>
    <row r="993" spans="2:101" ht="15" hidden="1" customHeight="1" x14ac:dyDescent="0.25"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30"/>
      <c r="W993" s="30"/>
      <c r="X993" s="30"/>
      <c r="Y993" s="30"/>
      <c r="Z993" s="30"/>
      <c r="AA993" s="30"/>
      <c r="AB993" s="30"/>
      <c r="AC993" s="30"/>
      <c r="AD993" s="30"/>
      <c r="AE993" s="30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30"/>
      <c r="AQ993" s="30"/>
      <c r="AR993" s="30"/>
      <c r="AS993" s="30"/>
      <c r="AT993" s="30"/>
      <c r="AU993" s="30"/>
      <c r="AV993" s="30"/>
      <c r="AW993" s="30"/>
      <c r="AX993" s="30"/>
      <c r="AY993" s="30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30"/>
      <c r="BK993" s="30"/>
      <c r="BL993" s="30"/>
      <c r="BM993" s="30"/>
      <c r="BN993" s="30"/>
      <c r="BO993" s="30"/>
      <c r="BP993" s="30"/>
      <c r="BQ993" s="30"/>
      <c r="BR993" s="30"/>
      <c r="BS993" s="30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30"/>
      <c r="CE993" s="30"/>
      <c r="CF993" s="30"/>
      <c r="CG993" s="30"/>
      <c r="CH993" s="30"/>
      <c r="CI993" s="30"/>
      <c r="CJ993" s="30"/>
      <c r="CK993" s="30"/>
      <c r="CL993" s="30"/>
      <c r="CM993" s="30"/>
      <c r="CN993" s="1"/>
      <c r="CO993" s="1"/>
      <c r="CP993" s="1"/>
      <c r="CQ993" s="1"/>
      <c r="CR993" s="1"/>
      <c r="CS993" s="1"/>
      <c r="CT993" s="1"/>
      <c r="CU993" s="1"/>
      <c r="CV993" s="1"/>
      <c r="CW993" s="1"/>
    </row>
    <row r="994" spans="2:101" ht="15" hidden="1" customHeight="1" x14ac:dyDescent="0.25"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30"/>
      <c r="W994" s="30"/>
      <c r="X994" s="30"/>
      <c r="Y994" s="30"/>
      <c r="Z994" s="30"/>
      <c r="AA994" s="30"/>
      <c r="AB994" s="30"/>
      <c r="AC994" s="30"/>
      <c r="AD994" s="30"/>
      <c r="AE994" s="30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30"/>
      <c r="AQ994" s="30"/>
      <c r="AR994" s="30"/>
      <c r="AS994" s="30"/>
      <c r="AT994" s="30"/>
      <c r="AU994" s="30"/>
      <c r="AV994" s="30"/>
      <c r="AW994" s="30"/>
      <c r="AX994" s="30"/>
      <c r="AY994" s="30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30"/>
      <c r="BK994" s="30"/>
      <c r="BL994" s="30"/>
      <c r="BM994" s="30"/>
      <c r="BN994" s="30"/>
      <c r="BO994" s="30"/>
      <c r="BP994" s="30"/>
      <c r="BQ994" s="30"/>
      <c r="BR994" s="30"/>
      <c r="BS994" s="30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30"/>
      <c r="CE994" s="30"/>
      <c r="CF994" s="30"/>
      <c r="CG994" s="30"/>
      <c r="CH994" s="30"/>
      <c r="CI994" s="30"/>
      <c r="CJ994" s="30"/>
      <c r="CK994" s="30"/>
      <c r="CL994" s="30"/>
      <c r="CM994" s="30"/>
      <c r="CN994" s="1"/>
      <c r="CO994" s="1"/>
      <c r="CP994" s="1"/>
      <c r="CQ994" s="1"/>
      <c r="CR994" s="1"/>
      <c r="CS994" s="1"/>
      <c r="CT994" s="1"/>
      <c r="CU994" s="1"/>
      <c r="CV994" s="1"/>
      <c r="CW994" s="1"/>
    </row>
    <row r="995" spans="2:101" ht="15" hidden="1" customHeight="1" x14ac:dyDescent="0.25"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30"/>
      <c r="W995" s="30"/>
      <c r="X995" s="30"/>
      <c r="Y995" s="30"/>
      <c r="Z995" s="30"/>
      <c r="AA995" s="30"/>
      <c r="AB995" s="30"/>
      <c r="AC995" s="30"/>
      <c r="AD995" s="30"/>
      <c r="AE995" s="30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30"/>
      <c r="AQ995" s="30"/>
      <c r="AR995" s="30"/>
      <c r="AS995" s="30"/>
      <c r="AT995" s="30"/>
      <c r="AU995" s="30"/>
      <c r="AV995" s="30"/>
      <c r="AW995" s="30"/>
      <c r="AX995" s="30"/>
      <c r="AY995" s="30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30"/>
      <c r="BK995" s="30"/>
      <c r="BL995" s="30"/>
      <c r="BM995" s="30"/>
      <c r="BN995" s="30"/>
      <c r="BO995" s="30"/>
      <c r="BP995" s="30"/>
      <c r="BQ995" s="30"/>
      <c r="BR995" s="30"/>
      <c r="BS995" s="30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30"/>
      <c r="CE995" s="30"/>
      <c r="CF995" s="30"/>
      <c r="CG995" s="30"/>
      <c r="CH995" s="30"/>
      <c r="CI995" s="30"/>
      <c r="CJ995" s="30"/>
      <c r="CK995" s="30"/>
      <c r="CL995" s="30"/>
      <c r="CM995" s="30"/>
      <c r="CN995" s="1"/>
      <c r="CO995" s="1"/>
      <c r="CP995" s="1"/>
      <c r="CQ995" s="1"/>
      <c r="CR995" s="1"/>
      <c r="CS995" s="1"/>
      <c r="CT995" s="1"/>
      <c r="CU995" s="1"/>
      <c r="CV995" s="1"/>
      <c r="CW995" s="1"/>
    </row>
    <row r="996" spans="2:101" ht="15" hidden="1" customHeight="1" x14ac:dyDescent="0.25"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30"/>
      <c r="W996" s="30"/>
      <c r="X996" s="30"/>
      <c r="Y996" s="30"/>
      <c r="Z996" s="30"/>
      <c r="AA996" s="30"/>
      <c r="AB996" s="30"/>
      <c r="AC996" s="30"/>
      <c r="AD996" s="30"/>
      <c r="AE996" s="30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30"/>
      <c r="AQ996" s="30"/>
      <c r="AR996" s="30"/>
      <c r="AS996" s="30"/>
      <c r="AT996" s="30"/>
      <c r="AU996" s="30"/>
      <c r="AV996" s="30"/>
      <c r="AW996" s="30"/>
      <c r="AX996" s="30"/>
      <c r="AY996" s="30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30"/>
      <c r="BK996" s="30"/>
      <c r="BL996" s="30"/>
      <c r="BM996" s="30"/>
      <c r="BN996" s="30"/>
      <c r="BO996" s="30"/>
      <c r="BP996" s="30"/>
      <c r="BQ996" s="30"/>
      <c r="BR996" s="30"/>
      <c r="BS996" s="30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30"/>
      <c r="CE996" s="30"/>
      <c r="CF996" s="30"/>
      <c r="CG996" s="30"/>
      <c r="CH996" s="30"/>
      <c r="CI996" s="30"/>
      <c r="CJ996" s="30"/>
      <c r="CK996" s="30"/>
      <c r="CL996" s="30"/>
      <c r="CM996" s="30"/>
      <c r="CN996" s="1"/>
      <c r="CO996" s="1"/>
      <c r="CP996" s="1"/>
      <c r="CQ996" s="1"/>
      <c r="CR996" s="1"/>
      <c r="CS996" s="1"/>
      <c r="CT996" s="1"/>
      <c r="CU996" s="1"/>
      <c r="CV996" s="1"/>
      <c r="CW996" s="1"/>
    </row>
    <row r="997" spans="2:101" ht="15" hidden="1" customHeight="1" x14ac:dyDescent="0.25"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30"/>
      <c r="W997" s="30"/>
      <c r="X997" s="30"/>
      <c r="Y997" s="30"/>
      <c r="Z997" s="30"/>
      <c r="AA997" s="30"/>
      <c r="AB997" s="30"/>
      <c r="AC997" s="30"/>
      <c r="AD997" s="30"/>
      <c r="AE997" s="30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30"/>
      <c r="AQ997" s="30"/>
      <c r="AR997" s="30"/>
      <c r="AS997" s="30"/>
      <c r="AT997" s="30"/>
      <c r="AU997" s="30"/>
      <c r="AV997" s="30"/>
      <c r="AW997" s="30"/>
      <c r="AX997" s="30"/>
      <c r="AY997" s="30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30"/>
      <c r="BK997" s="30"/>
      <c r="BL997" s="30"/>
      <c r="BM997" s="30"/>
      <c r="BN997" s="30"/>
      <c r="BO997" s="30"/>
      <c r="BP997" s="30"/>
      <c r="BQ997" s="30"/>
      <c r="BR997" s="30"/>
      <c r="BS997" s="30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30"/>
      <c r="CE997" s="30"/>
      <c r="CF997" s="30"/>
      <c r="CG997" s="30"/>
      <c r="CH997" s="30"/>
      <c r="CI997" s="30"/>
      <c r="CJ997" s="30"/>
      <c r="CK997" s="30"/>
      <c r="CL997" s="30"/>
      <c r="CM997" s="30"/>
      <c r="CN997" s="1"/>
      <c r="CO997" s="1"/>
      <c r="CP997" s="1"/>
      <c r="CQ997" s="1"/>
      <c r="CR997" s="1"/>
      <c r="CS997" s="1"/>
      <c r="CT997" s="1"/>
      <c r="CU997" s="1"/>
      <c r="CV997" s="1"/>
      <c r="CW997" s="1"/>
    </row>
    <row r="998" spans="2:101" ht="15" hidden="1" customHeight="1" x14ac:dyDescent="0.25"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30"/>
      <c r="W998" s="30"/>
      <c r="X998" s="30"/>
      <c r="Y998" s="30"/>
      <c r="Z998" s="30"/>
      <c r="AA998" s="30"/>
      <c r="AB998" s="30"/>
      <c r="AC998" s="30"/>
      <c r="AD998" s="30"/>
      <c r="AE998" s="30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30"/>
      <c r="AQ998" s="30"/>
      <c r="AR998" s="30"/>
      <c r="AS998" s="30"/>
      <c r="AT998" s="30"/>
      <c r="AU998" s="30"/>
      <c r="AV998" s="30"/>
      <c r="AW998" s="30"/>
      <c r="AX998" s="30"/>
      <c r="AY998" s="30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30"/>
      <c r="BK998" s="30"/>
      <c r="BL998" s="30"/>
      <c r="BM998" s="30"/>
      <c r="BN998" s="30"/>
      <c r="BO998" s="30"/>
      <c r="BP998" s="30"/>
      <c r="BQ998" s="30"/>
      <c r="BR998" s="30"/>
      <c r="BS998" s="30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30"/>
      <c r="CE998" s="30"/>
      <c r="CF998" s="30"/>
      <c r="CG998" s="30"/>
      <c r="CH998" s="30"/>
      <c r="CI998" s="30"/>
      <c r="CJ998" s="30"/>
      <c r="CK998" s="30"/>
      <c r="CL998" s="30"/>
      <c r="CM998" s="30"/>
      <c r="CN998" s="1"/>
      <c r="CO998" s="1"/>
      <c r="CP998" s="1"/>
      <c r="CQ998" s="1"/>
      <c r="CR998" s="1"/>
      <c r="CS998" s="1"/>
      <c r="CT998" s="1"/>
      <c r="CU998" s="1"/>
      <c r="CV998" s="1"/>
      <c r="CW998" s="1"/>
    </row>
    <row r="999" spans="2:101" ht="15" hidden="1" customHeight="1" x14ac:dyDescent="0.25"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30"/>
      <c r="W999" s="30"/>
      <c r="X999" s="30"/>
      <c r="Y999" s="30"/>
      <c r="Z999" s="30"/>
      <c r="AA999" s="30"/>
      <c r="AB999" s="30"/>
      <c r="AC999" s="30"/>
      <c r="AD999" s="30"/>
      <c r="AE999" s="30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30"/>
      <c r="AQ999" s="30"/>
      <c r="AR999" s="30"/>
      <c r="AS999" s="30"/>
      <c r="AT999" s="30"/>
      <c r="AU999" s="30"/>
      <c r="AV999" s="30"/>
      <c r="AW999" s="30"/>
      <c r="AX999" s="30"/>
      <c r="AY999" s="30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30"/>
      <c r="BK999" s="30"/>
      <c r="BL999" s="30"/>
      <c r="BM999" s="30"/>
      <c r="BN999" s="30"/>
      <c r="BO999" s="30"/>
      <c r="BP999" s="30"/>
      <c r="BQ999" s="30"/>
      <c r="BR999" s="30"/>
      <c r="BS999" s="30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30"/>
      <c r="CE999" s="30"/>
      <c r="CF999" s="30"/>
      <c r="CG999" s="30"/>
      <c r="CH999" s="30"/>
      <c r="CI999" s="30"/>
      <c r="CJ999" s="30"/>
      <c r="CK999" s="30"/>
      <c r="CL999" s="30"/>
      <c r="CM999" s="30"/>
      <c r="CN999" s="1"/>
      <c r="CO999" s="1"/>
      <c r="CP999" s="1"/>
      <c r="CQ999" s="1"/>
      <c r="CR999" s="1"/>
      <c r="CS999" s="1"/>
      <c r="CT999" s="1"/>
      <c r="CU999" s="1"/>
      <c r="CV999" s="1"/>
      <c r="CW999" s="1"/>
    </row>
    <row r="1000" spans="2:101" ht="15" hidden="1" customHeight="1" x14ac:dyDescent="0.25"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30"/>
      <c r="W1000" s="30"/>
      <c r="X1000" s="30"/>
      <c r="Y1000" s="30"/>
      <c r="Z1000" s="30"/>
      <c r="AA1000" s="30"/>
      <c r="AB1000" s="30"/>
      <c r="AC1000" s="30"/>
      <c r="AD1000" s="30"/>
      <c r="AE1000" s="30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30"/>
      <c r="AQ1000" s="30"/>
      <c r="AR1000" s="30"/>
      <c r="AS1000" s="30"/>
      <c r="AT1000" s="30"/>
      <c r="AU1000" s="30"/>
      <c r="AV1000" s="30"/>
      <c r="AW1000" s="30"/>
      <c r="AX1000" s="30"/>
      <c r="AY1000" s="30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30"/>
      <c r="BK1000" s="30"/>
      <c r="BL1000" s="30"/>
      <c r="BM1000" s="30"/>
      <c r="BN1000" s="30"/>
      <c r="BO1000" s="30"/>
      <c r="BP1000" s="30"/>
      <c r="BQ1000" s="30"/>
      <c r="BR1000" s="30"/>
      <c r="BS1000" s="30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30"/>
      <c r="CE1000" s="30"/>
      <c r="CF1000" s="30"/>
      <c r="CG1000" s="30"/>
      <c r="CH1000" s="30"/>
      <c r="CI1000" s="30"/>
      <c r="CJ1000" s="30"/>
      <c r="CK1000" s="30"/>
      <c r="CL1000" s="30"/>
      <c r="CM1000" s="30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</row>
    <row r="1001" spans="2:101" ht="15" hidden="1" customHeight="1" x14ac:dyDescent="0.25"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30"/>
      <c r="W1001" s="30"/>
      <c r="X1001" s="30"/>
      <c r="Y1001" s="30"/>
      <c r="Z1001" s="30"/>
      <c r="AA1001" s="30"/>
      <c r="AB1001" s="30"/>
      <c r="AC1001" s="30"/>
      <c r="AD1001" s="30"/>
      <c r="AE1001" s="30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30"/>
      <c r="AQ1001" s="30"/>
      <c r="AR1001" s="30"/>
      <c r="AS1001" s="30"/>
      <c r="AT1001" s="30"/>
      <c r="AU1001" s="30"/>
      <c r="AV1001" s="30"/>
      <c r="AW1001" s="30"/>
      <c r="AX1001" s="30"/>
      <c r="AY1001" s="30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30"/>
      <c r="BK1001" s="30"/>
      <c r="BL1001" s="30"/>
      <c r="BM1001" s="30"/>
      <c r="BN1001" s="30"/>
      <c r="BO1001" s="30"/>
      <c r="BP1001" s="30"/>
      <c r="BQ1001" s="30"/>
      <c r="BR1001" s="30"/>
      <c r="BS1001" s="30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30"/>
      <c r="CE1001" s="30"/>
      <c r="CF1001" s="30"/>
      <c r="CG1001" s="30"/>
      <c r="CH1001" s="30"/>
      <c r="CI1001" s="30"/>
      <c r="CJ1001" s="30"/>
      <c r="CK1001" s="30"/>
      <c r="CL1001" s="30"/>
      <c r="CM1001" s="30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</row>
    <row r="1002" spans="2:101" ht="15" hidden="1" customHeight="1" x14ac:dyDescent="0.25"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30"/>
      <c r="W1002" s="30"/>
      <c r="X1002" s="30"/>
      <c r="Y1002" s="30"/>
      <c r="Z1002" s="30"/>
      <c r="AA1002" s="30"/>
      <c r="AB1002" s="30"/>
      <c r="AC1002" s="30"/>
      <c r="AD1002" s="30"/>
      <c r="AE1002" s="30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30"/>
      <c r="AQ1002" s="30"/>
      <c r="AR1002" s="30"/>
      <c r="AS1002" s="30"/>
      <c r="AT1002" s="30"/>
      <c r="AU1002" s="30"/>
      <c r="AV1002" s="30"/>
      <c r="AW1002" s="30"/>
      <c r="AX1002" s="30"/>
      <c r="AY1002" s="30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30"/>
      <c r="BK1002" s="30"/>
      <c r="BL1002" s="30"/>
      <c r="BM1002" s="30"/>
      <c r="BN1002" s="30"/>
      <c r="BO1002" s="30"/>
      <c r="BP1002" s="30"/>
      <c r="BQ1002" s="30"/>
      <c r="BR1002" s="30"/>
      <c r="BS1002" s="30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30"/>
      <c r="CE1002" s="30"/>
      <c r="CF1002" s="30"/>
      <c r="CG1002" s="30"/>
      <c r="CH1002" s="30"/>
      <c r="CI1002" s="30"/>
      <c r="CJ1002" s="30"/>
      <c r="CK1002" s="30"/>
      <c r="CL1002" s="30"/>
      <c r="CM1002" s="30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</row>
    <row r="1003" spans="2:101" ht="15" hidden="1" customHeight="1" x14ac:dyDescent="0.25"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30"/>
      <c r="W1003" s="30"/>
      <c r="X1003" s="30"/>
      <c r="Y1003" s="30"/>
      <c r="Z1003" s="30"/>
      <c r="AA1003" s="30"/>
      <c r="AB1003" s="30"/>
      <c r="AC1003" s="30"/>
      <c r="AD1003" s="30"/>
      <c r="AE1003" s="30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30"/>
      <c r="AQ1003" s="30"/>
      <c r="AR1003" s="30"/>
      <c r="AS1003" s="30"/>
      <c r="AT1003" s="30"/>
      <c r="AU1003" s="30"/>
      <c r="AV1003" s="30"/>
      <c r="AW1003" s="30"/>
      <c r="AX1003" s="30"/>
      <c r="AY1003" s="30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30"/>
      <c r="BK1003" s="30"/>
      <c r="BL1003" s="30"/>
      <c r="BM1003" s="30"/>
      <c r="BN1003" s="30"/>
      <c r="BO1003" s="30"/>
      <c r="BP1003" s="30"/>
      <c r="BQ1003" s="30"/>
      <c r="BR1003" s="30"/>
      <c r="BS1003" s="30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30"/>
      <c r="CE1003" s="30"/>
      <c r="CF1003" s="30"/>
      <c r="CG1003" s="30"/>
      <c r="CH1003" s="30"/>
      <c r="CI1003" s="30"/>
      <c r="CJ1003" s="30"/>
      <c r="CK1003" s="30"/>
      <c r="CL1003" s="30"/>
      <c r="CM1003" s="30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</row>
    <row r="1004" spans="2:101" ht="15" hidden="1" customHeight="1" x14ac:dyDescent="0.25"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30"/>
      <c r="W1004" s="30"/>
      <c r="X1004" s="30"/>
      <c r="Y1004" s="30"/>
      <c r="Z1004" s="30"/>
      <c r="AA1004" s="30"/>
      <c r="AB1004" s="30"/>
      <c r="AC1004" s="30"/>
      <c r="AD1004" s="30"/>
      <c r="AE1004" s="30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30"/>
      <c r="AQ1004" s="30"/>
      <c r="AR1004" s="30"/>
      <c r="AS1004" s="30"/>
      <c r="AT1004" s="30"/>
      <c r="AU1004" s="30"/>
      <c r="AV1004" s="30"/>
      <c r="AW1004" s="30"/>
      <c r="AX1004" s="30"/>
      <c r="AY1004" s="30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30"/>
      <c r="BK1004" s="30"/>
      <c r="BL1004" s="30"/>
      <c r="BM1004" s="30"/>
      <c r="BN1004" s="30"/>
      <c r="BO1004" s="30"/>
      <c r="BP1004" s="30"/>
      <c r="BQ1004" s="30"/>
      <c r="BR1004" s="30"/>
      <c r="BS1004" s="30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30"/>
      <c r="CE1004" s="30"/>
      <c r="CF1004" s="30"/>
      <c r="CG1004" s="30"/>
      <c r="CH1004" s="30"/>
      <c r="CI1004" s="30"/>
      <c r="CJ1004" s="30"/>
      <c r="CK1004" s="30"/>
      <c r="CL1004" s="30"/>
      <c r="CM1004" s="30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</row>
    <row r="1005" spans="2:101" ht="15" hidden="1" customHeight="1" x14ac:dyDescent="0.25"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30"/>
      <c r="W1005" s="30"/>
      <c r="X1005" s="30"/>
      <c r="Y1005" s="30"/>
      <c r="Z1005" s="30"/>
      <c r="AA1005" s="30"/>
      <c r="AB1005" s="30"/>
      <c r="AC1005" s="30"/>
      <c r="AD1005" s="30"/>
      <c r="AE1005" s="30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30"/>
      <c r="AQ1005" s="30"/>
      <c r="AR1005" s="30"/>
      <c r="AS1005" s="30"/>
      <c r="AT1005" s="30"/>
      <c r="AU1005" s="30"/>
      <c r="AV1005" s="30"/>
      <c r="AW1005" s="30"/>
      <c r="AX1005" s="30"/>
      <c r="AY1005" s="30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30"/>
      <c r="BK1005" s="30"/>
      <c r="BL1005" s="30"/>
      <c r="BM1005" s="30"/>
      <c r="BN1005" s="30"/>
      <c r="BO1005" s="30"/>
      <c r="BP1005" s="30"/>
      <c r="BQ1005" s="30"/>
      <c r="BR1005" s="30"/>
      <c r="BS1005" s="30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30"/>
      <c r="CE1005" s="30"/>
      <c r="CF1005" s="30"/>
      <c r="CG1005" s="30"/>
      <c r="CH1005" s="30"/>
      <c r="CI1005" s="30"/>
      <c r="CJ1005" s="30"/>
      <c r="CK1005" s="30"/>
      <c r="CL1005" s="30"/>
      <c r="CM1005" s="30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</row>
    <row r="1006" spans="2:101" ht="15" hidden="1" customHeight="1" x14ac:dyDescent="0.25"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30"/>
      <c r="W1006" s="30"/>
      <c r="X1006" s="30"/>
      <c r="Y1006" s="30"/>
      <c r="Z1006" s="30"/>
      <c r="AA1006" s="30"/>
      <c r="AB1006" s="30"/>
      <c r="AC1006" s="30"/>
      <c r="AD1006" s="30"/>
      <c r="AE1006" s="30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30"/>
      <c r="AQ1006" s="30"/>
      <c r="AR1006" s="30"/>
      <c r="AS1006" s="30"/>
      <c r="AT1006" s="30"/>
      <c r="AU1006" s="30"/>
      <c r="AV1006" s="30"/>
      <c r="AW1006" s="30"/>
      <c r="AX1006" s="30"/>
      <c r="AY1006" s="30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30"/>
      <c r="BK1006" s="30"/>
      <c r="BL1006" s="30"/>
      <c r="BM1006" s="30"/>
      <c r="BN1006" s="30"/>
      <c r="BO1006" s="30"/>
      <c r="BP1006" s="30"/>
      <c r="BQ1006" s="30"/>
      <c r="BR1006" s="30"/>
      <c r="BS1006" s="30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30"/>
      <c r="CE1006" s="30"/>
      <c r="CF1006" s="30"/>
      <c r="CG1006" s="30"/>
      <c r="CH1006" s="30"/>
      <c r="CI1006" s="30"/>
      <c r="CJ1006" s="30"/>
      <c r="CK1006" s="30"/>
      <c r="CL1006" s="30"/>
      <c r="CM1006" s="30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</row>
    <row r="1007" spans="2:101" ht="15" hidden="1" customHeight="1" x14ac:dyDescent="0.25"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30"/>
      <c r="W1007" s="30"/>
      <c r="X1007" s="30"/>
      <c r="Y1007" s="30"/>
      <c r="Z1007" s="30"/>
      <c r="AA1007" s="30"/>
      <c r="AB1007" s="30"/>
      <c r="AC1007" s="30"/>
      <c r="AD1007" s="30"/>
      <c r="AE1007" s="30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30"/>
      <c r="AQ1007" s="30"/>
      <c r="AR1007" s="30"/>
      <c r="AS1007" s="30"/>
      <c r="AT1007" s="30"/>
      <c r="AU1007" s="30"/>
      <c r="AV1007" s="30"/>
      <c r="AW1007" s="30"/>
      <c r="AX1007" s="30"/>
      <c r="AY1007" s="30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30"/>
      <c r="BK1007" s="30"/>
      <c r="BL1007" s="30"/>
      <c r="BM1007" s="30"/>
      <c r="BN1007" s="30"/>
      <c r="BO1007" s="30"/>
      <c r="BP1007" s="30"/>
      <c r="BQ1007" s="30"/>
      <c r="BR1007" s="30"/>
      <c r="BS1007" s="30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30"/>
      <c r="CE1007" s="30"/>
      <c r="CF1007" s="30"/>
      <c r="CG1007" s="30"/>
      <c r="CH1007" s="30"/>
      <c r="CI1007" s="30"/>
      <c r="CJ1007" s="30"/>
      <c r="CK1007" s="30"/>
      <c r="CL1007" s="30"/>
      <c r="CM1007" s="30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</row>
    <row r="1008" spans="2:101" ht="15" hidden="1" customHeight="1" x14ac:dyDescent="0.25"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30"/>
      <c r="W1008" s="30"/>
      <c r="X1008" s="30"/>
      <c r="Y1008" s="30"/>
      <c r="Z1008" s="30"/>
      <c r="AA1008" s="30"/>
      <c r="AB1008" s="30"/>
      <c r="AC1008" s="30"/>
      <c r="AD1008" s="30"/>
      <c r="AE1008" s="30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30"/>
      <c r="AQ1008" s="30"/>
      <c r="AR1008" s="30"/>
      <c r="AS1008" s="30"/>
      <c r="AT1008" s="30"/>
      <c r="AU1008" s="30"/>
      <c r="AV1008" s="30"/>
      <c r="AW1008" s="30"/>
      <c r="AX1008" s="30"/>
      <c r="AY1008" s="30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30"/>
      <c r="BK1008" s="30"/>
      <c r="BL1008" s="30"/>
      <c r="BM1008" s="30"/>
      <c r="BN1008" s="30"/>
      <c r="BO1008" s="30"/>
      <c r="BP1008" s="30"/>
      <c r="BQ1008" s="30"/>
      <c r="BR1008" s="30"/>
      <c r="BS1008" s="30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30"/>
      <c r="CE1008" s="30"/>
      <c r="CF1008" s="30"/>
      <c r="CG1008" s="30"/>
      <c r="CH1008" s="30"/>
      <c r="CI1008" s="30"/>
      <c r="CJ1008" s="30"/>
      <c r="CK1008" s="30"/>
      <c r="CL1008" s="30"/>
      <c r="CM1008" s="30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</row>
    <row r="1009" spans="2:101" ht="15" hidden="1" customHeight="1" x14ac:dyDescent="0.25"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30"/>
      <c r="W1009" s="30"/>
      <c r="X1009" s="30"/>
      <c r="Y1009" s="30"/>
      <c r="Z1009" s="30"/>
      <c r="AA1009" s="30"/>
      <c r="AB1009" s="30"/>
      <c r="AC1009" s="30"/>
      <c r="AD1009" s="30"/>
      <c r="AE1009" s="30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30"/>
      <c r="AQ1009" s="30"/>
      <c r="AR1009" s="30"/>
      <c r="AS1009" s="30"/>
      <c r="AT1009" s="30"/>
      <c r="AU1009" s="30"/>
      <c r="AV1009" s="30"/>
      <c r="AW1009" s="30"/>
      <c r="AX1009" s="30"/>
      <c r="AY1009" s="30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30"/>
      <c r="BK1009" s="30"/>
      <c r="BL1009" s="30"/>
      <c r="BM1009" s="30"/>
      <c r="BN1009" s="30"/>
      <c r="BO1009" s="30"/>
      <c r="BP1009" s="30"/>
      <c r="BQ1009" s="30"/>
      <c r="BR1009" s="30"/>
      <c r="BS1009" s="30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30"/>
      <c r="CE1009" s="30"/>
      <c r="CF1009" s="30"/>
      <c r="CG1009" s="30"/>
      <c r="CH1009" s="30"/>
      <c r="CI1009" s="30"/>
      <c r="CJ1009" s="30"/>
      <c r="CK1009" s="30"/>
      <c r="CL1009" s="30"/>
      <c r="CM1009" s="30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</row>
    <row r="1010" spans="2:101" ht="15" hidden="1" customHeight="1" x14ac:dyDescent="0.25"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30"/>
      <c r="W1010" s="30"/>
      <c r="X1010" s="30"/>
      <c r="Y1010" s="30"/>
      <c r="Z1010" s="30"/>
      <c r="AA1010" s="30"/>
      <c r="AB1010" s="30"/>
      <c r="AC1010" s="30"/>
      <c r="AD1010" s="30"/>
      <c r="AE1010" s="30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30"/>
      <c r="AQ1010" s="30"/>
      <c r="AR1010" s="30"/>
      <c r="AS1010" s="30"/>
      <c r="AT1010" s="30"/>
      <c r="AU1010" s="30"/>
      <c r="AV1010" s="30"/>
      <c r="AW1010" s="30"/>
      <c r="AX1010" s="30"/>
      <c r="AY1010" s="30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30"/>
      <c r="BK1010" s="30"/>
      <c r="BL1010" s="30"/>
      <c r="BM1010" s="30"/>
      <c r="BN1010" s="30"/>
      <c r="BO1010" s="30"/>
      <c r="BP1010" s="30"/>
      <c r="BQ1010" s="30"/>
      <c r="BR1010" s="30"/>
      <c r="BS1010" s="30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30"/>
      <c r="CE1010" s="30"/>
      <c r="CF1010" s="30"/>
      <c r="CG1010" s="30"/>
      <c r="CH1010" s="30"/>
      <c r="CI1010" s="30"/>
      <c r="CJ1010" s="30"/>
      <c r="CK1010" s="30"/>
      <c r="CL1010" s="30"/>
      <c r="CM1010" s="30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</row>
    <row r="1011" spans="2:101" ht="15" hidden="1" customHeight="1" x14ac:dyDescent="0.25"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30"/>
      <c r="W1011" s="30"/>
      <c r="X1011" s="30"/>
      <c r="Y1011" s="30"/>
      <c r="Z1011" s="30"/>
      <c r="AA1011" s="30"/>
      <c r="AB1011" s="30"/>
      <c r="AC1011" s="30"/>
      <c r="AD1011" s="30"/>
      <c r="AE1011" s="30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30"/>
      <c r="AQ1011" s="30"/>
      <c r="AR1011" s="30"/>
      <c r="AS1011" s="30"/>
      <c r="AT1011" s="30"/>
      <c r="AU1011" s="30"/>
      <c r="AV1011" s="30"/>
      <c r="AW1011" s="30"/>
      <c r="AX1011" s="30"/>
      <c r="AY1011" s="30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30"/>
      <c r="BK1011" s="30"/>
      <c r="BL1011" s="30"/>
      <c r="BM1011" s="30"/>
      <c r="BN1011" s="30"/>
      <c r="BO1011" s="30"/>
      <c r="BP1011" s="30"/>
      <c r="BQ1011" s="30"/>
      <c r="BR1011" s="30"/>
      <c r="BS1011" s="30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30"/>
      <c r="CE1011" s="30"/>
      <c r="CF1011" s="30"/>
      <c r="CG1011" s="30"/>
      <c r="CH1011" s="30"/>
      <c r="CI1011" s="30"/>
      <c r="CJ1011" s="30"/>
      <c r="CK1011" s="30"/>
      <c r="CL1011" s="30"/>
      <c r="CM1011" s="30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</row>
    <row r="1012" spans="2:101" ht="15" hidden="1" customHeight="1" x14ac:dyDescent="0.25"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30"/>
      <c r="W1012" s="30"/>
      <c r="X1012" s="30"/>
      <c r="Y1012" s="30"/>
      <c r="Z1012" s="30"/>
      <c r="AA1012" s="30"/>
      <c r="AB1012" s="30"/>
      <c r="AC1012" s="30"/>
      <c r="AD1012" s="30"/>
      <c r="AE1012" s="30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30"/>
      <c r="AQ1012" s="30"/>
      <c r="AR1012" s="30"/>
      <c r="AS1012" s="30"/>
      <c r="AT1012" s="30"/>
      <c r="AU1012" s="30"/>
      <c r="AV1012" s="30"/>
      <c r="AW1012" s="30"/>
      <c r="AX1012" s="30"/>
      <c r="AY1012" s="30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30"/>
      <c r="BK1012" s="30"/>
      <c r="BL1012" s="30"/>
      <c r="BM1012" s="30"/>
      <c r="BN1012" s="30"/>
      <c r="BO1012" s="30"/>
      <c r="BP1012" s="30"/>
      <c r="BQ1012" s="30"/>
      <c r="BR1012" s="30"/>
      <c r="BS1012" s="30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30"/>
      <c r="CE1012" s="30"/>
      <c r="CF1012" s="30"/>
      <c r="CG1012" s="30"/>
      <c r="CH1012" s="30"/>
      <c r="CI1012" s="30"/>
      <c r="CJ1012" s="30"/>
      <c r="CK1012" s="30"/>
      <c r="CL1012" s="30"/>
      <c r="CM1012" s="30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</row>
    <row r="1013" spans="2:101" ht="15" hidden="1" customHeight="1" x14ac:dyDescent="0.25"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30"/>
      <c r="W1013" s="30"/>
      <c r="X1013" s="30"/>
      <c r="Y1013" s="30"/>
      <c r="Z1013" s="30"/>
      <c r="AA1013" s="30"/>
      <c r="AB1013" s="30"/>
      <c r="AC1013" s="30"/>
      <c r="AD1013" s="30"/>
      <c r="AE1013" s="30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30"/>
      <c r="AQ1013" s="30"/>
      <c r="AR1013" s="30"/>
      <c r="AS1013" s="30"/>
      <c r="AT1013" s="30"/>
      <c r="AU1013" s="30"/>
      <c r="AV1013" s="30"/>
      <c r="AW1013" s="30"/>
      <c r="AX1013" s="30"/>
      <c r="AY1013" s="30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30"/>
      <c r="BK1013" s="30"/>
      <c r="BL1013" s="30"/>
      <c r="BM1013" s="30"/>
      <c r="BN1013" s="30"/>
      <c r="BO1013" s="30"/>
      <c r="BP1013" s="30"/>
      <c r="BQ1013" s="30"/>
      <c r="BR1013" s="30"/>
      <c r="BS1013" s="30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30"/>
      <c r="CE1013" s="30"/>
      <c r="CF1013" s="30"/>
      <c r="CG1013" s="30"/>
      <c r="CH1013" s="30"/>
      <c r="CI1013" s="30"/>
      <c r="CJ1013" s="30"/>
      <c r="CK1013" s="30"/>
      <c r="CL1013" s="30"/>
      <c r="CM1013" s="30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</row>
    <row r="1014" spans="2:101" ht="15" hidden="1" customHeight="1" x14ac:dyDescent="0.25"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30"/>
      <c r="W1014" s="30"/>
      <c r="X1014" s="30"/>
      <c r="Y1014" s="30"/>
      <c r="Z1014" s="30"/>
      <c r="AA1014" s="30"/>
      <c r="AB1014" s="30"/>
      <c r="AC1014" s="30"/>
      <c r="AD1014" s="30"/>
      <c r="AE1014" s="30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30"/>
      <c r="AQ1014" s="30"/>
      <c r="AR1014" s="30"/>
      <c r="AS1014" s="30"/>
      <c r="AT1014" s="30"/>
      <c r="AU1014" s="30"/>
      <c r="AV1014" s="30"/>
      <c r="AW1014" s="30"/>
      <c r="AX1014" s="30"/>
      <c r="AY1014" s="30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30"/>
      <c r="BK1014" s="30"/>
      <c r="BL1014" s="30"/>
      <c r="BM1014" s="30"/>
      <c r="BN1014" s="30"/>
      <c r="BO1014" s="30"/>
      <c r="BP1014" s="30"/>
      <c r="BQ1014" s="30"/>
      <c r="BR1014" s="30"/>
      <c r="BS1014" s="30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30"/>
      <c r="CE1014" s="30"/>
      <c r="CF1014" s="30"/>
      <c r="CG1014" s="30"/>
      <c r="CH1014" s="30"/>
      <c r="CI1014" s="30"/>
      <c r="CJ1014" s="30"/>
      <c r="CK1014" s="30"/>
      <c r="CL1014" s="30"/>
      <c r="CM1014" s="30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</row>
    <row r="1015" spans="2:101" ht="15" hidden="1" customHeight="1" x14ac:dyDescent="0.25"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30"/>
      <c r="W1015" s="30"/>
      <c r="X1015" s="30"/>
      <c r="Y1015" s="30"/>
      <c r="Z1015" s="30"/>
      <c r="AA1015" s="30"/>
      <c r="AB1015" s="30"/>
      <c r="AC1015" s="30"/>
      <c r="AD1015" s="30"/>
      <c r="AE1015" s="30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30"/>
      <c r="AQ1015" s="30"/>
      <c r="AR1015" s="30"/>
      <c r="AS1015" s="30"/>
      <c r="AT1015" s="30"/>
      <c r="AU1015" s="30"/>
      <c r="AV1015" s="30"/>
      <c r="AW1015" s="30"/>
      <c r="AX1015" s="30"/>
      <c r="AY1015" s="30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30"/>
      <c r="BK1015" s="30"/>
      <c r="BL1015" s="30"/>
      <c r="BM1015" s="30"/>
      <c r="BN1015" s="30"/>
      <c r="BO1015" s="30"/>
      <c r="BP1015" s="30"/>
      <c r="BQ1015" s="30"/>
      <c r="BR1015" s="30"/>
      <c r="BS1015" s="30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30"/>
      <c r="CE1015" s="30"/>
      <c r="CF1015" s="30"/>
      <c r="CG1015" s="30"/>
      <c r="CH1015" s="30"/>
      <c r="CI1015" s="30"/>
      <c r="CJ1015" s="30"/>
      <c r="CK1015" s="30"/>
      <c r="CL1015" s="30"/>
      <c r="CM1015" s="30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</row>
    <row r="1016" spans="2:101" ht="15" hidden="1" customHeight="1" x14ac:dyDescent="0.25"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30"/>
      <c r="W1016" s="30"/>
      <c r="X1016" s="30"/>
      <c r="Y1016" s="30"/>
      <c r="Z1016" s="30"/>
      <c r="AA1016" s="30"/>
      <c r="AB1016" s="30"/>
      <c r="AC1016" s="30"/>
      <c r="AD1016" s="30"/>
      <c r="AE1016" s="30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30"/>
      <c r="AQ1016" s="30"/>
      <c r="AR1016" s="30"/>
      <c r="AS1016" s="30"/>
      <c r="AT1016" s="30"/>
      <c r="AU1016" s="30"/>
      <c r="AV1016" s="30"/>
      <c r="AW1016" s="30"/>
      <c r="AX1016" s="30"/>
      <c r="AY1016" s="30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30"/>
      <c r="BK1016" s="30"/>
      <c r="BL1016" s="30"/>
      <c r="BM1016" s="30"/>
      <c r="BN1016" s="30"/>
      <c r="BO1016" s="30"/>
      <c r="BP1016" s="30"/>
      <c r="BQ1016" s="30"/>
      <c r="BR1016" s="30"/>
      <c r="BS1016" s="30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30"/>
      <c r="CE1016" s="30"/>
      <c r="CF1016" s="30"/>
      <c r="CG1016" s="30"/>
      <c r="CH1016" s="30"/>
      <c r="CI1016" s="30"/>
      <c r="CJ1016" s="30"/>
      <c r="CK1016" s="30"/>
      <c r="CL1016" s="30"/>
      <c r="CM1016" s="30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</row>
    <row r="1017" spans="2:101" ht="15" hidden="1" customHeight="1" x14ac:dyDescent="0.25"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30"/>
      <c r="W1017" s="30"/>
      <c r="X1017" s="30"/>
      <c r="Y1017" s="30"/>
      <c r="Z1017" s="30"/>
      <c r="AA1017" s="30"/>
      <c r="AB1017" s="30"/>
      <c r="AC1017" s="30"/>
      <c r="AD1017" s="30"/>
      <c r="AE1017" s="30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30"/>
      <c r="AQ1017" s="30"/>
      <c r="AR1017" s="30"/>
      <c r="AS1017" s="30"/>
      <c r="AT1017" s="30"/>
      <c r="AU1017" s="30"/>
      <c r="AV1017" s="30"/>
      <c r="AW1017" s="30"/>
      <c r="AX1017" s="30"/>
      <c r="AY1017" s="30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30"/>
      <c r="BK1017" s="30"/>
      <c r="BL1017" s="30"/>
      <c r="BM1017" s="30"/>
      <c r="BN1017" s="30"/>
      <c r="BO1017" s="30"/>
      <c r="BP1017" s="30"/>
      <c r="BQ1017" s="30"/>
      <c r="BR1017" s="30"/>
      <c r="BS1017" s="30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30"/>
      <c r="CE1017" s="30"/>
      <c r="CF1017" s="30"/>
      <c r="CG1017" s="30"/>
      <c r="CH1017" s="30"/>
      <c r="CI1017" s="30"/>
      <c r="CJ1017" s="30"/>
      <c r="CK1017" s="30"/>
      <c r="CL1017" s="30"/>
      <c r="CM1017" s="30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</row>
    <row r="1018" spans="2:101" ht="15" hidden="1" customHeight="1" x14ac:dyDescent="0.25"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30"/>
      <c r="W1018" s="30"/>
      <c r="X1018" s="30"/>
      <c r="Y1018" s="30"/>
      <c r="Z1018" s="30"/>
      <c r="AA1018" s="30"/>
      <c r="AB1018" s="30"/>
      <c r="AC1018" s="30"/>
      <c r="AD1018" s="30"/>
      <c r="AE1018" s="30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30"/>
      <c r="AQ1018" s="30"/>
      <c r="AR1018" s="30"/>
      <c r="AS1018" s="30"/>
      <c r="AT1018" s="30"/>
      <c r="AU1018" s="30"/>
      <c r="AV1018" s="30"/>
      <c r="AW1018" s="30"/>
      <c r="AX1018" s="30"/>
      <c r="AY1018" s="30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30"/>
      <c r="BK1018" s="30"/>
      <c r="BL1018" s="30"/>
      <c r="BM1018" s="30"/>
      <c r="BN1018" s="30"/>
      <c r="BO1018" s="30"/>
      <c r="BP1018" s="30"/>
      <c r="BQ1018" s="30"/>
      <c r="BR1018" s="30"/>
      <c r="BS1018" s="30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30"/>
      <c r="CE1018" s="30"/>
      <c r="CF1018" s="30"/>
      <c r="CG1018" s="30"/>
      <c r="CH1018" s="30"/>
      <c r="CI1018" s="30"/>
      <c r="CJ1018" s="30"/>
      <c r="CK1018" s="30"/>
      <c r="CL1018" s="30"/>
      <c r="CM1018" s="30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</row>
    <row r="1019" spans="2:101" ht="15" hidden="1" customHeight="1" x14ac:dyDescent="0.25"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30"/>
      <c r="W1019" s="30"/>
      <c r="X1019" s="30"/>
      <c r="Y1019" s="30"/>
      <c r="Z1019" s="30"/>
      <c r="AA1019" s="30"/>
      <c r="AB1019" s="30"/>
      <c r="AC1019" s="30"/>
      <c r="AD1019" s="30"/>
      <c r="AE1019" s="30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30"/>
      <c r="AQ1019" s="30"/>
      <c r="AR1019" s="30"/>
      <c r="AS1019" s="30"/>
      <c r="AT1019" s="30"/>
      <c r="AU1019" s="30"/>
      <c r="AV1019" s="30"/>
      <c r="AW1019" s="30"/>
      <c r="AX1019" s="30"/>
      <c r="AY1019" s="30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30"/>
      <c r="BK1019" s="30"/>
      <c r="BL1019" s="30"/>
      <c r="BM1019" s="30"/>
      <c r="BN1019" s="30"/>
      <c r="BO1019" s="30"/>
      <c r="BP1019" s="30"/>
      <c r="BQ1019" s="30"/>
      <c r="BR1019" s="30"/>
      <c r="BS1019" s="30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30"/>
      <c r="CE1019" s="30"/>
      <c r="CF1019" s="30"/>
      <c r="CG1019" s="30"/>
      <c r="CH1019" s="30"/>
      <c r="CI1019" s="30"/>
      <c r="CJ1019" s="30"/>
      <c r="CK1019" s="30"/>
      <c r="CL1019" s="30"/>
      <c r="CM1019" s="30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</row>
    <row r="1020" spans="2:101" ht="15" hidden="1" customHeight="1" x14ac:dyDescent="0.25"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30"/>
      <c r="W1020" s="30"/>
      <c r="X1020" s="30"/>
      <c r="Y1020" s="30"/>
      <c r="Z1020" s="30"/>
      <c r="AA1020" s="30"/>
      <c r="AB1020" s="30"/>
      <c r="AC1020" s="30"/>
      <c r="AD1020" s="30"/>
      <c r="AE1020" s="30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30"/>
      <c r="AQ1020" s="30"/>
      <c r="AR1020" s="30"/>
      <c r="AS1020" s="30"/>
      <c r="AT1020" s="30"/>
      <c r="AU1020" s="30"/>
      <c r="AV1020" s="30"/>
      <c r="AW1020" s="30"/>
      <c r="AX1020" s="30"/>
      <c r="AY1020" s="30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30"/>
      <c r="BK1020" s="30"/>
      <c r="BL1020" s="30"/>
      <c r="BM1020" s="30"/>
      <c r="BN1020" s="30"/>
      <c r="BO1020" s="30"/>
      <c r="BP1020" s="30"/>
      <c r="BQ1020" s="30"/>
      <c r="BR1020" s="30"/>
      <c r="BS1020" s="30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30"/>
      <c r="CE1020" s="30"/>
      <c r="CF1020" s="30"/>
      <c r="CG1020" s="30"/>
      <c r="CH1020" s="30"/>
      <c r="CI1020" s="30"/>
      <c r="CJ1020" s="30"/>
      <c r="CK1020" s="30"/>
      <c r="CL1020" s="30"/>
      <c r="CM1020" s="30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</row>
    <row r="1021" spans="2:101" ht="15" hidden="1" customHeight="1" x14ac:dyDescent="0.25"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30"/>
      <c r="W1021" s="30"/>
      <c r="X1021" s="30"/>
      <c r="Y1021" s="30"/>
      <c r="Z1021" s="30"/>
      <c r="AA1021" s="30"/>
      <c r="AB1021" s="30"/>
      <c r="AC1021" s="30"/>
      <c r="AD1021" s="30"/>
      <c r="AE1021" s="30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30"/>
      <c r="AQ1021" s="30"/>
      <c r="AR1021" s="30"/>
      <c r="AS1021" s="30"/>
      <c r="AT1021" s="30"/>
      <c r="AU1021" s="30"/>
      <c r="AV1021" s="30"/>
      <c r="AW1021" s="30"/>
      <c r="AX1021" s="30"/>
      <c r="AY1021" s="30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30"/>
      <c r="BK1021" s="30"/>
      <c r="BL1021" s="30"/>
      <c r="BM1021" s="30"/>
      <c r="BN1021" s="30"/>
      <c r="BO1021" s="30"/>
      <c r="BP1021" s="30"/>
      <c r="BQ1021" s="30"/>
      <c r="BR1021" s="30"/>
      <c r="BS1021" s="30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30"/>
      <c r="CE1021" s="30"/>
      <c r="CF1021" s="30"/>
      <c r="CG1021" s="30"/>
      <c r="CH1021" s="30"/>
      <c r="CI1021" s="30"/>
      <c r="CJ1021" s="30"/>
      <c r="CK1021" s="30"/>
      <c r="CL1021" s="30"/>
      <c r="CM1021" s="30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</row>
    <row r="1022" spans="2:101" ht="15" hidden="1" customHeight="1" x14ac:dyDescent="0.25"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30"/>
      <c r="W1022" s="30"/>
      <c r="X1022" s="30"/>
      <c r="Y1022" s="30"/>
      <c r="Z1022" s="30"/>
      <c r="AA1022" s="30"/>
      <c r="AB1022" s="30"/>
      <c r="AC1022" s="30"/>
      <c r="AD1022" s="30"/>
      <c r="AE1022" s="30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30"/>
      <c r="AQ1022" s="30"/>
      <c r="AR1022" s="30"/>
      <c r="AS1022" s="30"/>
      <c r="AT1022" s="30"/>
      <c r="AU1022" s="30"/>
      <c r="AV1022" s="30"/>
      <c r="AW1022" s="30"/>
      <c r="AX1022" s="30"/>
      <c r="AY1022" s="30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30"/>
      <c r="BK1022" s="30"/>
      <c r="BL1022" s="30"/>
      <c r="BM1022" s="30"/>
      <c r="BN1022" s="30"/>
      <c r="BO1022" s="30"/>
      <c r="BP1022" s="30"/>
      <c r="BQ1022" s="30"/>
      <c r="BR1022" s="30"/>
      <c r="BS1022" s="30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30"/>
      <c r="CE1022" s="30"/>
      <c r="CF1022" s="30"/>
      <c r="CG1022" s="30"/>
      <c r="CH1022" s="30"/>
      <c r="CI1022" s="30"/>
      <c r="CJ1022" s="30"/>
      <c r="CK1022" s="30"/>
      <c r="CL1022" s="30"/>
      <c r="CM1022" s="30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</row>
    <row r="1023" spans="2:101" ht="15" hidden="1" customHeight="1" x14ac:dyDescent="0.25"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30"/>
      <c r="W1023" s="30"/>
      <c r="X1023" s="30"/>
      <c r="Y1023" s="30"/>
      <c r="Z1023" s="30"/>
      <c r="AA1023" s="30"/>
      <c r="AB1023" s="30"/>
      <c r="AC1023" s="30"/>
      <c r="AD1023" s="30"/>
      <c r="AE1023" s="30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30"/>
      <c r="AQ1023" s="30"/>
      <c r="AR1023" s="30"/>
      <c r="AS1023" s="30"/>
      <c r="AT1023" s="30"/>
      <c r="AU1023" s="30"/>
      <c r="AV1023" s="30"/>
      <c r="AW1023" s="30"/>
      <c r="AX1023" s="30"/>
      <c r="AY1023" s="30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30"/>
      <c r="BK1023" s="30"/>
      <c r="BL1023" s="30"/>
      <c r="BM1023" s="30"/>
      <c r="BN1023" s="30"/>
      <c r="BO1023" s="30"/>
      <c r="BP1023" s="30"/>
      <c r="BQ1023" s="30"/>
      <c r="BR1023" s="30"/>
      <c r="BS1023" s="30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30"/>
      <c r="CE1023" s="30"/>
      <c r="CF1023" s="30"/>
      <c r="CG1023" s="30"/>
      <c r="CH1023" s="30"/>
      <c r="CI1023" s="30"/>
      <c r="CJ1023" s="30"/>
      <c r="CK1023" s="30"/>
      <c r="CL1023" s="30"/>
      <c r="CM1023" s="30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</row>
    <row r="1024" spans="2:101" ht="15" hidden="1" customHeight="1" x14ac:dyDescent="0.25"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30"/>
      <c r="W1024" s="30"/>
      <c r="X1024" s="30"/>
      <c r="Y1024" s="30"/>
      <c r="Z1024" s="30"/>
      <c r="AA1024" s="30"/>
      <c r="AB1024" s="30"/>
      <c r="AC1024" s="30"/>
      <c r="AD1024" s="30"/>
      <c r="AE1024" s="30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30"/>
      <c r="AQ1024" s="30"/>
      <c r="AR1024" s="30"/>
      <c r="AS1024" s="30"/>
      <c r="AT1024" s="30"/>
      <c r="AU1024" s="30"/>
      <c r="AV1024" s="30"/>
      <c r="AW1024" s="30"/>
      <c r="AX1024" s="30"/>
      <c r="AY1024" s="30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30"/>
      <c r="BK1024" s="30"/>
      <c r="BL1024" s="30"/>
      <c r="BM1024" s="30"/>
      <c r="BN1024" s="30"/>
      <c r="BO1024" s="30"/>
      <c r="BP1024" s="30"/>
      <c r="BQ1024" s="30"/>
      <c r="BR1024" s="30"/>
      <c r="BS1024" s="30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30"/>
      <c r="CE1024" s="30"/>
      <c r="CF1024" s="30"/>
      <c r="CG1024" s="30"/>
      <c r="CH1024" s="30"/>
      <c r="CI1024" s="30"/>
      <c r="CJ1024" s="30"/>
      <c r="CK1024" s="30"/>
      <c r="CL1024" s="30"/>
      <c r="CM1024" s="30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</row>
    <row r="1025" spans="2:101" ht="15" hidden="1" customHeight="1" x14ac:dyDescent="0.25"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30"/>
      <c r="W1025" s="30"/>
      <c r="X1025" s="30"/>
      <c r="Y1025" s="30"/>
      <c r="Z1025" s="30"/>
      <c r="AA1025" s="30"/>
      <c r="AB1025" s="30"/>
      <c r="AC1025" s="30"/>
      <c r="AD1025" s="30"/>
      <c r="AE1025" s="30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30"/>
      <c r="AQ1025" s="30"/>
      <c r="AR1025" s="30"/>
      <c r="AS1025" s="30"/>
      <c r="AT1025" s="30"/>
      <c r="AU1025" s="30"/>
      <c r="AV1025" s="30"/>
      <c r="AW1025" s="30"/>
      <c r="AX1025" s="30"/>
      <c r="AY1025" s="30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30"/>
      <c r="BK1025" s="30"/>
      <c r="BL1025" s="30"/>
      <c r="BM1025" s="30"/>
      <c r="BN1025" s="30"/>
      <c r="BO1025" s="30"/>
      <c r="BP1025" s="30"/>
      <c r="BQ1025" s="30"/>
      <c r="BR1025" s="30"/>
      <c r="BS1025" s="30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30"/>
      <c r="CE1025" s="30"/>
      <c r="CF1025" s="30"/>
      <c r="CG1025" s="30"/>
      <c r="CH1025" s="30"/>
      <c r="CI1025" s="30"/>
      <c r="CJ1025" s="30"/>
      <c r="CK1025" s="30"/>
      <c r="CL1025" s="30"/>
      <c r="CM1025" s="30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</row>
    <row r="1026" spans="2:101" ht="15" hidden="1" customHeight="1" x14ac:dyDescent="0.25"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30"/>
      <c r="W1026" s="30"/>
      <c r="X1026" s="30"/>
      <c r="Y1026" s="30"/>
      <c r="Z1026" s="30"/>
      <c r="AA1026" s="30"/>
      <c r="AB1026" s="30"/>
      <c r="AC1026" s="30"/>
      <c r="AD1026" s="30"/>
      <c r="AE1026" s="30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30"/>
      <c r="AQ1026" s="30"/>
      <c r="AR1026" s="30"/>
      <c r="AS1026" s="30"/>
      <c r="AT1026" s="30"/>
      <c r="AU1026" s="30"/>
      <c r="AV1026" s="30"/>
      <c r="AW1026" s="30"/>
      <c r="AX1026" s="30"/>
      <c r="AY1026" s="30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30"/>
      <c r="BK1026" s="30"/>
      <c r="BL1026" s="30"/>
      <c r="BM1026" s="30"/>
      <c r="BN1026" s="30"/>
      <c r="BO1026" s="30"/>
      <c r="BP1026" s="30"/>
      <c r="BQ1026" s="30"/>
      <c r="BR1026" s="30"/>
      <c r="BS1026" s="30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30"/>
      <c r="CE1026" s="30"/>
      <c r="CF1026" s="30"/>
      <c r="CG1026" s="30"/>
      <c r="CH1026" s="30"/>
      <c r="CI1026" s="30"/>
      <c r="CJ1026" s="30"/>
      <c r="CK1026" s="30"/>
      <c r="CL1026" s="30"/>
      <c r="CM1026" s="30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</row>
    <row r="1027" spans="2:101" ht="15" hidden="1" customHeight="1" x14ac:dyDescent="0.25"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30"/>
      <c r="W1027" s="30"/>
      <c r="X1027" s="30"/>
      <c r="Y1027" s="30"/>
      <c r="Z1027" s="30"/>
      <c r="AA1027" s="30"/>
      <c r="AB1027" s="30"/>
      <c r="AC1027" s="30"/>
      <c r="AD1027" s="30"/>
      <c r="AE1027" s="30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30"/>
      <c r="AQ1027" s="30"/>
      <c r="AR1027" s="30"/>
      <c r="AS1027" s="30"/>
      <c r="AT1027" s="30"/>
      <c r="AU1027" s="30"/>
      <c r="AV1027" s="30"/>
      <c r="AW1027" s="30"/>
      <c r="AX1027" s="30"/>
      <c r="AY1027" s="30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30"/>
      <c r="BK1027" s="30"/>
      <c r="BL1027" s="30"/>
      <c r="BM1027" s="30"/>
      <c r="BN1027" s="30"/>
      <c r="BO1027" s="30"/>
      <c r="BP1027" s="30"/>
      <c r="BQ1027" s="30"/>
      <c r="BR1027" s="30"/>
      <c r="BS1027" s="30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30"/>
      <c r="CE1027" s="30"/>
      <c r="CF1027" s="30"/>
      <c r="CG1027" s="30"/>
      <c r="CH1027" s="30"/>
      <c r="CI1027" s="30"/>
      <c r="CJ1027" s="30"/>
      <c r="CK1027" s="30"/>
      <c r="CL1027" s="30"/>
      <c r="CM1027" s="30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</row>
    <row r="1028" spans="2:101" ht="15" hidden="1" customHeight="1" x14ac:dyDescent="0.25"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30"/>
      <c r="W1028" s="30"/>
      <c r="X1028" s="30"/>
      <c r="Y1028" s="30"/>
      <c r="Z1028" s="30"/>
      <c r="AA1028" s="30"/>
      <c r="AB1028" s="30"/>
      <c r="AC1028" s="30"/>
      <c r="AD1028" s="30"/>
      <c r="AE1028" s="30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30"/>
      <c r="AQ1028" s="30"/>
      <c r="AR1028" s="30"/>
      <c r="AS1028" s="30"/>
      <c r="AT1028" s="30"/>
      <c r="AU1028" s="30"/>
      <c r="AV1028" s="30"/>
      <c r="AW1028" s="30"/>
      <c r="AX1028" s="30"/>
      <c r="AY1028" s="30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30"/>
      <c r="BK1028" s="30"/>
      <c r="BL1028" s="30"/>
      <c r="BM1028" s="30"/>
      <c r="BN1028" s="30"/>
      <c r="BO1028" s="30"/>
      <c r="BP1028" s="30"/>
      <c r="BQ1028" s="30"/>
      <c r="BR1028" s="30"/>
      <c r="BS1028" s="30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30"/>
      <c r="CE1028" s="30"/>
      <c r="CF1028" s="30"/>
      <c r="CG1028" s="30"/>
      <c r="CH1028" s="30"/>
      <c r="CI1028" s="30"/>
      <c r="CJ1028" s="30"/>
      <c r="CK1028" s="30"/>
      <c r="CL1028" s="30"/>
      <c r="CM1028" s="30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</row>
    <row r="1029" spans="2:101" ht="15" hidden="1" customHeight="1" x14ac:dyDescent="0.25"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30"/>
      <c r="W1029" s="30"/>
      <c r="X1029" s="30"/>
      <c r="Y1029" s="30"/>
      <c r="Z1029" s="30"/>
      <c r="AA1029" s="30"/>
      <c r="AB1029" s="30"/>
      <c r="AC1029" s="30"/>
      <c r="AD1029" s="30"/>
      <c r="AE1029" s="30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30"/>
      <c r="AQ1029" s="30"/>
      <c r="AR1029" s="30"/>
      <c r="AS1029" s="30"/>
      <c r="AT1029" s="30"/>
      <c r="AU1029" s="30"/>
      <c r="AV1029" s="30"/>
      <c r="AW1029" s="30"/>
      <c r="AX1029" s="30"/>
      <c r="AY1029" s="30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30"/>
      <c r="BK1029" s="30"/>
      <c r="BL1029" s="30"/>
      <c r="BM1029" s="30"/>
      <c r="BN1029" s="30"/>
      <c r="BO1029" s="30"/>
      <c r="BP1029" s="30"/>
      <c r="BQ1029" s="30"/>
      <c r="BR1029" s="30"/>
      <c r="BS1029" s="30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30"/>
      <c r="CE1029" s="30"/>
      <c r="CF1029" s="30"/>
      <c r="CG1029" s="30"/>
      <c r="CH1029" s="30"/>
      <c r="CI1029" s="30"/>
      <c r="CJ1029" s="30"/>
      <c r="CK1029" s="30"/>
      <c r="CL1029" s="30"/>
      <c r="CM1029" s="30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</row>
    <row r="1030" spans="2:101" ht="15" hidden="1" customHeight="1" x14ac:dyDescent="0.25"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30"/>
      <c r="W1030" s="30"/>
      <c r="X1030" s="30"/>
      <c r="Y1030" s="30"/>
      <c r="Z1030" s="30"/>
      <c r="AA1030" s="30"/>
      <c r="AB1030" s="30"/>
      <c r="AC1030" s="30"/>
      <c r="AD1030" s="30"/>
      <c r="AE1030" s="30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30"/>
      <c r="AQ1030" s="30"/>
      <c r="AR1030" s="30"/>
      <c r="AS1030" s="30"/>
      <c r="AT1030" s="30"/>
      <c r="AU1030" s="30"/>
      <c r="AV1030" s="30"/>
      <c r="AW1030" s="30"/>
      <c r="AX1030" s="30"/>
      <c r="AY1030" s="30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30"/>
      <c r="BK1030" s="30"/>
      <c r="BL1030" s="30"/>
      <c r="BM1030" s="30"/>
      <c r="BN1030" s="30"/>
      <c r="BO1030" s="30"/>
      <c r="BP1030" s="30"/>
      <c r="BQ1030" s="30"/>
      <c r="BR1030" s="30"/>
      <c r="BS1030" s="30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30"/>
      <c r="CE1030" s="30"/>
      <c r="CF1030" s="30"/>
      <c r="CG1030" s="30"/>
      <c r="CH1030" s="30"/>
      <c r="CI1030" s="30"/>
      <c r="CJ1030" s="30"/>
      <c r="CK1030" s="30"/>
      <c r="CL1030" s="30"/>
      <c r="CM1030" s="30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</row>
    <row r="1031" spans="2:101" ht="15" hidden="1" customHeight="1" x14ac:dyDescent="0.25"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30"/>
      <c r="W1031" s="30"/>
      <c r="X1031" s="30"/>
      <c r="Y1031" s="30"/>
      <c r="Z1031" s="30"/>
      <c r="AA1031" s="30"/>
      <c r="AB1031" s="30"/>
      <c r="AC1031" s="30"/>
      <c r="AD1031" s="30"/>
      <c r="AE1031" s="30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30"/>
      <c r="AQ1031" s="30"/>
      <c r="AR1031" s="30"/>
      <c r="AS1031" s="30"/>
      <c r="AT1031" s="30"/>
      <c r="AU1031" s="30"/>
      <c r="AV1031" s="30"/>
      <c r="AW1031" s="30"/>
      <c r="AX1031" s="30"/>
      <c r="AY1031" s="30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30"/>
      <c r="BK1031" s="30"/>
      <c r="BL1031" s="30"/>
      <c r="BM1031" s="30"/>
      <c r="BN1031" s="30"/>
      <c r="BO1031" s="30"/>
      <c r="BP1031" s="30"/>
      <c r="BQ1031" s="30"/>
      <c r="BR1031" s="30"/>
      <c r="BS1031" s="30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30"/>
      <c r="CE1031" s="30"/>
      <c r="CF1031" s="30"/>
      <c r="CG1031" s="30"/>
      <c r="CH1031" s="30"/>
      <c r="CI1031" s="30"/>
      <c r="CJ1031" s="30"/>
      <c r="CK1031" s="30"/>
      <c r="CL1031" s="30"/>
      <c r="CM1031" s="30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</row>
    <row r="1032" spans="2:101" ht="15" hidden="1" customHeight="1" x14ac:dyDescent="0.25"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30"/>
      <c r="W1032" s="30"/>
      <c r="X1032" s="30"/>
      <c r="Y1032" s="30"/>
      <c r="Z1032" s="30"/>
      <c r="AA1032" s="30"/>
      <c r="AB1032" s="30"/>
      <c r="AC1032" s="30"/>
      <c r="AD1032" s="30"/>
      <c r="AE1032" s="30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30"/>
      <c r="AQ1032" s="30"/>
      <c r="AR1032" s="30"/>
      <c r="AS1032" s="30"/>
      <c r="AT1032" s="30"/>
      <c r="AU1032" s="30"/>
      <c r="AV1032" s="30"/>
      <c r="AW1032" s="30"/>
      <c r="AX1032" s="30"/>
      <c r="AY1032" s="30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30"/>
      <c r="BK1032" s="30"/>
      <c r="BL1032" s="30"/>
      <c r="BM1032" s="30"/>
      <c r="BN1032" s="30"/>
      <c r="BO1032" s="30"/>
      <c r="BP1032" s="30"/>
      <c r="BQ1032" s="30"/>
      <c r="BR1032" s="30"/>
      <c r="BS1032" s="30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30"/>
      <c r="CE1032" s="30"/>
      <c r="CF1032" s="30"/>
      <c r="CG1032" s="30"/>
      <c r="CH1032" s="30"/>
      <c r="CI1032" s="30"/>
      <c r="CJ1032" s="30"/>
      <c r="CK1032" s="30"/>
      <c r="CL1032" s="30"/>
      <c r="CM1032" s="30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</row>
    <row r="1033" spans="2:101" ht="15" hidden="1" customHeight="1" x14ac:dyDescent="0.25"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30"/>
      <c r="W1033" s="30"/>
      <c r="X1033" s="30"/>
      <c r="Y1033" s="30"/>
      <c r="Z1033" s="30"/>
      <c r="AA1033" s="30"/>
      <c r="AB1033" s="30"/>
      <c r="AC1033" s="30"/>
      <c r="AD1033" s="30"/>
      <c r="AE1033" s="30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30"/>
      <c r="AQ1033" s="30"/>
      <c r="AR1033" s="30"/>
      <c r="AS1033" s="30"/>
      <c r="AT1033" s="30"/>
      <c r="AU1033" s="30"/>
      <c r="AV1033" s="30"/>
      <c r="AW1033" s="30"/>
      <c r="AX1033" s="30"/>
      <c r="AY1033" s="30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30"/>
      <c r="BK1033" s="30"/>
      <c r="BL1033" s="30"/>
      <c r="BM1033" s="30"/>
      <c r="BN1033" s="30"/>
      <c r="BO1033" s="30"/>
      <c r="BP1033" s="30"/>
      <c r="BQ1033" s="30"/>
      <c r="BR1033" s="30"/>
      <c r="BS1033" s="30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30"/>
      <c r="CE1033" s="30"/>
      <c r="CF1033" s="30"/>
      <c r="CG1033" s="30"/>
      <c r="CH1033" s="30"/>
      <c r="CI1033" s="30"/>
      <c r="CJ1033" s="30"/>
      <c r="CK1033" s="30"/>
      <c r="CL1033" s="30"/>
      <c r="CM1033" s="30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</row>
    <row r="1034" spans="2:101" ht="15" hidden="1" customHeight="1" x14ac:dyDescent="0.25"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30"/>
      <c r="W1034" s="30"/>
      <c r="X1034" s="30"/>
      <c r="Y1034" s="30"/>
      <c r="Z1034" s="30"/>
      <c r="AA1034" s="30"/>
      <c r="AB1034" s="30"/>
      <c r="AC1034" s="30"/>
      <c r="AD1034" s="30"/>
      <c r="AE1034" s="30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30"/>
      <c r="AQ1034" s="30"/>
      <c r="AR1034" s="30"/>
      <c r="AS1034" s="30"/>
      <c r="AT1034" s="30"/>
      <c r="AU1034" s="30"/>
      <c r="AV1034" s="30"/>
      <c r="AW1034" s="30"/>
      <c r="AX1034" s="30"/>
      <c r="AY1034" s="30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30"/>
      <c r="BK1034" s="30"/>
      <c r="BL1034" s="30"/>
      <c r="BM1034" s="30"/>
      <c r="BN1034" s="30"/>
      <c r="BO1034" s="30"/>
      <c r="BP1034" s="30"/>
      <c r="BQ1034" s="30"/>
      <c r="BR1034" s="30"/>
      <c r="BS1034" s="30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30"/>
      <c r="CE1034" s="30"/>
      <c r="CF1034" s="30"/>
      <c r="CG1034" s="30"/>
      <c r="CH1034" s="30"/>
      <c r="CI1034" s="30"/>
      <c r="CJ1034" s="30"/>
      <c r="CK1034" s="30"/>
      <c r="CL1034" s="30"/>
      <c r="CM1034" s="30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</row>
    <row r="1035" spans="2:101" ht="15" hidden="1" customHeight="1" x14ac:dyDescent="0.25"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30"/>
      <c r="W1035" s="30"/>
      <c r="X1035" s="30"/>
      <c r="Y1035" s="30"/>
      <c r="Z1035" s="30"/>
      <c r="AA1035" s="30"/>
      <c r="AB1035" s="30"/>
      <c r="AC1035" s="30"/>
      <c r="AD1035" s="30"/>
      <c r="AE1035" s="30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30"/>
      <c r="AQ1035" s="30"/>
      <c r="AR1035" s="30"/>
      <c r="AS1035" s="30"/>
      <c r="AT1035" s="30"/>
      <c r="AU1035" s="30"/>
      <c r="AV1035" s="30"/>
      <c r="AW1035" s="30"/>
      <c r="AX1035" s="30"/>
      <c r="AY1035" s="30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30"/>
      <c r="BK1035" s="30"/>
      <c r="BL1035" s="30"/>
      <c r="BM1035" s="30"/>
      <c r="BN1035" s="30"/>
      <c r="BO1035" s="30"/>
      <c r="BP1035" s="30"/>
      <c r="BQ1035" s="30"/>
      <c r="BR1035" s="30"/>
      <c r="BS1035" s="30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30"/>
      <c r="CE1035" s="30"/>
      <c r="CF1035" s="30"/>
      <c r="CG1035" s="30"/>
      <c r="CH1035" s="30"/>
      <c r="CI1035" s="30"/>
      <c r="CJ1035" s="30"/>
      <c r="CK1035" s="30"/>
      <c r="CL1035" s="30"/>
      <c r="CM1035" s="30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</row>
    <row r="1036" spans="2:101" ht="15" hidden="1" customHeight="1" x14ac:dyDescent="0.25"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30"/>
      <c r="W1036" s="30"/>
      <c r="X1036" s="30"/>
      <c r="Y1036" s="30"/>
      <c r="Z1036" s="30"/>
      <c r="AA1036" s="30"/>
      <c r="AB1036" s="30"/>
      <c r="AC1036" s="30"/>
      <c r="AD1036" s="30"/>
      <c r="AE1036" s="30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30"/>
      <c r="AQ1036" s="30"/>
      <c r="AR1036" s="30"/>
      <c r="AS1036" s="30"/>
      <c r="AT1036" s="30"/>
      <c r="AU1036" s="30"/>
      <c r="AV1036" s="30"/>
      <c r="AW1036" s="30"/>
      <c r="AX1036" s="30"/>
      <c r="AY1036" s="30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30"/>
      <c r="BK1036" s="30"/>
      <c r="BL1036" s="30"/>
      <c r="BM1036" s="30"/>
      <c r="BN1036" s="30"/>
      <c r="BO1036" s="30"/>
      <c r="BP1036" s="30"/>
      <c r="BQ1036" s="30"/>
      <c r="BR1036" s="30"/>
      <c r="BS1036" s="30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30"/>
      <c r="CE1036" s="30"/>
      <c r="CF1036" s="30"/>
      <c r="CG1036" s="30"/>
      <c r="CH1036" s="30"/>
      <c r="CI1036" s="30"/>
      <c r="CJ1036" s="30"/>
      <c r="CK1036" s="30"/>
      <c r="CL1036" s="30"/>
      <c r="CM1036" s="30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</row>
    <row r="1037" spans="2:101" ht="15" hidden="1" customHeight="1" x14ac:dyDescent="0.25"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30"/>
      <c r="W1037" s="30"/>
      <c r="X1037" s="30"/>
      <c r="Y1037" s="30"/>
      <c r="Z1037" s="30"/>
      <c r="AA1037" s="30"/>
      <c r="AB1037" s="30"/>
      <c r="AC1037" s="30"/>
      <c r="AD1037" s="30"/>
      <c r="AE1037" s="30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30"/>
      <c r="AQ1037" s="30"/>
      <c r="AR1037" s="30"/>
      <c r="AS1037" s="30"/>
      <c r="AT1037" s="30"/>
      <c r="AU1037" s="30"/>
      <c r="AV1037" s="30"/>
      <c r="AW1037" s="30"/>
      <c r="AX1037" s="30"/>
      <c r="AY1037" s="30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30"/>
      <c r="BK1037" s="30"/>
      <c r="BL1037" s="30"/>
      <c r="BM1037" s="30"/>
      <c r="BN1037" s="30"/>
      <c r="BO1037" s="30"/>
      <c r="BP1037" s="30"/>
      <c r="BQ1037" s="30"/>
      <c r="BR1037" s="30"/>
      <c r="BS1037" s="30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30"/>
      <c r="CE1037" s="30"/>
      <c r="CF1037" s="30"/>
      <c r="CG1037" s="30"/>
      <c r="CH1037" s="30"/>
      <c r="CI1037" s="30"/>
      <c r="CJ1037" s="30"/>
      <c r="CK1037" s="30"/>
      <c r="CL1037" s="30"/>
      <c r="CM1037" s="30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</row>
    <row r="1038" spans="2:101" ht="15" hidden="1" customHeight="1" x14ac:dyDescent="0.25"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30"/>
      <c r="W1038" s="30"/>
      <c r="X1038" s="30"/>
      <c r="Y1038" s="30"/>
      <c r="Z1038" s="30"/>
      <c r="AA1038" s="30"/>
      <c r="AB1038" s="30"/>
      <c r="AC1038" s="30"/>
      <c r="AD1038" s="30"/>
      <c r="AE1038" s="30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30"/>
      <c r="AQ1038" s="30"/>
      <c r="AR1038" s="30"/>
      <c r="AS1038" s="30"/>
      <c r="AT1038" s="30"/>
      <c r="AU1038" s="30"/>
      <c r="AV1038" s="30"/>
      <c r="AW1038" s="30"/>
      <c r="AX1038" s="30"/>
      <c r="AY1038" s="30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30"/>
      <c r="BK1038" s="30"/>
      <c r="BL1038" s="30"/>
      <c r="BM1038" s="30"/>
      <c r="BN1038" s="30"/>
      <c r="BO1038" s="30"/>
      <c r="BP1038" s="30"/>
      <c r="BQ1038" s="30"/>
      <c r="BR1038" s="30"/>
      <c r="BS1038" s="30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30"/>
      <c r="CE1038" s="30"/>
      <c r="CF1038" s="30"/>
      <c r="CG1038" s="30"/>
      <c r="CH1038" s="30"/>
      <c r="CI1038" s="30"/>
      <c r="CJ1038" s="30"/>
      <c r="CK1038" s="30"/>
      <c r="CL1038" s="30"/>
      <c r="CM1038" s="30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</row>
    <row r="1039" spans="2:101" ht="15" hidden="1" customHeight="1" x14ac:dyDescent="0.25"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30"/>
      <c r="W1039" s="30"/>
      <c r="X1039" s="30"/>
      <c r="Y1039" s="30"/>
      <c r="Z1039" s="30"/>
      <c r="AA1039" s="30"/>
      <c r="AB1039" s="30"/>
      <c r="AC1039" s="30"/>
      <c r="AD1039" s="30"/>
      <c r="AE1039" s="30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30"/>
      <c r="AQ1039" s="30"/>
      <c r="AR1039" s="30"/>
      <c r="AS1039" s="30"/>
      <c r="AT1039" s="30"/>
      <c r="AU1039" s="30"/>
      <c r="AV1039" s="30"/>
      <c r="AW1039" s="30"/>
      <c r="AX1039" s="30"/>
      <c r="AY1039" s="30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30"/>
      <c r="BK1039" s="30"/>
      <c r="BL1039" s="30"/>
      <c r="BM1039" s="30"/>
      <c r="BN1039" s="30"/>
      <c r="BO1039" s="30"/>
      <c r="BP1039" s="30"/>
      <c r="BQ1039" s="30"/>
      <c r="BR1039" s="30"/>
      <c r="BS1039" s="30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30"/>
      <c r="CE1039" s="30"/>
      <c r="CF1039" s="30"/>
      <c r="CG1039" s="30"/>
      <c r="CH1039" s="30"/>
      <c r="CI1039" s="30"/>
      <c r="CJ1039" s="30"/>
      <c r="CK1039" s="30"/>
      <c r="CL1039" s="30"/>
      <c r="CM1039" s="30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</row>
    <row r="1040" spans="2:101" ht="15" hidden="1" customHeight="1" x14ac:dyDescent="0.25"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30"/>
      <c r="W1040" s="30"/>
      <c r="X1040" s="30"/>
      <c r="Y1040" s="30"/>
      <c r="Z1040" s="30"/>
      <c r="AA1040" s="30"/>
      <c r="AB1040" s="30"/>
      <c r="AC1040" s="30"/>
      <c r="AD1040" s="30"/>
      <c r="AE1040" s="30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30"/>
      <c r="AQ1040" s="30"/>
      <c r="AR1040" s="30"/>
      <c r="AS1040" s="30"/>
      <c r="AT1040" s="30"/>
      <c r="AU1040" s="30"/>
      <c r="AV1040" s="30"/>
      <c r="AW1040" s="30"/>
      <c r="AX1040" s="30"/>
      <c r="AY1040" s="30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30"/>
      <c r="BK1040" s="30"/>
      <c r="BL1040" s="30"/>
      <c r="BM1040" s="30"/>
      <c r="BN1040" s="30"/>
      <c r="BO1040" s="30"/>
      <c r="BP1040" s="30"/>
      <c r="BQ1040" s="30"/>
      <c r="BR1040" s="30"/>
      <c r="BS1040" s="30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30"/>
      <c r="CE1040" s="30"/>
      <c r="CF1040" s="30"/>
      <c r="CG1040" s="30"/>
      <c r="CH1040" s="30"/>
      <c r="CI1040" s="30"/>
      <c r="CJ1040" s="30"/>
      <c r="CK1040" s="30"/>
      <c r="CL1040" s="30"/>
      <c r="CM1040" s="30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</row>
    <row r="1041" spans="2:101" ht="15" hidden="1" customHeight="1" x14ac:dyDescent="0.25"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30"/>
      <c r="W1041" s="30"/>
      <c r="X1041" s="30"/>
      <c r="Y1041" s="30"/>
      <c r="Z1041" s="30"/>
      <c r="AA1041" s="30"/>
      <c r="AB1041" s="30"/>
      <c r="AC1041" s="30"/>
      <c r="AD1041" s="30"/>
      <c r="AE1041" s="30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30"/>
      <c r="AQ1041" s="30"/>
      <c r="AR1041" s="30"/>
      <c r="AS1041" s="30"/>
      <c r="AT1041" s="30"/>
      <c r="AU1041" s="30"/>
      <c r="AV1041" s="30"/>
      <c r="AW1041" s="30"/>
      <c r="AX1041" s="30"/>
      <c r="AY1041" s="30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30"/>
      <c r="BK1041" s="30"/>
      <c r="BL1041" s="30"/>
      <c r="BM1041" s="30"/>
      <c r="BN1041" s="30"/>
      <c r="BO1041" s="30"/>
      <c r="BP1041" s="30"/>
      <c r="BQ1041" s="30"/>
      <c r="BR1041" s="30"/>
      <c r="BS1041" s="30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30"/>
      <c r="CE1041" s="30"/>
      <c r="CF1041" s="30"/>
      <c r="CG1041" s="30"/>
      <c r="CH1041" s="30"/>
      <c r="CI1041" s="30"/>
      <c r="CJ1041" s="30"/>
      <c r="CK1041" s="30"/>
      <c r="CL1041" s="30"/>
      <c r="CM1041" s="30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</row>
    <row r="1042" spans="2:101" ht="15" hidden="1" customHeight="1" x14ac:dyDescent="0.25"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30"/>
      <c r="W1042" s="30"/>
      <c r="X1042" s="30"/>
      <c r="Y1042" s="30"/>
      <c r="Z1042" s="30"/>
      <c r="AA1042" s="30"/>
      <c r="AB1042" s="30"/>
      <c r="AC1042" s="30"/>
      <c r="AD1042" s="30"/>
      <c r="AE1042" s="30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30"/>
      <c r="AQ1042" s="30"/>
      <c r="AR1042" s="30"/>
      <c r="AS1042" s="30"/>
      <c r="AT1042" s="30"/>
      <c r="AU1042" s="30"/>
      <c r="AV1042" s="30"/>
      <c r="AW1042" s="30"/>
      <c r="AX1042" s="30"/>
      <c r="AY1042" s="30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30"/>
      <c r="BK1042" s="30"/>
      <c r="BL1042" s="30"/>
      <c r="BM1042" s="30"/>
      <c r="BN1042" s="30"/>
      <c r="BO1042" s="30"/>
      <c r="BP1042" s="30"/>
      <c r="BQ1042" s="30"/>
      <c r="BR1042" s="30"/>
      <c r="BS1042" s="30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30"/>
      <c r="CE1042" s="30"/>
      <c r="CF1042" s="30"/>
      <c r="CG1042" s="30"/>
      <c r="CH1042" s="30"/>
      <c r="CI1042" s="30"/>
      <c r="CJ1042" s="30"/>
      <c r="CK1042" s="30"/>
      <c r="CL1042" s="30"/>
      <c r="CM1042" s="30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</row>
    <row r="1043" spans="2:101" ht="15" hidden="1" customHeight="1" x14ac:dyDescent="0.25"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30"/>
      <c r="W1043" s="30"/>
      <c r="X1043" s="30"/>
      <c r="Y1043" s="30"/>
      <c r="Z1043" s="30"/>
      <c r="AA1043" s="30"/>
      <c r="AB1043" s="30"/>
      <c r="AC1043" s="30"/>
      <c r="AD1043" s="30"/>
      <c r="AE1043" s="30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30"/>
      <c r="AQ1043" s="30"/>
      <c r="AR1043" s="30"/>
      <c r="AS1043" s="30"/>
      <c r="AT1043" s="30"/>
      <c r="AU1043" s="30"/>
      <c r="AV1043" s="30"/>
      <c r="AW1043" s="30"/>
      <c r="AX1043" s="30"/>
      <c r="AY1043" s="30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30"/>
      <c r="BK1043" s="30"/>
      <c r="BL1043" s="30"/>
      <c r="BM1043" s="30"/>
      <c r="BN1043" s="30"/>
      <c r="BO1043" s="30"/>
      <c r="BP1043" s="30"/>
      <c r="BQ1043" s="30"/>
      <c r="BR1043" s="30"/>
      <c r="BS1043" s="30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30"/>
      <c r="CE1043" s="30"/>
      <c r="CF1043" s="30"/>
      <c r="CG1043" s="30"/>
      <c r="CH1043" s="30"/>
      <c r="CI1043" s="30"/>
      <c r="CJ1043" s="30"/>
      <c r="CK1043" s="30"/>
      <c r="CL1043" s="30"/>
      <c r="CM1043" s="30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</row>
    <row r="1044" spans="2:101" ht="15" hidden="1" customHeight="1" x14ac:dyDescent="0.25"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30"/>
      <c r="W1044" s="30"/>
      <c r="X1044" s="30"/>
      <c r="Y1044" s="30"/>
      <c r="Z1044" s="30"/>
      <c r="AA1044" s="30"/>
      <c r="AB1044" s="30"/>
      <c r="AC1044" s="30"/>
      <c r="AD1044" s="30"/>
      <c r="AE1044" s="30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30"/>
      <c r="AQ1044" s="30"/>
      <c r="AR1044" s="30"/>
      <c r="AS1044" s="30"/>
      <c r="AT1044" s="30"/>
      <c r="AU1044" s="30"/>
      <c r="AV1044" s="30"/>
      <c r="AW1044" s="30"/>
      <c r="AX1044" s="30"/>
      <c r="AY1044" s="30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30"/>
      <c r="BK1044" s="30"/>
      <c r="BL1044" s="30"/>
      <c r="BM1044" s="30"/>
      <c r="BN1044" s="30"/>
      <c r="BO1044" s="30"/>
      <c r="BP1044" s="30"/>
      <c r="BQ1044" s="30"/>
      <c r="BR1044" s="30"/>
      <c r="BS1044" s="30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30"/>
      <c r="CE1044" s="30"/>
      <c r="CF1044" s="30"/>
      <c r="CG1044" s="30"/>
      <c r="CH1044" s="30"/>
      <c r="CI1044" s="30"/>
      <c r="CJ1044" s="30"/>
      <c r="CK1044" s="30"/>
      <c r="CL1044" s="30"/>
      <c r="CM1044" s="30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</row>
    <row r="1045" spans="2:101" ht="15" hidden="1" customHeight="1" x14ac:dyDescent="0.25"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30"/>
      <c r="W1045" s="30"/>
      <c r="X1045" s="30"/>
      <c r="Y1045" s="30"/>
      <c r="Z1045" s="30"/>
      <c r="AA1045" s="30"/>
      <c r="AB1045" s="30"/>
      <c r="AC1045" s="30"/>
      <c r="AD1045" s="30"/>
      <c r="AE1045" s="30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30"/>
      <c r="AQ1045" s="30"/>
      <c r="AR1045" s="30"/>
      <c r="AS1045" s="30"/>
      <c r="AT1045" s="30"/>
      <c r="AU1045" s="30"/>
      <c r="AV1045" s="30"/>
      <c r="AW1045" s="30"/>
      <c r="AX1045" s="30"/>
      <c r="AY1045" s="30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30"/>
      <c r="BK1045" s="30"/>
      <c r="BL1045" s="30"/>
      <c r="BM1045" s="30"/>
      <c r="BN1045" s="30"/>
      <c r="BO1045" s="30"/>
      <c r="BP1045" s="30"/>
      <c r="BQ1045" s="30"/>
      <c r="BR1045" s="30"/>
      <c r="BS1045" s="30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30"/>
      <c r="CE1045" s="30"/>
      <c r="CF1045" s="30"/>
      <c r="CG1045" s="30"/>
      <c r="CH1045" s="30"/>
      <c r="CI1045" s="30"/>
      <c r="CJ1045" s="30"/>
      <c r="CK1045" s="30"/>
      <c r="CL1045" s="30"/>
      <c r="CM1045" s="30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</row>
    <row r="1046" spans="2:101" ht="15" hidden="1" customHeight="1" x14ac:dyDescent="0.25"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30"/>
      <c r="W1046" s="30"/>
      <c r="X1046" s="30"/>
      <c r="Y1046" s="30"/>
      <c r="Z1046" s="30"/>
      <c r="AA1046" s="30"/>
      <c r="AB1046" s="30"/>
      <c r="AC1046" s="30"/>
      <c r="AD1046" s="30"/>
      <c r="AE1046" s="30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30"/>
      <c r="AQ1046" s="30"/>
      <c r="AR1046" s="30"/>
      <c r="AS1046" s="30"/>
      <c r="AT1046" s="30"/>
      <c r="AU1046" s="30"/>
      <c r="AV1046" s="30"/>
      <c r="AW1046" s="30"/>
      <c r="AX1046" s="30"/>
      <c r="AY1046" s="30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30"/>
      <c r="BK1046" s="30"/>
      <c r="BL1046" s="30"/>
      <c r="BM1046" s="30"/>
      <c r="BN1046" s="30"/>
      <c r="BO1046" s="30"/>
      <c r="BP1046" s="30"/>
      <c r="BQ1046" s="30"/>
      <c r="BR1046" s="30"/>
      <c r="BS1046" s="30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30"/>
      <c r="CE1046" s="30"/>
      <c r="CF1046" s="30"/>
      <c r="CG1046" s="30"/>
      <c r="CH1046" s="30"/>
      <c r="CI1046" s="30"/>
      <c r="CJ1046" s="30"/>
      <c r="CK1046" s="30"/>
      <c r="CL1046" s="30"/>
      <c r="CM1046" s="30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</row>
    <row r="1047" spans="2:101" ht="15" hidden="1" customHeight="1" x14ac:dyDescent="0.25"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30"/>
      <c r="W1047" s="30"/>
      <c r="X1047" s="30"/>
      <c r="Y1047" s="30"/>
      <c r="Z1047" s="30"/>
      <c r="AA1047" s="30"/>
      <c r="AB1047" s="30"/>
      <c r="AC1047" s="30"/>
      <c r="AD1047" s="30"/>
      <c r="AE1047" s="30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30"/>
      <c r="AQ1047" s="30"/>
      <c r="AR1047" s="30"/>
      <c r="AS1047" s="30"/>
      <c r="AT1047" s="30"/>
      <c r="AU1047" s="30"/>
      <c r="AV1047" s="30"/>
      <c r="AW1047" s="30"/>
      <c r="AX1047" s="30"/>
      <c r="AY1047" s="30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30"/>
      <c r="BK1047" s="30"/>
      <c r="BL1047" s="30"/>
      <c r="BM1047" s="30"/>
      <c r="BN1047" s="30"/>
      <c r="BO1047" s="30"/>
      <c r="BP1047" s="30"/>
      <c r="BQ1047" s="30"/>
      <c r="BR1047" s="30"/>
      <c r="BS1047" s="30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30"/>
      <c r="CE1047" s="30"/>
      <c r="CF1047" s="30"/>
      <c r="CG1047" s="30"/>
      <c r="CH1047" s="30"/>
      <c r="CI1047" s="30"/>
      <c r="CJ1047" s="30"/>
      <c r="CK1047" s="30"/>
      <c r="CL1047" s="30"/>
      <c r="CM1047" s="30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</row>
    <row r="1048" spans="2:101" ht="15" hidden="1" customHeight="1" x14ac:dyDescent="0.25"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30"/>
      <c r="W1048" s="30"/>
      <c r="X1048" s="30"/>
      <c r="Y1048" s="30"/>
      <c r="Z1048" s="30"/>
      <c r="AA1048" s="30"/>
      <c r="AB1048" s="30"/>
      <c r="AC1048" s="30"/>
      <c r="AD1048" s="30"/>
      <c r="AE1048" s="30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30"/>
      <c r="AQ1048" s="30"/>
      <c r="AR1048" s="30"/>
      <c r="AS1048" s="30"/>
      <c r="AT1048" s="30"/>
      <c r="AU1048" s="30"/>
      <c r="AV1048" s="30"/>
      <c r="AW1048" s="30"/>
      <c r="AX1048" s="30"/>
      <c r="AY1048" s="30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30"/>
      <c r="BK1048" s="30"/>
      <c r="BL1048" s="30"/>
      <c r="BM1048" s="30"/>
      <c r="BN1048" s="30"/>
      <c r="BO1048" s="30"/>
      <c r="BP1048" s="30"/>
      <c r="BQ1048" s="30"/>
      <c r="BR1048" s="30"/>
      <c r="BS1048" s="30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30"/>
      <c r="CE1048" s="30"/>
      <c r="CF1048" s="30"/>
      <c r="CG1048" s="30"/>
      <c r="CH1048" s="30"/>
      <c r="CI1048" s="30"/>
      <c r="CJ1048" s="30"/>
      <c r="CK1048" s="30"/>
      <c r="CL1048" s="30"/>
      <c r="CM1048" s="30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</row>
    <row r="1049" spans="2:101" ht="15" hidden="1" customHeight="1" x14ac:dyDescent="0.25"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30"/>
      <c r="W1049" s="30"/>
      <c r="X1049" s="30"/>
      <c r="Y1049" s="30"/>
      <c r="Z1049" s="30"/>
      <c r="AA1049" s="30"/>
      <c r="AB1049" s="30"/>
      <c r="AC1049" s="30"/>
      <c r="AD1049" s="30"/>
      <c r="AE1049" s="30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30"/>
      <c r="AQ1049" s="30"/>
      <c r="AR1049" s="30"/>
      <c r="AS1049" s="30"/>
      <c r="AT1049" s="30"/>
      <c r="AU1049" s="30"/>
      <c r="AV1049" s="30"/>
      <c r="AW1049" s="30"/>
      <c r="AX1049" s="30"/>
      <c r="AY1049" s="30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30"/>
      <c r="BK1049" s="30"/>
      <c r="BL1049" s="30"/>
      <c r="BM1049" s="30"/>
      <c r="BN1049" s="30"/>
      <c r="BO1049" s="30"/>
      <c r="BP1049" s="30"/>
      <c r="BQ1049" s="30"/>
      <c r="BR1049" s="30"/>
      <c r="BS1049" s="30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30"/>
      <c r="CE1049" s="30"/>
      <c r="CF1049" s="30"/>
      <c r="CG1049" s="30"/>
      <c r="CH1049" s="30"/>
      <c r="CI1049" s="30"/>
      <c r="CJ1049" s="30"/>
      <c r="CK1049" s="30"/>
      <c r="CL1049" s="30"/>
      <c r="CM1049" s="30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</row>
    <row r="1050" spans="2:101" ht="15" hidden="1" customHeight="1" x14ac:dyDescent="0.25"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30"/>
      <c r="W1050" s="30"/>
      <c r="X1050" s="30"/>
      <c r="Y1050" s="30"/>
      <c r="Z1050" s="30"/>
      <c r="AA1050" s="30"/>
      <c r="AB1050" s="30"/>
      <c r="AC1050" s="30"/>
      <c r="AD1050" s="30"/>
      <c r="AE1050" s="30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30"/>
      <c r="AQ1050" s="30"/>
      <c r="AR1050" s="30"/>
      <c r="AS1050" s="30"/>
      <c r="AT1050" s="30"/>
      <c r="AU1050" s="30"/>
      <c r="AV1050" s="30"/>
      <c r="AW1050" s="30"/>
      <c r="AX1050" s="30"/>
      <c r="AY1050" s="30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30"/>
      <c r="BK1050" s="30"/>
      <c r="BL1050" s="30"/>
      <c r="BM1050" s="30"/>
      <c r="BN1050" s="30"/>
      <c r="BO1050" s="30"/>
      <c r="BP1050" s="30"/>
      <c r="BQ1050" s="30"/>
      <c r="BR1050" s="30"/>
      <c r="BS1050" s="30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30"/>
      <c r="CE1050" s="30"/>
      <c r="CF1050" s="30"/>
      <c r="CG1050" s="30"/>
      <c r="CH1050" s="30"/>
      <c r="CI1050" s="30"/>
      <c r="CJ1050" s="30"/>
      <c r="CK1050" s="30"/>
      <c r="CL1050" s="30"/>
      <c r="CM1050" s="30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</row>
    <row r="1051" spans="2:101" ht="15" hidden="1" customHeight="1" x14ac:dyDescent="0.25"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30"/>
      <c r="W1051" s="30"/>
      <c r="X1051" s="30"/>
      <c r="Y1051" s="30"/>
      <c r="Z1051" s="30"/>
      <c r="AA1051" s="30"/>
      <c r="AB1051" s="30"/>
      <c r="AC1051" s="30"/>
      <c r="AD1051" s="30"/>
      <c r="AE1051" s="30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30"/>
      <c r="AQ1051" s="30"/>
      <c r="AR1051" s="30"/>
      <c r="AS1051" s="30"/>
      <c r="AT1051" s="30"/>
      <c r="AU1051" s="30"/>
      <c r="AV1051" s="30"/>
      <c r="AW1051" s="30"/>
      <c r="AX1051" s="30"/>
      <c r="AY1051" s="30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30"/>
      <c r="BK1051" s="30"/>
      <c r="BL1051" s="30"/>
      <c r="BM1051" s="30"/>
      <c r="BN1051" s="30"/>
      <c r="BO1051" s="30"/>
      <c r="BP1051" s="30"/>
      <c r="BQ1051" s="30"/>
      <c r="BR1051" s="30"/>
      <c r="BS1051" s="30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30"/>
      <c r="CE1051" s="30"/>
      <c r="CF1051" s="30"/>
      <c r="CG1051" s="30"/>
      <c r="CH1051" s="30"/>
      <c r="CI1051" s="30"/>
      <c r="CJ1051" s="30"/>
      <c r="CK1051" s="30"/>
      <c r="CL1051" s="30"/>
      <c r="CM1051" s="30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</row>
    <row r="1052" spans="2:101" ht="15" hidden="1" customHeight="1" x14ac:dyDescent="0.25"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30"/>
      <c r="W1052" s="30"/>
      <c r="X1052" s="30"/>
      <c r="Y1052" s="30"/>
      <c r="Z1052" s="30"/>
      <c r="AA1052" s="30"/>
      <c r="AB1052" s="30"/>
      <c r="AC1052" s="30"/>
      <c r="AD1052" s="30"/>
      <c r="AE1052" s="30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30"/>
      <c r="AQ1052" s="30"/>
      <c r="AR1052" s="30"/>
      <c r="AS1052" s="30"/>
      <c r="AT1052" s="30"/>
      <c r="AU1052" s="30"/>
      <c r="AV1052" s="30"/>
      <c r="AW1052" s="30"/>
      <c r="AX1052" s="30"/>
      <c r="AY1052" s="30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30"/>
      <c r="BK1052" s="30"/>
      <c r="BL1052" s="30"/>
      <c r="BM1052" s="30"/>
      <c r="BN1052" s="30"/>
      <c r="BO1052" s="30"/>
      <c r="BP1052" s="30"/>
      <c r="BQ1052" s="30"/>
      <c r="BR1052" s="30"/>
      <c r="BS1052" s="30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30"/>
      <c r="CE1052" s="30"/>
      <c r="CF1052" s="30"/>
      <c r="CG1052" s="30"/>
      <c r="CH1052" s="30"/>
      <c r="CI1052" s="30"/>
      <c r="CJ1052" s="30"/>
      <c r="CK1052" s="30"/>
      <c r="CL1052" s="30"/>
      <c r="CM1052" s="30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</row>
    <row r="1053" spans="2:101" ht="15" hidden="1" customHeight="1" x14ac:dyDescent="0.25"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30"/>
      <c r="W1053" s="30"/>
      <c r="X1053" s="30"/>
      <c r="Y1053" s="30"/>
      <c r="Z1053" s="30"/>
      <c r="AA1053" s="30"/>
      <c r="AB1053" s="30"/>
      <c r="AC1053" s="30"/>
      <c r="AD1053" s="30"/>
      <c r="AE1053" s="30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30"/>
      <c r="AQ1053" s="30"/>
      <c r="AR1053" s="30"/>
      <c r="AS1053" s="30"/>
      <c r="AT1053" s="30"/>
      <c r="AU1053" s="30"/>
      <c r="AV1053" s="30"/>
      <c r="AW1053" s="30"/>
      <c r="AX1053" s="30"/>
      <c r="AY1053" s="30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30"/>
      <c r="BK1053" s="30"/>
      <c r="BL1053" s="30"/>
      <c r="BM1053" s="30"/>
      <c r="BN1053" s="30"/>
      <c r="BO1053" s="30"/>
      <c r="BP1053" s="30"/>
      <c r="BQ1053" s="30"/>
      <c r="BR1053" s="30"/>
      <c r="BS1053" s="30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30"/>
      <c r="CE1053" s="30"/>
      <c r="CF1053" s="30"/>
      <c r="CG1053" s="30"/>
      <c r="CH1053" s="30"/>
      <c r="CI1053" s="30"/>
      <c r="CJ1053" s="30"/>
      <c r="CK1053" s="30"/>
      <c r="CL1053" s="30"/>
      <c r="CM1053" s="30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</row>
    <row r="1054" spans="2:101" ht="15" hidden="1" customHeight="1" x14ac:dyDescent="0.25"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30"/>
      <c r="W1054" s="30"/>
      <c r="X1054" s="30"/>
      <c r="Y1054" s="30"/>
      <c r="Z1054" s="30"/>
      <c r="AA1054" s="30"/>
      <c r="AB1054" s="30"/>
      <c r="AC1054" s="30"/>
      <c r="AD1054" s="30"/>
      <c r="AE1054" s="30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30"/>
      <c r="AQ1054" s="30"/>
      <c r="AR1054" s="30"/>
      <c r="AS1054" s="30"/>
      <c r="AT1054" s="30"/>
      <c r="AU1054" s="30"/>
      <c r="AV1054" s="30"/>
      <c r="AW1054" s="30"/>
      <c r="AX1054" s="30"/>
      <c r="AY1054" s="30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30"/>
      <c r="BK1054" s="30"/>
      <c r="BL1054" s="30"/>
      <c r="BM1054" s="30"/>
      <c r="BN1054" s="30"/>
      <c r="BO1054" s="30"/>
      <c r="BP1054" s="30"/>
      <c r="BQ1054" s="30"/>
      <c r="BR1054" s="30"/>
      <c r="BS1054" s="30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30"/>
      <c r="CE1054" s="30"/>
      <c r="CF1054" s="30"/>
      <c r="CG1054" s="30"/>
      <c r="CH1054" s="30"/>
      <c r="CI1054" s="30"/>
      <c r="CJ1054" s="30"/>
      <c r="CK1054" s="30"/>
      <c r="CL1054" s="30"/>
      <c r="CM1054" s="30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</row>
    <row r="1055" spans="2:101" ht="15" hidden="1" customHeight="1" x14ac:dyDescent="0.25"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30"/>
      <c r="W1055" s="30"/>
      <c r="X1055" s="30"/>
      <c r="Y1055" s="30"/>
      <c r="Z1055" s="30"/>
      <c r="AA1055" s="30"/>
      <c r="AB1055" s="30"/>
      <c r="AC1055" s="30"/>
      <c r="AD1055" s="30"/>
      <c r="AE1055" s="30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30"/>
      <c r="AQ1055" s="30"/>
      <c r="AR1055" s="30"/>
      <c r="AS1055" s="30"/>
      <c r="AT1055" s="30"/>
      <c r="AU1055" s="30"/>
      <c r="AV1055" s="30"/>
      <c r="AW1055" s="30"/>
      <c r="AX1055" s="30"/>
      <c r="AY1055" s="30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30"/>
      <c r="BK1055" s="30"/>
      <c r="BL1055" s="30"/>
      <c r="BM1055" s="30"/>
      <c r="BN1055" s="30"/>
      <c r="BO1055" s="30"/>
      <c r="BP1055" s="30"/>
      <c r="BQ1055" s="30"/>
      <c r="BR1055" s="30"/>
      <c r="BS1055" s="30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30"/>
      <c r="CE1055" s="30"/>
      <c r="CF1055" s="30"/>
      <c r="CG1055" s="30"/>
      <c r="CH1055" s="30"/>
      <c r="CI1055" s="30"/>
      <c r="CJ1055" s="30"/>
      <c r="CK1055" s="30"/>
      <c r="CL1055" s="30"/>
      <c r="CM1055" s="30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</row>
    <row r="1056" spans="2:101" ht="15" hidden="1" customHeight="1" x14ac:dyDescent="0.25"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30"/>
      <c r="W1056" s="30"/>
      <c r="X1056" s="30"/>
      <c r="Y1056" s="30"/>
      <c r="Z1056" s="30"/>
      <c r="AA1056" s="30"/>
      <c r="AB1056" s="30"/>
      <c r="AC1056" s="30"/>
      <c r="AD1056" s="30"/>
      <c r="AE1056" s="30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30"/>
      <c r="AQ1056" s="30"/>
      <c r="AR1056" s="30"/>
      <c r="AS1056" s="30"/>
      <c r="AT1056" s="30"/>
      <c r="AU1056" s="30"/>
      <c r="AV1056" s="30"/>
      <c r="AW1056" s="30"/>
      <c r="AX1056" s="30"/>
      <c r="AY1056" s="30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30"/>
      <c r="BK1056" s="30"/>
      <c r="BL1056" s="30"/>
      <c r="BM1056" s="30"/>
      <c r="BN1056" s="30"/>
      <c r="BO1056" s="30"/>
      <c r="BP1056" s="30"/>
      <c r="BQ1056" s="30"/>
      <c r="BR1056" s="30"/>
      <c r="BS1056" s="30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30"/>
      <c r="CE1056" s="30"/>
      <c r="CF1056" s="30"/>
      <c r="CG1056" s="30"/>
      <c r="CH1056" s="30"/>
      <c r="CI1056" s="30"/>
      <c r="CJ1056" s="30"/>
      <c r="CK1056" s="30"/>
      <c r="CL1056" s="30"/>
      <c r="CM1056" s="30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</row>
    <row r="1057" spans="2:101" ht="15" hidden="1" customHeight="1" x14ac:dyDescent="0.25"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30"/>
      <c r="W1057" s="30"/>
      <c r="X1057" s="30"/>
      <c r="Y1057" s="30"/>
      <c r="Z1057" s="30"/>
      <c r="AA1057" s="30"/>
      <c r="AB1057" s="30"/>
      <c r="AC1057" s="30"/>
      <c r="AD1057" s="30"/>
      <c r="AE1057" s="30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30"/>
      <c r="AQ1057" s="30"/>
      <c r="AR1057" s="30"/>
      <c r="AS1057" s="30"/>
      <c r="AT1057" s="30"/>
      <c r="AU1057" s="30"/>
      <c r="AV1057" s="30"/>
      <c r="AW1057" s="30"/>
      <c r="AX1057" s="30"/>
      <c r="AY1057" s="30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30"/>
      <c r="BK1057" s="30"/>
      <c r="BL1057" s="30"/>
      <c r="BM1057" s="30"/>
      <c r="BN1057" s="30"/>
      <c r="BO1057" s="30"/>
      <c r="BP1057" s="30"/>
      <c r="BQ1057" s="30"/>
      <c r="BR1057" s="30"/>
      <c r="BS1057" s="30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30"/>
      <c r="CE1057" s="30"/>
      <c r="CF1057" s="30"/>
      <c r="CG1057" s="30"/>
      <c r="CH1057" s="30"/>
      <c r="CI1057" s="30"/>
      <c r="CJ1057" s="30"/>
      <c r="CK1057" s="30"/>
      <c r="CL1057" s="30"/>
      <c r="CM1057" s="30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</row>
    <row r="1058" spans="2:101" ht="15" hidden="1" customHeight="1" x14ac:dyDescent="0.25"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30"/>
      <c r="W1058" s="30"/>
      <c r="X1058" s="30"/>
      <c r="Y1058" s="30"/>
      <c r="Z1058" s="30"/>
      <c r="AA1058" s="30"/>
      <c r="AB1058" s="30"/>
      <c r="AC1058" s="30"/>
      <c r="AD1058" s="30"/>
      <c r="AE1058" s="30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30"/>
      <c r="AQ1058" s="30"/>
      <c r="AR1058" s="30"/>
      <c r="AS1058" s="30"/>
      <c r="AT1058" s="30"/>
      <c r="AU1058" s="30"/>
      <c r="AV1058" s="30"/>
      <c r="AW1058" s="30"/>
      <c r="AX1058" s="30"/>
      <c r="AY1058" s="30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30"/>
      <c r="BK1058" s="30"/>
      <c r="BL1058" s="30"/>
      <c r="BM1058" s="30"/>
      <c r="BN1058" s="30"/>
      <c r="BO1058" s="30"/>
      <c r="BP1058" s="30"/>
      <c r="BQ1058" s="30"/>
      <c r="BR1058" s="30"/>
      <c r="BS1058" s="30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30"/>
      <c r="CE1058" s="30"/>
      <c r="CF1058" s="30"/>
      <c r="CG1058" s="30"/>
      <c r="CH1058" s="30"/>
      <c r="CI1058" s="30"/>
      <c r="CJ1058" s="30"/>
      <c r="CK1058" s="30"/>
      <c r="CL1058" s="30"/>
      <c r="CM1058" s="30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</row>
    <row r="1059" spans="2:101" ht="15" hidden="1" customHeight="1" x14ac:dyDescent="0.25"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30"/>
      <c r="W1059" s="30"/>
      <c r="X1059" s="30"/>
      <c r="Y1059" s="30"/>
      <c r="Z1059" s="30"/>
      <c r="AA1059" s="30"/>
      <c r="AB1059" s="30"/>
      <c r="AC1059" s="30"/>
      <c r="AD1059" s="30"/>
      <c r="AE1059" s="30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30"/>
      <c r="AQ1059" s="30"/>
      <c r="AR1059" s="30"/>
      <c r="AS1059" s="30"/>
      <c r="AT1059" s="30"/>
      <c r="AU1059" s="30"/>
      <c r="AV1059" s="30"/>
      <c r="AW1059" s="30"/>
      <c r="AX1059" s="30"/>
      <c r="AY1059" s="30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30"/>
      <c r="BK1059" s="30"/>
      <c r="BL1059" s="30"/>
      <c r="BM1059" s="30"/>
      <c r="BN1059" s="30"/>
      <c r="BO1059" s="30"/>
      <c r="BP1059" s="30"/>
      <c r="BQ1059" s="30"/>
      <c r="BR1059" s="30"/>
      <c r="BS1059" s="30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30"/>
      <c r="CE1059" s="30"/>
      <c r="CF1059" s="30"/>
      <c r="CG1059" s="30"/>
      <c r="CH1059" s="30"/>
      <c r="CI1059" s="30"/>
      <c r="CJ1059" s="30"/>
      <c r="CK1059" s="30"/>
      <c r="CL1059" s="30"/>
      <c r="CM1059" s="30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</row>
    <row r="1060" spans="2:101" ht="15" hidden="1" customHeight="1" x14ac:dyDescent="0.25"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30"/>
      <c r="W1060" s="30"/>
      <c r="X1060" s="30"/>
      <c r="Y1060" s="30"/>
      <c r="Z1060" s="30"/>
      <c r="AA1060" s="30"/>
      <c r="AB1060" s="30"/>
      <c r="AC1060" s="30"/>
      <c r="AD1060" s="30"/>
      <c r="AE1060" s="30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30"/>
      <c r="AQ1060" s="30"/>
      <c r="AR1060" s="30"/>
      <c r="AS1060" s="30"/>
      <c r="AT1060" s="30"/>
      <c r="AU1060" s="30"/>
      <c r="AV1060" s="30"/>
      <c r="AW1060" s="30"/>
      <c r="AX1060" s="30"/>
      <c r="AY1060" s="30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30"/>
      <c r="BK1060" s="30"/>
      <c r="BL1060" s="30"/>
      <c r="BM1060" s="30"/>
      <c r="BN1060" s="30"/>
      <c r="BO1060" s="30"/>
      <c r="BP1060" s="30"/>
      <c r="BQ1060" s="30"/>
      <c r="BR1060" s="30"/>
      <c r="BS1060" s="30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30"/>
      <c r="CE1060" s="30"/>
      <c r="CF1060" s="30"/>
      <c r="CG1060" s="30"/>
      <c r="CH1060" s="30"/>
      <c r="CI1060" s="30"/>
      <c r="CJ1060" s="30"/>
      <c r="CK1060" s="30"/>
      <c r="CL1060" s="30"/>
      <c r="CM1060" s="30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</row>
    <row r="1061" spans="2:101" ht="15" hidden="1" customHeight="1" x14ac:dyDescent="0.25"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30"/>
      <c r="W1061" s="30"/>
      <c r="X1061" s="30"/>
      <c r="Y1061" s="30"/>
      <c r="Z1061" s="30"/>
      <c r="AA1061" s="30"/>
      <c r="AB1061" s="30"/>
      <c r="AC1061" s="30"/>
      <c r="AD1061" s="30"/>
      <c r="AE1061" s="30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30"/>
      <c r="AQ1061" s="30"/>
      <c r="AR1061" s="30"/>
      <c r="AS1061" s="30"/>
      <c r="AT1061" s="30"/>
      <c r="AU1061" s="30"/>
      <c r="AV1061" s="30"/>
      <c r="AW1061" s="30"/>
      <c r="AX1061" s="30"/>
      <c r="AY1061" s="30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30"/>
      <c r="BK1061" s="30"/>
      <c r="BL1061" s="30"/>
      <c r="BM1061" s="30"/>
      <c r="BN1061" s="30"/>
      <c r="BO1061" s="30"/>
      <c r="BP1061" s="30"/>
      <c r="BQ1061" s="30"/>
      <c r="BR1061" s="30"/>
      <c r="BS1061" s="30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30"/>
      <c r="CE1061" s="30"/>
      <c r="CF1061" s="30"/>
      <c r="CG1061" s="30"/>
      <c r="CH1061" s="30"/>
      <c r="CI1061" s="30"/>
      <c r="CJ1061" s="30"/>
      <c r="CK1061" s="30"/>
      <c r="CL1061" s="30"/>
      <c r="CM1061" s="30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</row>
    <row r="1062" spans="2:101" ht="15" hidden="1" customHeight="1" x14ac:dyDescent="0.25"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30"/>
      <c r="W1062" s="30"/>
      <c r="X1062" s="30"/>
      <c r="Y1062" s="30"/>
      <c r="Z1062" s="30"/>
      <c r="AA1062" s="30"/>
      <c r="AB1062" s="30"/>
      <c r="AC1062" s="30"/>
      <c r="AD1062" s="30"/>
      <c r="AE1062" s="30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30"/>
      <c r="AQ1062" s="30"/>
      <c r="AR1062" s="30"/>
      <c r="AS1062" s="30"/>
      <c r="AT1062" s="30"/>
      <c r="AU1062" s="30"/>
      <c r="AV1062" s="30"/>
      <c r="AW1062" s="30"/>
      <c r="AX1062" s="30"/>
      <c r="AY1062" s="30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30"/>
      <c r="BK1062" s="30"/>
      <c r="BL1062" s="30"/>
      <c r="BM1062" s="30"/>
      <c r="BN1062" s="30"/>
      <c r="BO1062" s="30"/>
      <c r="BP1062" s="30"/>
      <c r="BQ1062" s="30"/>
      <c r="BR1062" s="30"/>
      <c r="BS1062" s="30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30"/>
      <c r="CE1062" s="30"/>
      <c r="CF1062" s="30"/>
      <c r="CG1062" s="30"/>
      <c r="CH1062" s="30"/>
      <c r="CI1062" s="30"/>
      <c r="CJ1062" s="30"/>
      <c r="CK1062" s="30"/>
      <c r="CL1062" s="30"/>
      <c r="CM1062" s="30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</row>
    <row r="1063" spans="2:101" ht="15" hidden="1" customHeight="1" x14ac:dyDescent="0.25"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30"/>
      <c r="W1063" s="30"/>
      <c r="X1063" s="30"/>
      <c r="Y1063" s="30"/>
      <c r="Z1063" s="30"/>
      <c r="AA1063" s="30"/>
      <c r="AB1063" s="30"/>
      <c r="AC1063" s="30"/>
      <c r="AD1063" s="30"/>
      <c r="AE1063" s="30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30"/>
      <c r="AQ1063" s="30"/>
      <c r="AR1063" s="30"/>
      <c r="AS1063" s="30"/>
      <c r="AT1063" s="30"/>
      <c r="AU1063" s="30"/>
      <c r="AV1063" s="30"/>
      <c r="AW1063" s="30"/>
      <c r="AX1063" s="30"/>
      <c r="AY1063" s="30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30"/>
      <c r="BK1063" s="30"/>
      <c r="BL1063" s="30"/>
      <c r="BM1063" s="30"/>
      <c r="BN1063" s="30"/>
      <c r="BO1063" s="30"/>
      <c r="BP1063" s="30"/>
      <c r="BQ1063" s="30"/>
      <c r="BR1063" s="30"/>
      <c r="BS1063" s="30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30"/>
      <c r="CE1063" s="30"/>
      <c r="CF1063" s="30"/>
      <c r="CG1063" s="30"/>
      <c r="CH1063" s="30"/>
      <c r="CI1063" s="30"/>
      <c r="CJ1063" s="30"/>
      <c r="CK1063" s="30"/>
      <c r="CL1063" s="30"/>
      <c r="CM1063" s="30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</row>
    <row r="1064" spans="2:101" ht="15" hidden="1" customHeight="1" x14ac:dyDescent="0.25"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30"/>
      <c r="W1064" s="30"/>
      <c r="X1064" s="30"/>
      <c r="Y1064" s="30"/>
      <c r="Z1064" s="30"/>
      <c r="AA1064" s="30"/>
      <c r="AB1064" s="30"/>
      <c r="AC1064" s="30"/>
      <c r="AD1064" s="30"/>
      <c r="AE1064" s="30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30"/>
      <c r="AQ1064" s="30"/>
      <c r="AR1064" s="30"/>
      <c r="AS1064" s="30"/>
      <c r="AT1064" s="30"/>
      <c r="AU1064" s="30"/>
      <c r="AV1064" s="30"/>
      <c r="AW1064" s="30"/>
      <c r="AX1064" s="30"/>
      <c r="AY1064" s="30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30"/>
      <c r="BK1064" s="30"/>
      <c r="BL1064" s="30"/>
      <c r="BM1064" s="30"/>
      <c r="BN1064" s="30"/>
      <c r="BO1064" s="30"/>
      <c r="BP1064" s="30"/>
      <c r="BQ1064" s="30"/>
      <c r="BR1064" s="30"/>
      <c r="BS1064" s="30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30"/>
      <c r="CE1064" s="30"/>
      <c r="CF1064" s="30"/>
      <c r="CG1064" s="30"/>
      <c r="CH1064" s="30"/>
      <c r="CI1064" s="30"/>
      <c r="CJ1064" s="30"/>
      <c r="CK1064" s="30"/>
      <c r="CL1064" s="30"/>
      <c r="CM1064" s="30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</row>
    <row r="1065" spans="2:101" ht="15" hidden="1" customHeight="1" x14ac:dyDescent="0.25"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30"/>
      <c r="W1065" s="30"/>
      <c r="X1065" s="30"/>
      <c r="Y1065" s="30"/>
      <c r="Z1065" s="30"/>
      <c r="AA1065" s="30"/>
      <c r="AB1065" s="30"/>
      <c r="AC1065" s="30"/>
      <c r="AD1065" s="30"/>
      <c r="AE1065" s="30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30"/>
      <c r="AQ1065" s="30"/>
      <c r="AR1065" s="30"/>
      <c r="AS1065" s="30"/>
      <c r="AT1065" s="30"/>
      <c r="AU1065" s="30"/>
      <c r="AV1065" s="30"/>
      <c r="AW1065" s="30"/>
      <c r="AX1065" s="30"/>
      <c r="AY1065" s="30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30"/>
      <c r="BK1065" s="30"/>
      <c r="BL1065" s="30"/>
      <c r="BM1065" s="30"/>
      <c r="BN1065" s="30"/>
      <c r="BO1065" s="30"/>
      <c r="BP1065" s="30"/>
      <c r="BQ1065" s="30"/>
      <c r="BR1065" s="30"/>
      <c r="BS1065" s="30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30"/>
      <c r="CE1065" s="30"/>
      <c r="CF1065" s="30"/>
      <c r="CG1065" s="30"/>
      <c r="CH1065" s="30"/>
      <c r="CI1065" s="30"/>
      <c r="CJ1065" s="30"/>
      <c r="CK1065" s="30"/>
      <c r="CL1065" s="30"/>
      <c r="CM1065" s="30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</row>
    <row r="1066" spans="2:101" ht="15" hidden="1" customHeight="1" x14ac:dyDescent="0.25"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30"/>
      <c r="W1066" s="30"/>
      <c r="X1066" s="30"/>
      <c r="Y1066" s="30"/>
      <c r="Z1066" s="30"/>
      <c r="AA1066" s="30"/>
      <c r="AB1066" s="30"/>
      <c r="AC1066" s="30"/>
      <c r="AD1066" s="30"/>
      <c r="AE1066" s="30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30"/>
      <c r="AQ1066" s="30"/>
      <c r="AR1066" s="30"/>
      <c r="AS1066" s="30"/>
      <c r="AT1066" s="30"/>
      <c r="AU1066" s="30"/>
      <c r="AV1066" s="30"/>
      <c r="AW1066" s="30"/>
      <c r="AX1066" s="30"/>
      <c r="AY1066" s="30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30"/>
      <c r="BK1066" s="30"/>
      <c r="BL1066" s="30"/>
      <c r="BM1066" s="30"/>
      <c r="BN1066" s="30"/>
      <c r="BO1066" s="30"/>
      <c r="BP1066" s="30"/>
      <c r="BQ1066" s="30"/>
      <c r="BR1066" s="30"/>
      <c r="BS1066" s="30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30"/>
      <c r="CE1066" s="30"/>
      <c r="CF1066" s="30"/>
      <c r="CG1066" s="30"/>
      <c r="CH1066" s="30"/>
      <c r="CI1066" s="30"/>
      <c r="CJ1066" s="30"/>
      <c r="CK1066" s="30"/>
      <c r="CL1066" s="30"/>
      <c r="CM1066" s="30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</row>
    <row r="1067" spans="2:101" ht="15" hidden="1" customHeight="1" x14ac:dyDescent="0.25"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30"/>
      <c r="W1067" s="30"/>
      <c r="X1067" s="30"/>
      <c r="Y1067" s="30"/>
      <c r="Z1067" s="30"/>
      <c r="AA1067" s="30"/>
      <c r="AB1067" s="30"/>
      <c r="AC1067" s="30"/>
      <c r="AD1067" s="30"/>
      <c r="AE1067" s="30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30"/>
      <c r="AQ1067" s="30"/>
      <c r="AR1067" s="30"/>
      <c r="AS1067" s="30"/>
      <c r="AT1067" s="30"/>
      <c r="AU1067" s="30"/>
      <c r="AV1067" s="30"/>
      <c r="AW1067" s="30"/>
      <c r="AX1067" s="30"/>
      <c r="AY1067" s="30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30"/>
      <c r="BK1067" s="30"/>
      <c r="BL1067" s="30"/>
      <c r="BM1067" s="30"/>
      <c r="BN1067" s="30"/>
      <c r="BO1067" s="30"/>
      <c r="BP1067" s="30"/>
      <c r="BQ1067" s="30"/>
      <c r="BR1067" s="30"/>
      <c r="BS1067" s="30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30"/>
      <c r="CE1067" s="30"/>
      <c r="CF1067" s="30"/>
      <c r="CG1067" s="30"/>
      <c r="CH1067" s="30"/>
      <c r="CI1067" s="30"/>
      <c r="CJ1067" s="30"/>
      <c r="CK1067" s="30"/>
      <c r="CL1067" s="30"/>
      <c r="CM1067" s="30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</row>
    <row r="1068" spans="2:101" ht="15" hidden="1" customHeight="1" x14ac:dyDescent="0.25"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30"/>
      <c r="W1068" s="30"/>
      <c r="X1068" s="30"/>
      <c r="Y1068" s="30"/>
      <c r="Z1068" s="30"/>
      <c r="AA1068" s="30"/>
      <c r="AB1068" s="30"/>
      <c r="AC1068" s="30"/>
      <c r="AD1068" s="30"/>
      <c r="AE1068" s="30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30"/>
      <c r="AQ1068" s="30"/>
      <c r="AR1068" s="30"/>
      <c r="AS1068" s="30"/>
      <c r="AT1068" s="30"/>
      <c r="AU1068" s="30"/>
      <c r="AV1068" s="30"/>
      <c r="AW1068" s="30"/>
      <c r="AX1068" s="30"/>
      <c r="AY1068" s="30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30"/>
      <c r="BK1068" s="30"/>
      <c r="BL1068" s="30"/>
      <c r="BM1068" s="30"/>
      <c r="BN1068" s="30"/>
      <c r="BO1068" s="30"/>
      <c r="BP1068" s="30"/>
      <c r="BQ1068" s="30"/>
      <c r="BR1068" s="30"/>
      <c r="BS1068" s="30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30"/>
      <c r="CE1068" s="30"/>
      <c r="CF1068" s="30"/>
      <c r="CG1068" s="30"/>
      <c r="CH1068" s="30"/>
      <c r="CI1068" s="30"/>
      <c r="CJ1068" s="30"/>
      <c r="CK1068" s="30"/>
      <c r="CL1068" s="30"/>
      <c r="CM1068" s="30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</row>
    <row r="1069" spans="2:101" ht="15" hidden="1" customHeight="1" x14ac:dyDescent="0.25"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30"/>
      <c r="W1069" s="30"/>
      <c r="X1069" s="30"/>
      <c r="Y1069" s="30"/>
      <c r="Z1069" s="30"/>
      <c r="AA1069" s="30"/>
      <c r="AB1069" s="30"/>
      <c r="AC1069" s="30"/>
      <c r="AD1069" s="30"/>
      <c r="AE1069" s="30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30"/>
      <c r="AQ1069" s="30"/>
      <c r="AR1069" s="30"/>
      <c r="AS1069" s="30"/>
      <c r="AT1069" s="30"/>
      <c r="AU1069" s="30"/>
      <c r="AV1069" s="30"/>
      <c r="AW1069" s="30"/>
      <c r="AX1069" s="30"/>
      <c r="AY1069" s="30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30"/>
      <c r="BK1069" s="30"/>
      <c r="BL1069" s="30"/>
      <c r="BM1069" s="30"/>
      <c r="BN1069" s="30"/>
      <c r="BO1069" s="30"/>
      <c r="BP1069" s="30"/>
      <c r="BQ1069" s="30"/>
      <c r="BR1069" s="30"/>
      <c r="BS1069" s="30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30"/>
      <c r="CE1069" s="30"/>
      <c r="CF1069" s="30"/>
      <c r="CG1069" s="30"/>
      <c r="CH1069" s="30"/>
      <c r="CI1069" s="30"/>
      <c r="CJ1069" s="30"/>
      <c r="CK1069" s="30"/>
      <c r="CL1069" s="30"/>
      <c r="CM1069" s="30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</row>
    <row r="1070" spans="2:101" ht="15" hidden="1" customHeight="1" x14ac:dyDescent="0.25"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30"/>
      <c r="W1070" s="30"/>
      <c r="X1070" s="30"/>
      <c r="Y1070" s="30"/>
      <c r="Z1070" s="30"/>
      <c r="AA1070" s="30"/>
      <c r="AB1070" s="30"/>
      <c r="AC1070" s="30"/>
      <c r="AD1070" s="30"/>
      <c r="AE1070" s="30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30"/>
      <c r="AQ1070" s="30"/>
      <c r="AR1070" s="30"/>
      <c r="AS1070" s="30"/>
      <c r="AT1070" s="30"/>
      <c r="AU1070" s="30"/>
      <c r="AV1070" s="30"/>
      <c r="AW1070" s="30"/>
      <c r="AX1070" s="30"/>
      <c r="AY1070" s="30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30"/>
      <c r="BK1070" s="30"/>
      <c r="BL1070" s="30"/>
      <c r="BM1070" s="30"/>
      <c r="BN1070" s="30"/>
      <c r="BO1070" s="30"/>
      <c r="BP1070" s="30"/>
      <c r="BQ1070" s="30"/>
      <c r="BR1070" s="30"/>
      <c r="BS1070" s="30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30"/>
      <c r="CE1070" s="30"/>
      <c r="CF1070" s="30"/>
      <c r="CG1070" s="30"/>
      <c r="CH1070" s="30"/>
      <c r="CI1070" s="30"/>
      <c r="CJ1070" s="30"/>
      <c r="CK1070" s="30"/>
      <c r="CL1070" s="30"/>
      <c r="CM1070" s="30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</row>
    <row r="1071" spans="2:101" ht="15" hidden="1" customHeight="1" x14ac:dyDescent="0.25"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30"/>
      <c r="W1071" s="30"/>
      <c r="X1071" s="30"/>
      <c r="Y1071" s="30"/>
      <c r="Z1071" s="30"/>
      <c r="AA1071" s="30"/>
      <c r="AB1071" s="30"/>
      <c r="AC1071" s="30"/>
      <c r="AD1071" s="30"/>
      <c r="AE1071" s="30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30"/>
      <c r="AQ1071" s="30"/>
      <c r="AR1071" s="30"/>
      <c r="AS1071" s="30"/>
      <c r="AT1071" s="30"/>
      <c r="AU1071" s="30"/>
      <c r="AV1071" s="30"/>
      <c r="AW1071" s="30"/>
      <c r="AX1071" s="30"/>
      <c r="AY1071" s="30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30"/>
      <c r="BK1071" s="30"/>
      <c r="BL1071" s="30"/>
      <c r="BM1071" s="30"/>
      <c r="BN1071" s="30"/>
      <c r="BO1071" s="30"/>
      <c r="BP1071" s="30"/>
      <c r="BQ1071" s="30"/>
      <c r="BR1071" s="30"/>
      <c r="BS1071" s="30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30"/>
      <c r="CE1071" s="30"/>
      <c r="CF1071" s="30"/>
      <c r="CG1071" s="30"/>
      <c r="CH1071" s="30"/>
      <c r="CI1071" s="30"/>
      <c r="CJ1071" s="30"/>
      <c r="CK1071" s="30"/>
      <c r="CL1071" s="30"/>
      <c r="CM1071" s="30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</row>
    <row r="1072" spans="2:101" ht="15" hidden="1" customHeight="1" x14ac:dyDescent="0.25"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30"/>
      <c r="W1072" s="30"/>
      <c r="X1072" s="30"/>
      <c r="Y1072" s="30"/>
      <c r="Z1072" s="30"/>
      <c r="AA1072" s="30"/>
      <c r="AB1072" s="30"/>
      <c r="AC1072" s="30"/>
      <c r="AD1072" s="30"/>
      <c r="AE1072" s="30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30"/>
      <c r="AQ1072" s="30"/>
      <c r="AR1072" s="30"/>
      <c r="AS1072" s="30"/>
      <c r="AT1072" s="30"/>
      <c r="AU1072" s="30"/>
      <c r="AV1072" s="30"/>
      <c r="AW1072" s="30"/>
      <c r="AX1072" s="30"/>
      <c r="AY1072" s="30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30"/>
      <c r="BK1072" s="30"/>
      <c r="BL1072" s="30"/>
      <c r="BM1072" s="30"/>
      <c r="BN1072" s="30"/>
      <c r="BO1072" s="30"/>
      <c r="BP1072" s="30"/>
      <c r="BQ1072" s="30"/>
      <c r="BR1072" s="30"/>
      <c r="BS1072" s="30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30"/>
      <c r="CE1072" s="30"/>
      <c r="CF1072" s="30"/>
      <c r="CG1072" s="30"/>
      <c r="CH1072" s="30"/>
      <c r="CI1072" s="30"/>
      <c r="CJ1072" s="30"/>
      <c r="CK1072" s="30"/>
      <c r="CL1072" s="30"/>
      <c r="CM1072" s="30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</row>
    <row r="1073" spans="2:101" ht="15" hidden="1" customHeight="1" x14ac:dyDescent="0.25"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30"/>
      <c r="W1073" s="30"/>
      <c r="X1073" s="30"/>
      <c r="Y1073" s="30"/>
      <c r="Z1073" s="30"/>
      <c r="AA1073" s="30"/>
      <c r="AB1073" s="30"/>
      <c r="AC1073" s="30"/>
      <c r="AD1073" s="30"/>
      <c r="AE1073" s="30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30"/>
      <c r="AQ1073" s="30"/>
      <c r="AR1073" s="30"/>
      <c r="AS1073" s="30"/>
      <c r="AT1073" s="30"/>
      <c r="AU1073" s="30"/>
      <c r="AV1073" s="30"/>
      <c r="AW1073" s="30"/>
      <c r="AX1073" s="30"/>
      <c r="AY1073" s="30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30"/>
      <c r="BK1073" s="30"/>
      <c r="BL1073" s="30"/>
      <c r="BM1073" s="30"/>
      <c r="BN1073" s="30"/>
      <c r="BO1073" s="30"/>
      <c r="BP1073" s="30"/>
      <c r="BQ1073" s="30"/>
      <c r="BR1073" s="30"/>
      <c r="BS1073" s="30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30"/>
      <c r="CE1073" s="30"/>
      <c r="CF1073" s="30"/>
      <c r="CG1073" s="30"/>
      <c r="CH1073" s="30"/>
      <c r="CI1073" s="30"/>
      <c r="CJ1073" s="30"/>
      <c r="CK1073" s="30"/>
      <c r="CL1073" s="30"/>
      <c r="CM1073" s="30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</row>
    <row r="1074" spans="2:101" ht="15" hidden="1" customHeight="1" x14ac:dyDescent="0.25"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30"/>
      <c r="W1074" s="30"/>
      <c r="X1074" s="30"/>
      <c r="Y1074" s="30"/>
      <c r="Z1074" s="30"/>
      <c r="AA1074" s="30"/>
      <c r="AB1074" s="30"/>
      <c r="AC1074" s="30"/>
      <c r="AD1074" s="30"/>
      <c r="AE1074" s="30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30"/>
      <c r="AQ1074" s="30"/>
      <c r="AR1074" s="30"/>
      <c r="AS1074" s="30"/>
      <c r="AT1074" s="30"/>
      <c r="AU1074" s="30"/>
      <c r="AV1074" s="30"/>
      <c r="AW1074" s="30"/>
      <c r="AX1074" s="30"/>
      <c r="AY1074" s="30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30"/>
      <c r="BK1074" s="30"/>
      <c r="BL1074" s="30"/>
      <c r="BM1074" s="30"/>
      <c r="BN1074" s="30"/>
      <c r="BO1074" s="30"/>
      <c r="BP1074" s="30"/>
      <c r="BQ1074" s="30"/>
      <c r="BR1074" s="30"/>
      <c r="BS1074" s="30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30"/>
      <c r="CE1074" s="30"/>
      <c r="CF1074" s="30"/>
      <c r="CG1074" s="30"/>
      <c r="CH1074" s="30"/>
      <c r="CI1074" s="30"/>
      <c r="CJ1074" s="30"/>
      <c r="CK1074" s="30"/>
      <c r="CL1074" s="30"/>
      <c r="CM1074" s="30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</row>
    <row r="1075" spans="2:101" ht="15" hidden="1" customHeight="1" x14ac:dyDescent="0.25"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30"/>
      <c r="W1075" s="30"/>
      <c r="X1075" s="30"/>
      <c r="Y1075" s="30"/>
      <c r="Z1075" s="30"/>
      <c r="AA1075" s="30"/>
      <c r="AB1075" s="30"/>
      <c r="AC1075" s="30"/>
      <c r="AD1075" s="30"/>
      <c r="AE1075" s="30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30"/>
      <c r="AQ1075" s="30"/>
      <c r="AR1075" s="30"/>
      <c r="AS1075" s="30"/>
      <c r="AT1075" s="30"/>
      <c r="AU1075" s="30"/>
      <c r="AV1075" s="30"/>
      <c r="AW1075" s="30"/>
      <c r="AX1075" s="30"/>
      <c r="AY1075" s="30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30"/>
      <c r="BK1075" s="30"/>
      <c r="BL1075" s="30"/>
      <c r="BM1075" s="30"/>
      <c r="BN1075" s="30"/>
      <c r="BO1075" s="30"/>
      <c r="BP1075" s="30"/>
      <c r="BQ1075" s="30"/>
      <c r="BR1075" s="30"/>
      <c r="BS1075" s="30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30"/>
      <c r="CE1075" s="30"/>
      <c r="CF1075" s="30"/>
      <c r="CG1075" s="30"/>
      <c r="CH1075" s="30"/>
      <c r="CI1075" s="30"/>
      <c r="CJ1075" s="30"/>
      <c r="CK1075" s="30"/>
      <c r="CL1075" s="30"/>
      <c r="CM1075" s="30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</row>
    <row r="1076" spans="2:101" ht="15" hidden="1" customHeight="1" x14ac:dyDescent="0.25"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30"/>
      <c r="W1076" s="30"/>
      <c r="X1076" s="30"/>
      <c r="Y1076" s="30"/>
      <c r="Z1076" s="30"/>
      <c r="AA1076" s="30"/>
      <c r="AB1076" s="30"/>
      <c r="AC1076" s="30"/>
      <c r="AD1076" s="30"/>
      <c r="AE1076" s="30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30"/>
      <c r="AQ1076" s="30"/>
      <c r="AR1076" s="30"/>
      <c r="AS1076" s="30"/>
      <c r="AT1076" s="30"/>
      <c r="AU1076" s="30"/>
      <c r="AV1076" s="30"/>
      <c r="AW1076" s="30"/>
      <c r="AX1076" s="30"/>
      <c r="AY1076" s="30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30"/>
      <c r="BK1076" s="30"/>
      <c r="BL1076" s="30"/>
      <c r="BM1076" s="30"/>
      <c r="BN1076" s="30"/>
      <c r="BO1076" s="30"/>
      <c r="BP1076" s="30"/>
      <c r="BQ1076" s="30"/>
      <c r="BR1076" s="30"/>
      <c r="BS1076" s="30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30"/>
      <c r="CE1076" s="30"/>
      <c r="CF1076" s="30"/>
      <c r="CG1076" s="30"/>
      <c r="CH1076" s="30"/>
      <c r="CI1076" s="30"/>
      <c r="CJ1076" s="30"/>
      <c r="CK1076" s="30"/>
      <c r="CL1076" s="30"/>
      <c r="CM1076" s="30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</row>
    <row r="1077" spans="2:101" ht="15" hidden="1" customHeight="1" x14ac:dyDescent="0.25"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30"/>
      <c r="W1077" s="30"/>
      <c r="X1077" s="30"/>
      <c r="Y1077" s="30"/>
      <c r="Z1077" s="30"/>
      <c r="AA1077" s="30"/>
      <c r="AB1077" s="30"/>
      <c r="AC1077" s="30"/>
      <c r="AD1077" s="30"/>
      <c r="AE1077" s="30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30"/>
      <c r="AQ1077" s="30"/>
      <c r="AR1077" s="30"/>
      <c r="AS1077" s="30"/>
      <c r="AT1077" s="30"/>
      <c r="AU1077" s="30"/>
      <c r="AV1077" s="30"/>
      <c r="AW1077" s="30"/>
      <c r="AX1077" s="30"/>
      <c r="AY1077" s="30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30"/>
      <c r="BK1077" s="30"/>
      <c r="BL1077" s="30"/>
      <c r="BM1077" s="30"/>
      <c r="BN1077" s="30"/>
      <c r="BO1077" s="30"/>
      <c r="BP1077" s="30"/>
      <c r="BQ1077" s="30"/>
      <c r="BR1077" s="30"/>
      <c r="BS1077" s="30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30"/>
      <c r="CE1077" s="30"/>
      <c r="CF1077" s="30"/>
      <c r="CG1077" s="30"/>
      <c r="CH1077" s="30"/>
      <c r="CI1077" s="30"/>
      <c r="CJ1077" s="30"/>
      <c r="CK1077" s="30"/>
      <c r="CL1077" s="30"/>
      <c r="CM1077" s="30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</row>
    <row r="1078" spans="2:101" ht="15" hidden="1" customHeight="1" x14ac:dyDescent="0.25"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30"/>
      <c r="W1078" s="30"/>
      <c r="X1078" s="30"/>
      <c r="Y1078" s="30"/>
      <c r="Z1078" s="30"/>
      <c r="AA1078" s="30"/>
      <c r="AB1078" s="30"/>
      <c r="AC1078" s="30"/>
      <c r="AD1078" s="30"/>
      <c r="AE1078" s="30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30"/>
      <c r="AQ1078" s="30"/>
      <c r="AR1078" s="30"/>
      <c r="AS1078" s="30"/>
      <c r="AT1078" s="30"/>
      <c r="AU1078" s="30"/>
      <c r="AV1078" s="30"/>
      <c r="AW1078" s="30"/>
      <c r="AX1078" s="30"/>
      <c r="AY1078" s="30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30"/>
      <c r="BK1078" s="30"/>
      <c r="BL1078" s="30"/>
      <c r="BM1078" s="30"/>
      <c r="BN1078" s="30"/>
      <c r="BO1078" s="30"/>
      <c r="BP1078" s="30"/>
      <c r="BQ1078" s="30"/>
      <c r="BR1078" s="30"/>
      <c r="BS1078" s="30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30"/>
      <c r="CE1078" s="30"/>
      <c r="CF1078" s="30"/>
      <c r="CG1078" s="30"/>
      <c r="CH1078" s="30"/>
      <c r="CI1078" s="30"/>
      <c r="CJ1078" s="30"/>
      <c r="CK1078" s="30"/>
      <c r="CL1078" s="30"/>
      <c r="CM1078" s="30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</row>
    <row r="1079" spans="2:101" ht="15" hidden="1" customHeight="1" x14ac:dyDescent="0.25"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30"/>
      <c r="AQ1079" s="30"/>
      <c r="AR1079" s="30"/>
      <c r="AS1079" s="30"/>
      <c r="AT1079" s="30"/>
      <c r="AU1079" s="30"/>
      <c r="AV1079" s="30"/>
      <c r="AW1079" s="30"/>
      <c r="AX1079" s="30"/>
      <c r="AY1079" s="30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30"/>
      <c r="BK1079" s="30"/>
      <c r="BL1079" s="30"/>
      <c r="BM1079" s="30"/>
      <c r="BN1079" s="30"/>
      <c r="BO1079" s="30"/>
      <c r="BP1079" s="30"/>
      <c r="BQ1079" s="30"/>
      <c r="BR1079" s="30"/>
      <c r="BS1079" s="30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30"/>
      <c r="CE1079" s="30"/>
      <c r="CF1079" s="30"/>
      <c r="CG1079" s="30"/>
      <c r="CH1079" s="30"/>
      <c r="CI1079" s="30"/>
      <c r="CJ1079" s="30"/>
      <c r="CK1079" s="30"/>
      <c r="CL1079" s="30"/>
      <c r="CM1079" s="30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</row>
    <row r="1080" spans="2:101" ht="15" hidden="1" customHeight="1" x14ac:dyDescent="0.25"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30"/>
      <c r="W1080" s="30"/>
      <c r="X1080" s="30"/>
      <c r="Y1080" s="30"/>
      <c r="Z1080" s="30"/>
      <c r="AA1080" s="30"/>
      <c r="AB1080" s="30"/>
      <c r="AC1080" s="30"/>
      <c r="AD1080" s="30"/>
      <c r="AE1080" s="30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30"/>
      <c r="AQ1080" s="30"/>
      <c r="AR1080" s="30"/>
      <c r="AS1080" s="30"/>
      <c r="AT1080" s="30"/>
      <c r="AU1080" s="30"/>
      <c r="AV1080" s="30"/>
      <c r="AW1080" s="30"/>
      <c r="AX1080" s="30"/>
      <c r="AY1080" s="30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30"/>
      <c r="BK1080" s="30"/>
      <c r="BL1080" s="30"/>
      <c r="BM1080" s="30"/>
      <c r="BN1080" s="30"/>
      <c r="BO1080" s="30"/>
      <c r="BP1080" s="30"/>
      <c r="BQ1080" s="30"/>
      <c r="BR1080" s="30"/>
      <c r="BS1080" s="30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30"/>
      <c r="CE1080" s="30"/>
      <c r="CF1080" s="30"/>
      <c r="CG1080" s="30"/>
      <c r="CH1080" s="30"/>
      <c r="CI1080" s="30"/>
      <c r="CJ1080" s="30"/>
      <c r="CK1080" s="30"/>
      <c r="CL1080" s="30"/>
      <c r="CM1080" s="30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</row>
    <row r="1081" spans="2:101" ht="15" hidden="1" customHeight="1" x14ac:dyDescent="0.25"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30"/>
      <c r="W1081" s="30"/>
      <c r="X1081" s="30"/>
      <c r="Y1081" s="30"/>
      <c r="Z1081" s="30"/>
      <c r="AA1081" s="30"/>
      <c r="AB1081" s="30"/>
      <c r="AC1081" s="30"/>
      <c r="AD1081" s="30"/>
      <c r="AE1081" s="30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30"/>
      <c r="AQ1081" s="30"/>
      <c r="AR1081" s="30"/>
      <c r="AS1081" s="30"/>
      <c r="AT1081" s="30"/>
      <c r="AU1081" s="30"/>
      <c r="AV1081" s="30"/>
      <c r="AW1081" s="30"/>
      <c r="AX1081" s="30"/>
      <c r="AY1081" s="30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30"/>
      <c r="BK1081" s="30"/>
      <c r="BL1081" s="30"/>
      <c r="BM1081" s="30"/>
      <c r="BN1081" s="30"/>
      <c r="BO1081" s="30"/>
      <c r="BP1081" s="30"/>
      <c r="BQ1081" s="30"/>
      <c r="BR1081" s="30"/>
      <c r="BS1081" s="30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30"/>
      <c r="CE1081" s="30"/>
      <c r="CF1081" s="30"/>
      <c r="CG1081" s="30"/>
      <c r="CH1081" s="30"/>
      <c r="CI1081" s="30"/>
      <c r="CJ1081" s="30"/>
      <c r="CK1081" s="30"/>
      <c r="CL1081" s="30"/>
      <c r="CM1081" s="30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</row>
    <row r="1082" spans="2:101" ht="15" hidden="1" customHeight="1" x14ac:dyDescent="0.25"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30"/>
      <c r="W1082" s="30"/>
      <c r="X1082" s="30"/>
      <c r="Y1082" s="30"/>
      <c r="Z1082" s="30"/>
      <c r="AA1082" s="30"/>
      <c r="AB1082" s="30"/>
      <c r="AC1082" s="30"/>
      <c r="AD1082" s="30"/>
      <c r="AE1082" s="30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30"/>
      <c r="AQ1082" s="30"/>
      <c r="AR1082" s="30"/>
      <c r="AS1082" s="30"/>
      <c r="AT1082" s="30"/>
      <c r="AU1082" s="30"/>
      <c r="AV1082" s="30"/>
      <c r="AW1082" s="30"/>
      <c r="AX1082" s="30"/>
      <c r="AY1082" s="30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30"/>
      <c r="BK1082" s="30"/>
      <c r="BL1082" s="30"/>
      <c r="BM1082" s="30"/>
      <c r="BN1082" s="30"/>
      <c r="BO1082" s="30"/>
      <c r="BP1082" s="30"/>
      <c r="BQ1082" s="30"/>
      <c r="BR1082" s="30"/>
      <c r="BS1082" s="30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30"/>
      <c r="CE1082" s="30"/>
      <c r="CF1082" s="30"/>
      <c r="CG1082" s="30"/>
      <c r="CH1082" s="30"/>
      <c r="CI1082" s="30"/>
      <c r="CJ1082" s="30"/>
      <c r="CK1082" s="30"/>
      <c r="CL1082" s="30"/>
      <c r="CM1082" s="30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</row>
    <row r="1083" spans="2:101" ht="15" hidden="1" customHeight="1" x14ac:dyDescent="0.25"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30"/>
      <c r="W1083" s="30"/>
      <c r="X1083" s="30"/>
      <c r="Y1083" s="30"/>
      <c r="Z1083" s="30"/>
      <c r="AA1083" s="30"/>
      <c r="AB1083" s="30"/>
      <c r="AC1083" s="30"/>
      <c r="AD1083" s="30"/>
      <c r="AE1083" s="30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30"/>
      <c r="AQ1083" s="30"/>
      <c r="AR1083" s="30"/>
      <c r="AS1083" s="30"/>
      <c r="AT1083" s="30"/>
      <c r="AU1083" s="30"/>
      <c r="AV1083" s="30"/>
      <c r="AW1083" s="30"/>
      <c r="AX1083" s="30"/>
      <c r="AY1083" s="30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30"/>
      <c r="BK1083" s="30"/>
      <c r="BL1083" s="30"/>
      <c r="BM1083" s="30"/>
      <c r="BN1083" s="30"/>
      <c r="BO1083" s="30"/>
      <c r="BP1083" s="30"/>
      <c r="BQ1083" s="30"/>
      <c r="BR1083" s="30"/>
      <c r="BS1083" s="30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30"/>
      <c r="CE1083" s="30"/>
      <c r="CF1083" s="30"/>
      <c r="CG1083" s="30"/>
      <c r="CH1083" s="30"/>
      <c r="CI1083" s="30"/>
      <c r="CJ1083" s="30"/>
      <c r="CK1083" s="30"/>
      <c r="CL1083" s="30"/>
      <c r="CM1083" s="30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</row>
    <row r="1084" spans="2:101" ht="15" hidden="1" customHeight="1" x14ac:dyDescent="0.25"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30"/>
      <c r="W1084" s="30"/>
      <c r="X1084" s="30"/>
      <c r="Y1084" s="30"/>
      <c r="Z1084" s="30"/>
      <c r="AA1084" s="30"/>
      <c r="AB1084" s="30"/>
      <c r="AC1084" s="30"/>
      <c r="AD1084" s="30"/>
      <c r="AE1084" s="30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30"/>
      <c r="AQ1084" s="30"/>
      <c r="AR1084" s="30"/>
      <c r="AS1084" s="30"/>
      <c r="AT1084" s="30"/>
      <c r="AU1084" s="30"/>
      <c r="AV1084" s="30"/>
      <c r="AW1084" s="30"/>
      <c r="AX1084" s="30"/>
      <c r="AY1084" s="30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30"/>
      <c r="BK1084" s="30"/>
      <c r="BL1084" s="30"/>
      <c r="BM1084" s="30"/>
      <c r="BN1084" s="30"/>
      <c r="BO1084" s="30"/>
      <c r="BP1084" s="30"/>
      <c r="BQ1084" s="30"/>
      <c r="BR1084" s="30"/>
      <c r="BS1084" s="30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30"/>
      <c r="CE1084" s="30"/>
      <c r="CF1084" s="30"/>
      <c r="CG1084" s="30"/>
      <c r="CH1084" s="30"/>
      <c r="CI1084" s="30"/>
      <c r="CJ1084" s="30"/>
      <c r="CK1084" s="30"/>
      <c r="CL1084" s="30"/>
      <c r="CM1084" s="30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</row>
    <row r="1085" spans="2:101" ht="15" hidden="1" customHeight="1" x14ac:dyDescent="0.25"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30"/>
      <c r="W1085" s="30"/>
      <c r="X1085" s="30"/>
      <c r="Y1085" s="30"/>
      <c r="Z1085" s="30"/>
      <c r="AA1085" s="30"/>
      <c r="AB1085" s="30"/>
      <c r="AC1085" s="30"/>
      <c r="AD1085" s="30"/>
      <c r="AE1085" s="30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30"/>
      <c r="AQ1085" s="30"/>
      <c r="AR1085" s="30"/>
      <c r="AS1085" s="30"/>
      <c r="AT1085" s="30"/>
      <c r="AU1085" s="30"/>
      <c r="AV1085" s="30"/>
      <c r="AW1085" s="30"/>
      <c r="AX1085" s="30"/>
      <c r="AY1085" s="30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30"/>
      <c r="BK1085" s="30"/>
      <c r="BL1085" s="30"/>
      <c r="BM1085" s="30"/>
      <c r="BN1085" s="30"/>
      <c r="BO1085" s="30"/>
      <c r="BP1085" s="30"/>
      <c r="BQ1085" s="30"/>
      <c r="BR1085" s="30"/>
      <c r="BS1085" s="30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30"/>
      <c r="CE1085" s="30"/>
      <c r="CF1085" s="30"/>
      <c r="CG1085" s="30"/>
      <c r="CH1085" s="30"/>
      <c r="CI1085" s="30"/>
      <c r="CJ1085" s="30"/>
      <c r="CK1085" s="30"/>
      <c r="CL1085" s="30"/>
      <c r="CM1085" s="30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</row>
    <row r="1086" spans="2:101" ht="15" hidden="1" customHeight="1" x14ac:dyDescent="0.25"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30"/>
      <c r="W1086" s="30"/>
      <c r="X1086" s="30"/>
      <c r="Y1086" s="30"/>
      <c r="Z1086" s="30"/>
      <c r="AA1086" s="30"/>
      <c r="AB1086" s="30"/>
      <c r="AC1086" s="30"/>
      <c r="AD1086" s="30"/>
      <c r="AE1086" s="30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30"/>
      <c r="AQ1086" s="30"/>
      <c r="AR1086" s="30"/>
      <c r="AS1086" s="30"/>
      <c r="AT1086" s="30"/>
      <c r="AU1086" s="30"/>
      <c r="AV1086" s="30"/>
      <c r="AW1086" s="30"/>
      <c r="AX1086" s="30"/>
      <c r="AY1086" s="30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30"/>
      <c r="BK1086" s="30"/>
      <c r="BL1086" s="30"/>
      <c r="BM1086" s="30"/>
      <c r="BN1086" s="30"/>
      <c r="BO1086" s="30"/>
      <c r="BP1086" s="30"/>
      <c r="BQ1086" s="30"/>
      <c r="BR1086" s="30"/>
      <c r="BS1086" s="30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30"/>
      <c r="CE1086" s="30"/>
      <c r="CF1086" s="30"/>
      <c r="CG1086" s="30"/>
      <c r="CH1086" s="30"/>
      <c r="CI1086" s="30"/>
      <c r="CJ1086" s="30"/>
      <c r="CK1086" s="30"/>
      <c r="CL1086" s="30"/>
      <c r="CM1086" s="30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</row>
    <row r="1087" spans="2:101" ht="15" hidden="1" customHeight="1" x14ac:dyDescent="0.25"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30"/>
      <c r="W1087" s="30"/>
      <c r="X1087" s="30"/>
      <c r="Y1087" s="30"/>
      <c r="Z1087" s="30"/>
      <c r="AA1087" s="30"/>
      <c r="AB1087" s="30"/>
      <c r="AC1087" s="30"/>
      <c r="AD1087" s="30"/>
      <c r="AE1087" s="30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30"/>
      <c r="AQ1087" s="30"/>
      <c r="AR1087" s="30"/>
      <c r="AS1087" s="30"/>
      <c r="AT1087" s="30"/>
      <c r="AU1087" s="30"/>
      <c r="AV1087" s="30"/>
      <c r="AW1087" s="30"/>
      <c r="AX1087" s="30"/>
      <c r="AY1087" s="30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30"/>
      <c r="BK1087" s="30"/>
      <c r="BL1087" s="30"/>
      <c r="BM1087" s="30"/>
      <c r="BN1087" s="30"/>
      <c r="BO1087" s="30"/>
      <c r="BP1087" s="30"/>
      <c r="BQ1087" s="30"/>
      <c r="BR1087" s="30"/>
      <c r="BS1087" s="30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30"/>
      <c r="CE1087" s="30"/>
      <c r="CF1087" s="30"/>
      <c r="CG1087" s="30"/>
      <c r="CH1087" s="30"/>
      <c r="CI1087" s="30"/>
      <c r="CJ1087" s="30"/>
      <c r="CK1087" s="30"/>
      <c r="CL1087" s="30"/>
      <c r="CM1087" s="30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</row>
    <row r="1088" spans="2:101" ht="15" hidden="1" customHeight="1" x14ac:dyDescent="0.25"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30"/>
      <c r="W1088" s="30"/>
      <c r="X1088" s="30"/>
      <c r="Y1088" s="30"/>
      <c r="Z1088" s="30"/>
      <c r="AA1088" s="30"/>
      <c r="AB1088" s="30"/>
      <c r="AC1088" s="30"/>
      <c r="AD1088" s="30"/>
      <c r="AE1088" s="30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30"/>
      <c r="AQ1088" s="30"/>
      <c r="AR1088" s="30"/>
      <c r="AS1088" s="30"/>
      <c r="AT1088" s="30"/>
      <c r="AU1088" s="30"/>
      <c r="AV1088" s="30"/>
      <c r="AW1088" s="30"/>
      <c r="AX1088" s="30"/>
      <c r="AY1088" s="30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30"/>
      <c r="BK1088" s="30"/>
      <c r="BL1088" s="30"/>
      <c r="BM1088" s="30"/>
      <c r="BN1088" s="30"/>
      <c r="BO1088" s="30"/>
      <c r="BP1088" s="30"/>
      <c r="BQ1088" s="30"/>
      <c r="BR1088" s="30"/>
      <c r="BS1088" s="30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30"/>
      <c r="CE1088" s="30"/>
      <c r="CF1088" s="30"/>
      <c r="CG1088" s="30"/>
      <c r="CH1088" s="30"/>
      <c r="CI1088" s="30"/>
      <c r="CJ1088" s="30"/>
      <c r="CK1088" s="30"/>
      <c r="CL1088" s="30"/>
      <c r="CM1088" s="30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</row>
    <row r="1089" spans="2:101" ht="15" hidden="1" customHeight="1" x14ac:dyDescent="0.25"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30"/>
      <c r="W1089" s="30"/>
      <c r="X1089" s="30"/>
      <c r="Y1089" s="30"/>
      <c r="Z1089" s="30"/>
      <c r="AA1089" s="30"/>
      <c r="AB1089" s="30"/>
      <c r="AC1089" s="30"/>
      <c r="AD1089" s="30"/>
      <c r="AE1089" s="30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30"/>
      <c r="AQ1089" s="30"/>
      <c r="AR1089" s="30"/>
      <c r="AS1089" s="30"/>
      <c r="AT1089" s="30"/>
      <c r="AU1089" s="30"/>
      <c r="AV1089" s="30"/>
      <c r="AW1089" s="30"/>
      <c r="AX1089" s="30"/>
      <c r="AY1089" s="30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30"/>
      <c r="BK1089" s="30"/>
      <c r="BL1089" s="30"/>
      <c r="BM1089" s="30"/>
      <c r="BN1089" s="30"/>
      <c r="BO1089" s="30"/>
      <c r="BP1089" s="30"/>
      <c r="BQ1089" s="30"/>
      <c r="BR1089" s="30"/>
      <c r="BS1089" s="30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30"/>
      <c r="CE1089" s="30"/>
      <c r="CF1089" s="30"/>
      <c r="CG1089" s="30"/>
      <c r="CH1089" s="30"/>
      <c r="CI1089" s="30"/>
      <c r="CJ1089" s="30"/>
      <c r="CK1089" s="30"/>
      <c r="CL1089" s="30"/>
      <c r="CM1089" s="30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</row>
    <row r="1090" spans="2:101" ht="15" hidden="1" customHeight="1" x14ac:dyDescent="0.25"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30"/>
      <c r="W1090" s="30"/>
      <c r="X1090" s="30"/>
      <c r="Y1090" s="30"/>
      <c r="Z1090" s="30"/>
      <c r="AA1090" s="30"/>
      <c r="AB1090" s="30"/>
      <c r="AC1090" s="30"/>
      <c r="AD1090" s="30"/>
      <c r="AE1090" s="30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30"/>
      <c r="AQ1090" s="30"/>
      <c r="AR1090" s="30"/>
      <c r="AS1090" s="30"/>
      <c r="AT1090" s="30"/>
      <c r="AU1090" s="30"/>
      <c r="AV1090" s="30"/>
      <c r="AW1090" s="30"/>
      <c r="AX1090" s="30"/>
      <c r="AY1090" s="30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30"/>
      <c r="BK1090" s="30"/>
      <c r="BL1090" s="30"/>
      <c r="BM1090" s="30"/>
      <c r="BN1090" s="30"/>
      <c r="BO1090" s="30"/>
      <c r="BP1090" s="30"/>
      <c r="BQ1090" s="30"/>
      <c r="BR1090" s="30"/>
      <c r="BS1090" s="30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30"/>
      <c r="CE1090" s="30"/>
      <c r="CF1090" s="30"/>
      <c r="CG1090" s="30"/>
      <c r="CH1090" s="30"/>
      <c r="CI1090" s="30"/>
      <c r="CJ1090" s="30"/>
      <c r="CK1090" s="30"/>
      <c r="CL1090" s="30"/>
      <c r="CM1090" s="30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</row>
    <row r="1091" spans="2:101" ht="15" hidden="1" customHeight="1" x14ac:dyDescent="0.25"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30"/>
      <c r="W1091" s="30"/>
      <c r="X1091" s="30"/>
      <c r="Y1091" s="30"/>
      <c r="Z1091" s="30"/>
      <c r="AA1091" s="30"/>
      <c r="AB1091" s="30"/>
      <c r="AC1091" s="30"/>
      <c r="AD1091" s="30"/>
      <c r="AE1091" s="30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30"/>
      <c r="AQ1091" s="30"/>
      <c r="AR1091" s="30"/>
      <c r="AS1091" s="30"/>
      <c r="AT1091" s="30"/>
      <c r="AU1091" s="30"/>
      <c r="AV1091" s="30"/>
      <c r="AW1091" s="30"/>
      <c r="AX1091" s="30"/>
      <c r="AY1091" s="30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30"/>
      <c r="BK1091" s="30"/>
      <c r="BL1091" s="30"/>
      <c r="BM1091" s="30"/>
      <c r="BN1091" s="30"/>
      <c r="BO1091" s="30"/>
      <c r="BP1091" s="30"/>
      <c r="BQ1091" s="30"/>
      <c r="BR1091" s="30"/>
      <c r="BS1091" s="30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30"/>
      <c r="CE1091" s="30"/>
      <c r="CF1091" s="30"/>
      <c r="CG1091" s="30"/>
      <c r="CH1091" s="30"/>
      <c r="CI1091" s="30"/>
      <c r="CJ1091" s="30"/>
      <c r="CK1091" s="30"/>
      <c r="CL1091" s="30"/>
      <c r="CM1091" s="30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</row>
    <row r="1092" spans="2:101" ht="15" hidden="1" customHeight="1" x14ac:dyDescent="0.25"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30"/>
      <c r="W1092" s="30"/>
      <c r="X1092" s="30"/>
      <c r="Y1092" s="30"/>
      <c r="Z1092" s="30"/>
      <c r="AA1092" s="30"/>
      <c r="AB1092" s="30"/>
      <c r="AC1092" s="30"/>
      <c r="AD1092" s="30"/>
      <c r="AE1092" s="30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30"/>
      <c r="AQ1092" s="30"/>
      <c r="AR1092" s="30"/>
      <c r="AS1092" s="30"/>
      <c r="AT1092" s="30"/>
      <c r="AU1092" s="30"/>
      <c r="AV1092" s="30"/>
      <c r="AW1092" s="30"/>
      <c r="AX1092" s="30"/>
      <c r="AY1092" s="30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30"/>
      <c r="BK1092" s="30"/>
      <c r="BL1092" s="30"/>
      <c r="BM1092" s="30"/>
      <c r="BN1092" s="30"/>
      <c r="BO1092" s="30"/>
      <c r="BP1092" s="30"/>
      <c r="BQ1092" s="30"/>
      <c r="BR1092" s="30"/>
      <c r="BS1092" s="30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30"/>
      <c r="CE1092" s="30"/>
      <c r="CF1092" s="30"/>
      <c r="CG1092" s="30"/>
      <c r="CH1092" s="30"/>
      <c r="CI1092" s="30"/>
      <c r="CJ1092" s="30"/>
      <c r="CK1092" s="30"/>
      <c r="CL1092" s="30"/>
      <c r="CM1092" s="30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</row>
    <row r="1093" spans="2:101" ht="15" hidden="1" customHeight="1" x14ac:dyDescent="0.25"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30"/>
      <c r="W1093" s="30"/>
      <c r="X1093" s="30"/>
      <c r="Y1093" s="30"/>
      <c r="Z1093" s="30"/>
      <c r="AA1093" s="30"/>
      <c r="AB1093" s="30"/>
      <c r="AC1093" s="30"/>
      <c r="AD1093" s="30"/>
      <c r="AE1093" s="30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30"/>
      <c r="AQ1093" s="30"/>
      <c r="AR1093" s="30"/>
      <c r="AS1093" s="30"/>
      <c r="AT1093" s="30"/>
      <c r="AU1093" s="30"/>
      <c r="AV1093" s="30"/>
      <c r="AW1093" s="30"/>
      <c r="AX1093" s="30"/>
      <c r="AY1093" s="30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30"/>
      <c r="BK1093" s="30"/>
      <c r="BL1093" s="30"/>
      <c r="BM1093" s="30"/>
      <c r="BN1093" s="30"/>
      <c r="BO1093" s="30"/>
      <c r="BP1093" s="30"/>
      <c r="BQ1093" s="30"/>
      <c r="BR1093" s="30"/>
      <c r="BS1093" s="30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30"/>
      <c r="CE1093" s="30"/>
      <c r="CF1093" s="30"/>
      <c r="CG1093" s="30"/>
      <c r="CH1093" s="30"/>
      <c r="CI1093" s="30"/>
      <c r="CJ1093" s="30"/>
      <c r="CK1093" s="30"/>
      <c r="CL1093" s="30"/>
      <c r="CM1093" s="30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</row>
    <row r="1094" spans="2:101" ht="15" hidden="1" customHeight="1" x14ac:dyDescent="0.25"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30"/>
      <c r="W1094" s="30"/>
      <c r="X1094" s="30"/>
      <c r="Y1094" s="30"/>
      <c r="Z1094" s="30"/>
      <c r="AA1094" s="30"/>
      <c r="AB1094" s="30"/>
      <c r="AC1094" s="30"/>
      <c r="AD1094" s="30"/>
      <c r="AE1094" s="30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30"/>
      <c r="AQ1094" s="30"/>
      <c r="AR1094" s="30"/>
      <c r="AS1094" s="30"/>
      <c r="AT1094" s="30"/>
      <c r="AU1094" s="30"/>
      <c r="AV1094" s="30"/>
      <c r="AW1094" s="30"/>
      <c r="AX1094" s="30"/>
      <c r="AY1094" s="30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30"/>
      <c r="BK1094" s="30"/>
      <c r="BL1094" s="30"/>
      <c r="BM1094" s="30"/>
      <c r="BN1094" s="30"/>
      <c r="BO1094" s="30"/>
      <c r="BP1094" s="30"/>
      <c r="BQ1094" s="30"/>
      <c r="BR1094" s="30"/>
      <c r="BS1094" s="30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30"/>
      <c r="CE1094" s="30"/>
      <c r="CF1094" s="30"/>
      <c r="CG1094" s="30"/>
      <c r="CH1094" s="30"/>
      <c r="CI1094" s="30"/>
      <c r="CJ1094" s="30"/>
      <c r="CK1094" s="30"/>
      <c r="CL1094" s="30"/>
      <c r="CM1094" s="30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</row>
    <row r="1095" spans="2:101" ht="15" hidden="1" customHeight="1" x14ac:dyDescent="0.25"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30"/>
      <c r="W1095" s="30"/>
      <c r="X1095" s="30"/>
      <c r="Y1095" s="30"/>
      <c r="Z1095" s="30"/>
      <c r="AA1095" s="30"/>
      <c r="AB1095" s="30"/>
      <c r="AC1095" s="30"/>
      <c r="AD1095" s="30"/>
      <c r="AE1095" s="30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30"/>
      <c r="AQ1095" s="30"/>
      <c r="AR1095" s="30"/>
      <c r="AS1095" s="30"/>
      <c r="AT1095" s="30"/>
      <c r="AU1095" s="30"/>
      <c r="AV1095" s="30"/>
      <c r="AW1095" s="30"/>
      <c r="AX1095" s="30"/>
      <c r="AY1095" s="30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30"/>
      <c r="BK1095" s="30"/>
      <c r="BL1095" s="30"/>
      <c r="BM1095" s="30"/>
      <c r="BN1095" s="30"/>
      <c r="BO1095" s="30"/>
      <c r="BP1095" s="30"/>
      <c r="BQ1095" s="30"/>
      <c r="BR1095" s="30"/>
      <c r="BS1095" s="30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30"/>
      <c r="CE1095" s="30"/>
      <c r="CF1095" s="30"/>
      <c r="CG1095" s="30"/>
      <c r="CH1095" s="30"/>
      <c r="CI1095" s="30"/>
      <c r="CJ1095" s="30"/>
      <c r="CK1095" s="30"/>
      <c r="CL1095" s="30"/>
      <c r="CM1095" s="30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</row>
    <row r="1096" spans="2:101" ht="15" hidden="1" customHeight="1" x14ac:dyDescent="0.25"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30"/>
      <c r="W1096" s="30"/>
      <c r="X1096" s="30"/>
      <c r="Y1096" s="30"/>
      <c r="Z1096" s="30"/>
      <c r="AA1096" s="30"/>
      <c r="AB1096" s="30"/>
      <c r="AC1096" s="30"/>
      <c r="AD1096" s="30"/>
      <c r="AE1096" s="30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30"/>
      <c r="AQ1096" s="30"/>
      <c r="AR1096" s="30"/>
      <c r="AS1096" s="30"/>
      <c r="AT1096" s="30"/>
      <c r="AU1096" s="30"/>
      <c r="AV1096" s="30"/>
      <c r="AW1096" s="30"/>
      <c r="AX1096" s="30"/>
      <c r="AY1096" s="30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30"/>
      <c r="BK1096" s="30"/>
      <c r="BL1096" s="30"/>
      <c r="BM1096" s="30"/>
      <c r="BN1096" s="30"/>
      <c r="BO1096" s="30"/>
      <c r="BP1096" s="30"/>
      <c r="BQ1096" s="30"/>
      <c r="BR1096" s="30"/>
      <c r="BS1096" s="30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30"/>
      <c r="CE1096" s="30"/>
      <c r="CF1096" s="30"/>
      <c r="CG1096" s="30"/>
      <c r="CH1096" s="30"/>
      <c r="CI1096" s="30"/>
      <c r="CJ1096" s="30"/>
      <c r="CK1096" s="30"/>
      <c r="CL1096" s="30"/>
      <c r="CM1096" s="30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</row>
    <row r="1097" spans="2:101" ht="15" hidden="1" customHeight="1" x14ac:dyDescent="0.25"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30"/>
      <c r="W1097" s="30"/>
      <c r="X1097" s="30"/>
      <c r="Y1097" s="30"/>
      <c r="Z1097" s="30"/>
      <c r="AA1097" s="30"/>
      <c r="AB1097" s="30"/>
      <c r="AC1097" s="30"/>
      <c r="AD1097" s="30"/>
      <c r="AE1097" s="30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30"/>
      <c r="AQ1097" s="30"/>
      <c r="AR1097" s="30"/>
      <c r="AS1097" s="30"/>
      <c r="AT1097" s="30"/>
      <c r="AU1097" s="30"/>
      <c r="AV1097" s="30"/>
      <c r="AW1097" s="30"/>
      <c r="AX1097" s="30"/>
      <c r="AY1097" s="30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30"/>
      <c r="BK1097" s="30"/>
      <c r="BL1097" s="30"/>
      <c r="BM1097" s="30"/>
      <c r="BN1097" s="30"/>
      <c r="BO1097" s="30"/>
      <c r="BP1097" s="30"/>
      <c r="BQ1097" s="30"/>
      <c r="BR1097" s="30"/>
      <c r="BS1097" s="30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30"/>
      <c r="CE1097" s="30"/>
      <c r="CF1097" s="30"/>
      <c r="CG1097" s="30"/>
      <c r="CH1097" s="30"/>
      <c r="CI1097" s="30"/>
      <c r="CJ1097" s="30"/>
      <c r="CK1097" s="30"/>
      <c r="CL1097" s="30"/>
      <c r="CM1097" s="30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</row>
    <row r="1098" spans="2:101" ht="15" hidden="1" customHeight="1" x14ac:dyDescent="0.25"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30"/>
      <c r="W1098" s="30"/>
      <c r="X1098" s="30"/>
      <c r="Y1098" s="30"/>
      <c r="Z1098" s="30"/>
      <c r="AA1098" s="30"/>
      <c r="AB1098" s="30"/>
      <c r="AC1098" s="30"/>
      <c r="AD1098" s="30"/>
      <c r="AE1098" s="30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30"/>
      <c r="AQ1098" s="30"/>
      <c r="AR1098" s="30"/>
      <c r="AS1098" s="30"/>
      <c r="AT1098" s="30"/>
      <c r="AU1098" s="30"/>
      <c r="AV1098" s="30"/>
      <c r="AW1098" s="30"/>
      <c r="AX1098" s="30"/>
      <c r="AY1098" s="30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30"/>
      <c r="BK1098" s="30"/>
      <c r="BL1098" s="30"/>
      <c r="BM1098" s="30"/>
      <c r="BN1098" s="30"/>
      <c r="BO1098" s="30"/>
      <c r="BP1098" s="30"/>
      <c r="BQ1098" s="30"/>
      <c r="BR1098" s="30"/>
      <c r="BS1098" s="30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30"/>
      <c r="CE1098" s="30"/>
      <c r="CF1098" s="30"/>
      <c r="CG1098" s="30"/>
      <c r="CH1098" s="30"/>
      <c r="CI1098" s="30"/>
      <c r="CJ1098" s="30"/>
      <c r="CK1098" s="30"/>
      <c r="CL1098" s="30"/>
      <c r="CM1098" s="30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</row>
    <row r="1099" spans="2:101" ht="15" hidden="1" customHeight="1" x14ac:dyDescent="0.25"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30"/>
      <c r="W1099" s="30"/>
      <c r="X1099" s="30"/>
      <c r="Y1099" s="30"/>
      <c r="Z1099" s="30"/>
      <c r="AA1099" s="30"/>
      <c r="AB1099" s="30"/>
      <c r="AC1099" s="30"/>
      <c r="AD1099" s="30"/>
      <c r="AE1099" s="30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30"/>
      <c r="AQ1099" s="30"/>
      <c r="AR1099" s="30"/>
      <c r="AS1099" s="30"/>
      <c r="AT1099" s="30"/>
      <c r="AU1099" s="30"/>
      <c r="AV1099" s="30"/>
      <c r="AW1099" s="30"/>
      <c r="AX1099" s="30"/>
      <c r="AY1099" s="30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30"/>
      <c r="BK1099" s="30"/>
      <c r="BL1099" s="30"/>
      <c r="BM1099" s="30"/>
      <c r="BN1099" s="30"/>
      <c r="BO1099" s="30"/>
      <c r="BP1099" s="30"/>
      <c r="BQ1099" s="30"/>
      <c r="BR1099" s="30"/>
      <c r="BS1099" s="30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30"/>
      <c r="CE1099" s="30"/>
      <c r="CF1099" s="30"/>
      <c r="CG1099" s="30"/>
      <c r="CH1099" s="30"/>
      <c r="CI1099" s="30"/>
      <c r="CJ1099" s="30"/>
      <c r="CK1099" s="30"/>
      <c r="CL1099" s="30"/>
      <c r="CM1099" s="30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</row>
    <row r="1100" spans="2:101" ht="15" hidden="1" customHeight="1" x14ac:dyDescent="0.25"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30"/>
      <c r="W1100" s="30"/>
      <c r="X1100" s="30"/>
      <c r="Y1100" s="30"/>
      <c r="Z1100" s="30"/>
      <c r="AA1100" s="30"/>
      <c r="AB1100" s="30"/>
      <c r="AC1100" s="30"/>
      <c r="AD1100" s="30"/>
      <c r="AE1100" s="30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30"/>
      <c r="AQ1100" s="30"/>
      <c r="AR1100" s="30"/>
      <c r="AS1100" s="30"/>
      <c r="AT1100" s="30"/>
      <c r="AU1100" s="30"/>
      <c r="AV1100" s="30"/>
      <c r="AW1100" s="30"/>
      <c r="AX1100" s="30"/>
      <c r="AY1100" s="30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30"/>
      <c r="BK1100" s="30"/>
      <c r="BL1100" s="30"/>
      <c r="BM1100" s="30"/>
      <c r="BN1100" s="30"/>
      <c r="BO1100" s="30"/>
      <c r="BP1100" s="30"/>
      <c r="BQ1100" s="30"/>
      <c r="BR1100" s="30"/>
      <c r="BS1100" s="30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30"/>
      <c r="CE1100" s="30"/>
      <c r="CF1100" s="30"/>
      <c r="CG1100" s="30"/>
      <c r="CH1100" s="30"/>
      <c r="CI1100" s="30"/>
      <c r="CJ1100" s="30"/>
      <c r="CK1100" s="30"/>
      <c r="CL1100" s="30"/>
      <c r="CM1100" s="30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</row>
    <row r="1101" spans="2:101" ht="15" hidden="1" customHeight="1" x14ac:dyDescent="0.25"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30"/>
      <c r="W1101" s="30"/>
      <c r="X1101" s="30"/>
      <c r="Y1101" s="30"/>
      <c r="Z1101" s="30"/>
      <c r="AA1101" s="30"/>
      <c r="AB1101" s="30"/>
      <c r="AC1101" s="30"/>
      <c r="AD1101" s="30"/>
      <c r="AE1101" s="30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30"/>
      <c r="AQ1101" s="30"/>
      <c r="AR1101" s="30"/>
      <c r="AS1101" s="30"/>
      <c r="AT1101" s="30"/>
      <c r="AU1101" s="30"/>
      <c r="AV1101" s="30"/>
      <c r="AW1101" s="30"/>
      <c r="AX1101" s="30"/>
      <c r="AY1101" s="30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30"/>
      <c r="BK1101" s="30"/>
      <c r="BL1101" s="30"/>
      <c r="BM1101" s="30"/>
      <c r="BN1101" s="30"/>
      <c r="BO1101" s="30"/>
      <c r="BP1101" s="30"/>
      <c r="BQ1101" s="30"/>
      <c r="BR1101" s="30"/>
      <c r="BS1101" s="30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30"/>
      <c r="CE1101" s="30"/>
      <c r="CF1101" s="30"/>
      <c r="CG1101" s="30"/>
      <c r="CH1101" s="30"/>
      <c r="CI1101" s="30"/>
      <c r="CJ1101" s="30"/>
      <c r="CK1101" s="30"/>
      <c r="CL1101" s="30"/>
      <c r="CM1101" s="30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</row>
    <row r="1102" spans="2:101" ht="15" hidden="1" customHeight="1" x14ac:dyDescent="0.25"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30"/>
      <c r="W1102" s="30"/>
      <c r="X1102" s="30"/>
      <c r="Y1102" s="30"/>
      <c r="Z1102" s="30"/>
      <c r="AA1102" s="30"/>
      <c r="AB1102" s="30"/>
      <c r="AC1102" s="30"/>
      <c r="AD1102" s="30"/>
      <c r="AE1102" s="30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30"/>
      <c r="AQ1102" s="30"/>
      <c r="AR1102" s="30"/>
      <c r="AS1102" s="30"/>
      <c r="AT1102" s="30"/>
      <c r="AU1102" s="30"/>
      <c r="AV1102" s="30"/>
      <c r="AW1102" s="30"/>
      <c r="AX1102" s="30"/>
      <c r="AY1102" s="30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30"/>
      <c r="BK1102" s="30"/>
      <c r="BL1102" s="30"/>
      <c r="BM1102" s="30"/>
      <c r="BN1102" s="30"/>
      <c r="BO1102" s="30"/>
      <c r="BP1102" s="30"/>
      <c r="BQ1102" s="30"/>
      <c r="BR1102" s="30"/>
      <c r="BS1102" s="30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30"/>
      <c r="CE1102" s="30"/>
      <c r="CF1102" s="30"/>
      <c r="CG1102" s="30"/>
      <c r="CH1102" s="30"/>
      <c r="CI1102" s="30"/>
      <c r="CJ1102" s="30"/>
      <c r="CK1102" s="30"/>
      <c r="CL1102" s="30"/>
      <c r="CM1102" s="30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</row>
    <row r="1103" spans="2:101" ht="15" hidden="1" customHeight="1" x14ac:dyDescent="0.25"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30"/>
      <c r="W1103" s="30"/>
      <c r="X1103" s="30"/>
      <c r="Y1103" s="30"/>
      <c r="Z1103" s="30"/>
      <c r="AA1103" s="30"/>
      <c r="AB1103" s="30"/>
      <c r="AC1103" s="30"/>
      <c r="AD1103" s="30"/>
      <c r="AE1103" s="30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30"/>
      <c r="AQ1103" s="30"/>
      <c r="AR1103" s="30"/>
      <c r="AS1103" s="30"/>
      <c r="AT1103" s="30"/>
      <c r="AU1103" s="30"/>
      <c r="AV1103" s="30"/>
      <c r="AW1103" s="30"/>
      <c r="AX1103" s="30"/>
      <c r="AY1103" s="30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30"/>
      <c r="BK1103" s="30"/>
      <c r="BL1103" s="30"/>
      <c r="BM1103" s="30"/>
      <c r="BN1103" s="30"/>
      <c r="BO1103" s="30"/>
      <c r="BP1103" s="30"/>
      <c r="BQ1103" s="30"/>
      <c r="BR1103" s="30"/>
      <c r="BS1103" s="30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30"/>
      <c r="CE1103" s="30"/>
      <c r="CF1103" s="30"/>
      <c r="CG1103" s="30"/>
      <c r="CH1103" s="30"/>
      <c r="CI1103" s="30"/>
      <c r="CJ1103" s="30"/>
      <c r="CK1103" s="30"/>
      <c r="CL1103" s="30"/>
      <c r="CM1103" s="30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</row>
    <row r="1104" spans="2:101" ht="15" hidden="1" customHeight="1" x14ac:dyDescent="0.25"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30"/>
      <c r="W1104" s="30"/>
      <c r="X1104" s="30"/>
      <c r="Y1104" s="30"/>
      <c r="Z1104" s="30"/>
      <c r="AA1104" s="30"/>
      <c r="AB1104" s="30"/>
      <c r="AC1104" s="30"/>
      <c r="AD1104" s="30"/>
      <c r="AE1104" s="30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30"/>
      <c r="AQ1104" s="30"/>
      <c r="AR1104" s="30"/>
      <c r="AS1104" s="30"/>
      <c r="AT1104" s="30"/>
      <c r="AU1104" s="30"/>
      <c r="AV1104" s="30"/>
      <c r="AW1104" s="30"/>
      <c r="AX1104" s="30"/>
      <c r="AY1104" s="30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30"/>
      <c r="BK1104" s="30"/>
      <c r="BL1104" s="30"/>
      <c r="BM1104" s="30"/>
      <c r="BN1104" s="30"/>
      <c r="BO1104" s="30"/>
      <c r="BP1104" s="30"/>
      <c r="BQ1104" s="30"/>
      <c r="BR1104" s="30"/>
      <c r="BS1104" s="30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30"/>
      <c r="CE1104" s="30"/>
      <c r="CF1104" s="30"/>
      <c r="CG1104" s="30"/>
      <c r="CH1104" s="30"/>
      <c r="CI1104" s="30"/>
      <c r="CJ1104" s="30"/>
      <c r="CK1104" s="30"/>
      <c r="CL1104" s="30"/>
      <c r="CM1104" s="30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</row>
    <row r="1105" spans="2:101" ht="15" hidden="1" customHeight="1" x14ac:dyDescent="0.25"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30"/>
      <c r="W1105" s="30"/>
      <c r="X1105" s="30"/>
      <c r="Y1105" s="30"/>
      <c r="Z1105" s="30"/>
      <c r="AA1105" s="30"/>
      <c r="AB1105" s="30"/>
      <c r="AC1105" s="30"/>
      <c r="AD1105" s="30"/>
      <c r="AE1105" s="30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30"/>
      <c r="AQ1105" s="30"/>
      <c r="AR1105" s="30"/>
      <c r="AS1105" s="30"/>
      <c r="AT1105" s="30"/>
      <c r="AU1105" s="30"/>
      <c r="AV1105" s="30"/>
      <c r="AW1105" s="30"/>
      <c r="AX1105" s="30"/>
      <c r="AY1105" s="30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30"/>
      <c r="BK1105" s="30"/>
      <c r="BL1105" s="30"/>
      <c r="BM1105" s="30"/>
      <c r="BN1105" s="30"/>
      <c r="BO1105" s="30"/>
      <c r="BP1105" s="30"/>
      <c r="BQ1105" s="30"/>
      <c r="BR1105" s="30"/>
      <c r="BS1105" s="30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30"/>
      <c r="CE1105" s="30"/>
      <c r="CF1105" s="30"/>
      <c r="CG1105" s="30"/>
      <c r="CH1105" s="30"/>
      <c r="CI1105" s="30"/>
      <c r="CJ1105" s="30"/>
      <c r="CK1105" s="30"/>
      <c r="CL1105" s="30"/>
      <c r="CM1105" s="30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</row>
    <row r="1106" spans="2:101" ht="15" hidden="1" customHeight="1" x14ac:dyDescent="0.25"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30"/>
      <c r="W1106" s="30"/>
      <c r="X1106" s="30"/>
      <c r="Y1106" s="30"/>
      <c r="Z1106" s="30"/>
      <c r="AA1106" s="30"/>
      <c r="AB1106" s="30"/>
      <c r="AC1106" s="30"/>
      <c r="AD1106" s="30"/>
      <c r="AE1106" s="30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30"/>
      <c r="AQ1106" s="30"/>
      <c r="AR1106" s="30"/>
      <c r="AS1106" s="30"/>
      <c r="AT1106" s="30"/>
      <c r="AU1106" s="30"/>
      <c r="AV1106" s="30"/>
      <c r="AW1106" s="30"/>
      <c r="AX1106" s="30"/>
      <c r="AY1106" s="30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30"/>
      <c r="BK1106" s="30"/>
      <c r="BL1106" s="30"/>
      <c r="BM1106" s="30"/>
      <c r="BN1106" s="30"/>
      <c r="BO1106" s="30"/>
      <c r="BP1106" s="30"/>
      <c r="BQ1106" s="30"/>
      <c r="BR1106" s="30"/>
      <c r="BS1106" s="30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30"/>
      <c r="CE1106" s="30"/>
      <c r="CF1106" s="30"/>
      <c r="CG1106" s="30"/>
      <c r="CH1106" s="30"/>
      <c r="CI1106" s="30"/>
      <c r="CJ1106" s="30"/>
      <c r="CK1106" s="30"/>
      <c r="CL1106" s="30"/>
      <c r="CM1106" s="30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</row>
    <row r="1107" spans="2:101" ht="15" hidden="1" customHeight="1" x14ac:dyDescent="0.25"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30"/>
      <c r="W1107" s="30"/>
      <c r="X1107" s="30"/>
      <c r="Y1107" s="30"/>
      <c r="Z1107" s="30"/>
      <c r="AA1107" s="30"/>
      <c r="AB1107" s="30"/>
      <c r="AC1107" s="30"/>
      <c r="AD1107" s="30"/>
      <c r="AE1107" s="30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30"/>
      <c r="BK1107" s="30"/>
      <c r="BL1107" s="30"/>
      <c r="BM1107" s="30"/>
      <c r="BN1107" s="30"/>
      <c r="BO1107" s="30"/>
      <c r="BP1107" s="30"/>
      <c r="BQ1107" s="30"/>
      <c r="BR1107" s="30"/>
      <c r="BS1107" s="30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30"/>
      <c r="CE1107" s="30"/>
      <c r="CF1107" s="30"/>
      <c r="CG1107" s="30"/>
      <c r="CH1107" s="30"/>
      <c r="CI1107" s="30"/>
      <c r="CJ1107" s="30"/>
      <c r="CK1107" s="30"/>
      <c r="CL1107" s="30"/>
      <c r="CM1107" s="30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</row>
    <row r="1108" spans="2:101" ht="15" hidden="1" customHeight="1" x14ac:dyDescent="0.25"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30"/>
      <c r="W1108" s="30"/>
      <c r="X1108" s="30"/>
      <c r="Y1108" s="30"/>
      <c r="Z1108" s="30"/>
      <c r="AA1108" s="30"/>
      <c r="AB1108" s="30"/>
      <c r="AC1108" s="30"/>
      <c r="AD1108" s="30"/>
      <c r="AE1108" s="30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30"/>
      <c r="AQ1108" s="30"/>
      <c r="AR1108" s="30"/>
      <c r="AS1108" s="30"/>
      <c r="AT1108" s="30"/>
      <c r="AU1108" s="30"/>
      <c r="AV1108" s="30"/>
      <c r="AW1108" s="30"/>
      <c r="AX1108" s="30"/>
      <c r="AY1108" s="30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30"/>
      <c r="BK1108" s="30"/>
      <c r="BL1108" s="30"/>
      <c r="BM1108" s="30"/>
      <c r="BN1108" s="30"/>
      <c r="BO1108" s="30"/>
      <c r="BP1108" s="30"/>
      <c r="BQ1108" s="30"/>
      <c r="BR1108" s="30"/>
      <c r="BS1108" s="30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30"/>
      <c r="CE1108" s="30"/>
      <c r="CF1108" s="30"/>
      <c r="CG1108" s="30"/>
      <c r="CH1108" s="30"/>
      <c r="CI1108" s="30"/>
      <c r="CJ1108" s="30"/>
      <c r="CK1108" s="30"/>
      <c r="CL1108" s="30"/>
      <c r="CM1108" s="30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</row>
    <row r="1109" spans="2:101" ht="15" hidden="1" customHeight="1" x14ac:dyDescent="0.25"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30"/>
      <c r="W1109" s="30"/>
      <c r="X1109" s="30"/>
      <c r="Y1109" s="30"/>
      <c r="Z1109" s="30"/>
      <c r="AA1109" s="30"/>
      <c r="AB1109" s="30"/>
      <c r="AC1109" s="30"/>
      <c r="AD1109" s="30"/>
      <c r="AE1109" s="30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30"/>
      <c r="AQ1109" s="30"/>
      <c r="AR1109" s="30"/>
      <c r="AS1109" s="30"/>
      <c r="AT1109" s="30"/>
      <c r="AU1109" s="30"/>
      <c r="AV1109" s="30"/>
      <c r="AW1109" s="30"/>
      <c r="AX1109" s="30"/>
      <c r="AY1109" s="30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30"/>
      <c r="BK1109" s="30"/>
      <c r="BL1109" s="30"/>
      <c r="BM1109" s="30"/>
      <c r="BN1109" s="30"/>
      <c r="BO1109" s="30"/>
      <c r="BP1109" s="30"/>
      <c r="BQ1109" s="30"/>
      <c r="BR1109" s="30"/>
      <c r="BS1109" s="30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30"/>
      <c r="CE1109" s="30"/>
      <c r="CF1109" s="30"/>
      <c r="CG1109" s="30"/>
      <c r="CH1109" s="30"/>
      <c r="CI1109" s="30"/>
      <c r="CJ1109" s="30"/>
      <c r="CK1109" s="30"/>
      <c r="CL1109" s="30"/>
      <c r="CM1109" s="30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</row>
    <row r="1110" spans="2:101" ht="15" hidden="1" customHeight="1" x14ac:dyDescent="0.25"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30"/>
      <c r="W1110" s="30"/>
      <c r="X1110" s="30"/>
      <c r="Y1110" s="30"/>
      <c r="Z1110" s="30"/>
      <c r="AA1110" s="30"/>
      <c r="AB1110" s="30"/>
      <c r="AC1110" s="30"/>
      <c r="AD1110" s="30"/>
      <c r="AE1110" s="30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30"/>
      <c r="AQ1110" s="30"/>
      <c r="AR1110" s="30"/>
      <c r="AS1110" s="30"/>
      <c r="AT1110" s="30"/>
      <c r="AU1110" s="30"/>
      <c r="AV1110" s="30"/>
      <c r="AW1110" s="30"/>
      <c r="AX1110" s="30"/>
      <c r="AY1110" s="30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30"/>
      <c r="BK1110" s="30"/>
      <c r="BL1110" s="30"/>
      <c r="BM1110" s="30"/>
      <c r="BN1110" s="30"/>
      <c r="BO1110" s="30"/>
      <c r="BP1110" s="30"/>
      <c r="BQ1110" s="30"/>
      <c r="BR1110" s="30"/>
      <c r="BS1110" s="30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30"/>
      <c r="CE1110" s="30"/>
      <c r="CF1110" s="30"/>
      <c r="CG1110" s="30"/>
      <c r="CH1110" s="30"/>
      <c r="CI1110" s="30"/>
      <c r="CJ1110" s="30"/>
      <c r="CK1110" s="30"/>
      <c r="CL1110" s="30"/>
      <c r="CM1110" s="30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</row>
    <row r="1111" spans="2:101" ht="15" hidden="1" customHeight="1" x14ac:dyDescent="0.25"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30"/>
      <c r="W1111" s="30"/>
      <c r="X1111" s="30"/>
      <c r="Y1111" s="30"/>
      <c r="Z1111" s="30"/>
      <c r="AA1111" s="30"/>
      <c r="AB1111" s="30"/>
      <c r="AC1111" s="30"/>
      <c r="AD1111" s="30"/>
      <c r="AE1111" s="30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30"/>
      <c r="AQ1111" s="30"/>
      <c r="AR1111" s="30"/>
      <c r="AS1111" s="30"/>
      <c r="AT1111" s="30"/>
      <c r="AU1111" s="30"/>
      <c r="AV1111" s="30"/>
      <c r="AW1111" s="30"/>
      <c r="AX1111" s="30"/>
      <c r="AY1111" s="30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30"/>
      <c r="BK1111" s="30"/>
      <c r="BL1111" s="30"/>
      <c r="BM1111" s="30"/>
      <c r="BN1111" s="30"/>
      <c r="BO1111" s="30"/>
      <c r="BP1111" s="30"/>
      <c r="BQ1111" s="30"/>
      <c r="BR1111" s="30"/>
      <c r="BS1111" s="30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30"/>
      <c r="CE1111" s="30"/>
      <c r="CF1111" s="30"/>
      <c r="CG1111" s="30"/>
      <c r="CH1111" s="30"/>
      <c r="CI1111" s="30"/>
      <c r="CJ1111" s="30"/>
      <c r="CK1111" s="30"/>
      <c r="CL1111" s="30"/>
      <c r="CM1111" s="30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</row>
    <row r="1112" spans="2:101" ht="15" hidden="1" customHeight="1" x14ac:dyDescent="0.25"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30"/>
      <c r="W1112" s="30"/>
      <c r="X1112" s="30"/>
      <c r="Y1112" s="30"/>
      <c r="Z1112" s="30"/>
      <c r="AA1112" s="30"/>
      <c r="AB1112" s="30"/>
      <c r="AC1112" s="30"/>
      <c r="AD1112" s="30"/>
      <c r="AE1112" s="30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30"/>
      <c r="AQ1112" s="30"/>
      <c r="AR1112" s="30"/>
      <c r="AS1112" s="30"/>
      <c r="AT1112" s="30"/>
      <c r="AU1112" s="30"/>
      <c r="AV1112" s="30"/>
      <c r="AW1112" s="30"/>
      <c r="AX1112" s="30"/>
      <c r="AY1112" s="30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30"/>
      <c r="BK1112" s="30"/>
      <c r="BL1112" s="30"/>
      <c r="BM1112" s="30"/>
      <c r="BN1112" s="30"/>
      <c r="BO1112" s="30"/>
      <c r="BP1112" s="30"/>
      <c r="BQ1112" s="30"/>
      <c r="BR1112" s="30"/>
      <c r="BS1112" s="30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30"/>
      <c r="CE1112" s="30"/>
      <c r="CF1112" s="30"/>
      <c r="CG1112" s="30"/>
      <c r="CH1112" s="30"/>
      <c r="CI1112" s="30"/>
      <c r="CJ1112" s="30"/>
      <c r="CK1112" s="30"/>
      <c r="CL1112" s="30"/>
      <c r="CM1112" s="30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</row>
    <row r="1113" spans="2:101" ht="15" hidden="1" customHeight="1" x14ac:dyDescent="0.25"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30"/>
      <c r="W1113" s="30"/>
      <c r="X1113" s="30"/>
      <c r="Y1113" s="30"/>
      <c r="Z1113" s="30"/>
      <c r="AA1113" s="30"/>
      <c r="AB1113" s="30"/>
      <c r="AC1113" s="30"/>
      <c r="AD1113" s="30"/>
      <c r="AE1113" s="30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30"/>
      <c r="AQ1113" s="30"/>
      <c r="AR1113" s="30"/>
      <c r="AS1113" s="30"/>
      <c r="AT1113" s="30"/>
      <c r="AU1113" s="30"/>
      <c r="AV1113" s="30"/>
      <c r="AW1113" s="30"/>
      <c r="AX1113" s="30"/>
      <c r="AY1113" s="30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30"/>
      <c r="BK1113" s="30"/>
      <c r="BL1113" s="30"/>
      <c r="BM1113" s="30"/>
      <c r="BN1113" s="30"/>
      <c r="BO1113" s="30"/>
      <c r="BP1113" s="30"/>
      <c r="BQ1113" s="30"/>
      <c r="BR1113" s="30"/>
      <c r="BS1113" s="30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30"/>
      <c r="CE1113" s="30"/>
      <c r="CF1113" s="30"/>
      <c r="CG1113" s="30"/>
      <c r="CH1113" s="30"/>
      <c r="CI1113" s="30"/>
      <c r="CJ1113" s="30"/>
      <c r="CK1113" s="30"/>
      <c r="CL1113" s="30"/>
      <c r="CM1113" s="30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</row>
    <row r="1114" spans="2:101" ht="15" hidden="1" customHeight="1" x14ac:dyDescent="0.25"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30"/>
      <c r="W1114" s="30"/>
      <c r="X1114" s="30"/>
      <c r="Y1114" s="30"/>
      <c r="Z1114" s="30"/>
      <c r="AA1114" s="30"/>
      <c r="AB1114" s="30"/>
      <c r="AC1114" s="30"/>
      <c r="AD1114" s="30"/>
      <c r="AE1114" s="30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30"/>
      <c r="AQ1114" s="30"/>
      <c r="AR1114" s="30"/>
      <c r="AS1114" s="30"/>
      <c r="AT1114" s="30"/>
      <c r="AU1114" s="30"/>
      <c r="AV1114" s="30"/>
      <c r="AW1114" s="30"/>
      <c r="AX1114" s="30"/>
      <c r="AY1114" s="30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30"/>
      <c r="BK1114" s="30"/>
      <c r="BL1114" s="30"/>
      <c r="BM1114" s="30"/>
      <c r="BN1114" s="30"/>
      <c r="BO1114" s="30"/>
      <c r="BP1114" s="30"/>
      <c r="BQ1114" s="30"/>
      <c r="BR1114" s="30"/>
      <c r="BS1114" s="30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30"/>
      <c r="CE1114" s="30"/>
      <c r="CF1114" s="30"/>
      <c r="CG1114" s="30"/>
      <c r="CH1114" s="30"/>
      <c r="CI1114" s="30"/>
      <c r="CJ1114" s="30"/>
      <c r="CK1114" s="30"/>
      <c r="CL1114" s="30"/>
      <c r="CM1114" s="30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</row>
    <row r="1115" spans="2:101" ht="15" hidden="1" customHeight="1" x14ac:dyDescent="0.25"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30"/>
      <c r="W1115" s="30"/>
      <c r="X1115" s="30"/>
      <c r="Y1115" s="30"/>
      <c r="Z1115" s="30"/>
      <c r="AA1115" s="30"/>
      <c r="AB1115" s="30"/>
      <c r="AC1115" s="30"/>
      <c r="AD1115" s="30"/>
      <c r="AE1115" s="30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30"/>
      <c r="AQ1115" s="30"/>
      <c r="AR1115" s="30"/>
      <c r="AS1115" s="30"/>
      <c r="AT1115" s="30"/>
      <c r="AU1115" s="30"/>
      <c r="AV1115" s="30"/>
      <c r="AW1115" s="30"/>
      <c r="AX1115" s="30"/>
      <c r="AY1115" s="30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30"/>
      <c r="BK1115" s="30"/>
      <c r="BL1115" s="30"/>
      <c r="BM1115" s="30"/>
      <c r="BN1115" s="30"/>
      <c r="BO1115" s="30"/>
      <c r="BP1115" s="30"/>
      <c r="BQ1115" s="30"/>
      <c r="BR1115" s="30"/>
      <c r="BS1115" s="30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30"/>
      <c r="CE1115" s="30"/>
      <c r="CF1115" s="30"/>
      <c r="CG1115" s="30"/>
      <c r="CH1115" s="30"/>
      <c r="CI1115" s="30"/>
      <c r="CJ1115" s="30"/>
      <c r="CK1115" s="30"/>
      <c r="CL1115" s="30"/>
      <c r="CM1115" s="30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</row>
    <row r="1116" spans="2:101" ht="15" hidden="1" customHeight="1" x14ac:dyDescent="0.25"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30"/>
      <c r="W1116" s="30"/>
      <c r="X1116" s="30"/>
      <c r="Y1116" s="30"/>
      <c r="Z1116" s="30"/>
      <c r="AA1116" s="30"/>
      <c r="AB1116" s="30"/>
      <c r="AC1116" s="30"/>
      <c r="AD1116" s="30"/>
      <c r="AE1116" s="30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30"/>
      <c r="AQ1116" s="30"/>
      <c r="AR1116" s="30"/>
      <c r="AS1116" s="30"/>
      <c r="AT1116" s="30"/>
      <c r="AU1116" s="30"/>
      <c r="AV1116" s="30"/>
      <c r="AW1116" s="30"/>
      <c r="AX1116" s="30"/>
      <c r="AY1116" s="30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30"/>
      <c r="BK1116" s="30"/>
      <c r="BL1116" s="30"/>
      <c r="BM1116" s="30"/>
      <c r="BN1116" s="30"/>
      <c r="BO1116" s="30"/>
      <c r="BP1116" s="30"/>
      <c r="BQ1116" s="30"/>
      <c r="BR1116" s="30"/>
      <c r="BS1116" s="30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30"/>
      <c r="CE1116" s="30"/>
      <c r="CF1116" s="30"/>
      <c r="CG1116" s="30"/>
      <c r="CH1116" s="30"/>
      <c r="CI1116" s="30"/>
      <c r="CJ1116" s="30"/>
      <c r="CK1116" s="30"/>
      <c r="CL1116" s="30"/>
      <c r="CM1116" s="30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</row>
    <row r="1117" spans="2:101" ht="15" hidden="1" customHeight="1" x14ac:dyDescent="0.25"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30"/>
      <c r="W1117" s="30"/>
      <c r="X1117" s="30"/>
      <c r="Y1117" s="30"/>
      <c r="Z1117" s="30"/>
      <c r="AA1117" s="30"/>
      <c r="AB1117" s="30"/>
      <c r="AC1117" s="30"/>
      <c r="AD1117" s="30"/>
      <c r="AE1117" s="30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30"/>
      <c r="AQ1117" s="30"/>
      <c r="AR1117" s="30"/>
      <c r="AS1117" s="30"/>
      <c r="AT1117" s="30"/>
      <c r="AU1117" s="30"/>
      <c r="AV1117" s="30"/>
      <c r="AW1117" s="30"/>
      <c r="AX1117" s="30"/>
      <c r="AY1117" s="30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30"/>
      <c r="BK1117" s="30"/>
      <c r="BL1117" s="30"/>
      <c r="BM1117" s="30"/>
      <c r="BN1117" s="30"/>
      <c r="BO1117" s="30"/>
      <c r="BP1117" s="30"/>
      <c r="BQ1117" s="30"/>
      <c r="BR1117" s="30"/>
      <c r="BS1117" s="30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30"/>
      <c r="CE1117" s="30"/>
      <c r="CF1117" s="30"/>
      <c r="CG1117" s="30"/>
      <c r="CH1117" s="30"/>
      <c r="CI1117" s="30"/>
      <c r="CJ1117" s="30"/>
      <c r="CK1117" s="30"/>
      <c r="CL1117" s="30"/>
      <c r="CM1117" s="30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</row>
    <row r="1118" spans="2:101" ht="15" hidden="1" customHeight="1" x14ac:dyDescent="0.25"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30"/>
      <c r="W1118" s="30"/>
      <c r="X1118" s="30"/>
      <c r="Y1118" s="30"/>
      <c r="Z1118" s="30"/>
      <c r="AA1118" s="30"/>
      <c r="AB1118" s="30"/>
      <c r="AC1118" s="30"/>
      <c r="AD1118" s="30"/>
      <c r="AE1118" s="30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30"/>
      <c r="AQ1118" s="30"/>
      <c r="AR1118" s="30"/>
      <c r="AS1118" s="30"/>
      <c r="AT1118" s="30"/>
      <c r="AU1118" s="30"/>
      <c r="AV1118" s="30"/>
      <c r="AW1118" s="30"/>
      <c r="AX1118" s="30"/>
      <c r="AY1118" s="30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30"/>
      <c r="BK1118" s="30"/>
      <c r="BL1118" s="30"/>
      <c r="BM1118" s="30"/>
      <c r="BN1118" s="30"/>
      <c r="BO1118" s="30"/>
      <c r="BP1118" s="30"/>
      <c r="BQ1118" s="30"/>
      <c r="BR1118" s="30"/>
      <c r="BS1118" s="30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30"/>
      <c r="CE1118" s="30"/>
      <c r="CF1118" s="30"/>
      <c r="CG1118" s="30"/>
      <c r="CH1118" s="30"/>
      <c r="CI1118" s="30"/>
      <c r="CJ1118" s="30"/>
      <c r="CK1118" s="30"/>
      <c r="CL1118" s="30"/>
      <c r="CM1118" s="30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</row>
    <row r="1119" spans="2:101" ht="15" hidden="1" customHeight="1" x14ac:dyDescent="0.25"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30"/>
      <c r="W1119" s="30"/>
      <c r="X1119" s="30"/>
      <c r="Y1119" s="30"/>
      <c r="Z1119" s="30"/>
      <c r="AA1119" s="30"/>
      <c r="AB1119" s="30"/>
      <c r="AC1119" s="30"/>
      <c r="AD1119" s="30"/>
      <c r="AE1119" s="30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30"/>
      <c r="AQ1119" s="30"/>
      <c r="AR1119" s="30"/>
      <c r="AS1119" s="30"/>
      <c r="AT1119" s="30"/>
      <c r="AU1119" s="30"/>
      <c r="AV1119" s="30"/>
      <c r="AW1119" s="30"/>
      <c r="AX1119" s="30"/>
      <c r="AY1119" s="30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30"/>
      <c r="BK1119" s="30"/>
      <c r="BL1119" s="30"/>
      <c r="BM1119" s="30"/>
      <c r="BN1119" s="30"/>
      <c r="BO1119" s="30"/>
      <c r="BP1119" s="30"/>
      <c r="BQ1119" s="30"/>
      <c r="BR1119" s="30"/>
      <c r="BS1119" s="30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30"/>
      <c r="CE1119" s="30"/>
      <c r="CF1119" s="30"/>
      <c r="CG1119" s="30"/>
      <c r="CH1119" s="30"/>
      <c r="CI1119" s="30"/>
      <c r="CJ1119" s="30"/>
      <c r="CK1119" s="30"/>
      <c r="CL1119" s="30"/>
      <c r="CM1119" s="30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</row>
    <row r="1120" spans="2:101" ht="15" hidden="1" customHeight="1" x14ac:dyDescent="0.25"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30"/>
      <c r="W1120" s="30"/>
      <c r="X1120" s="30"/>
      <c r="Y1120" s="30"/>
      <c r="Z1120" s="30"/>
      <c r="AA1120" s="30"/>
      <c r="AB1120" s="30"/>
      <c r="AC1120" s="30"/>
      <c r="AD1120" s="30"/>
      <c r="AE1120" s="30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30"/>
      <c r="AQ1120" s="30"/>
      <c r="AR1120" s="30"/>
      <c r="AS1120" s="30"/>
      <c r="AT1120" s="30"/>
      <c r="AU1120" s="30"/>
      <c r="AV1120" s="30"/>
      <c r="AW1120" s="30"/>
      <c r="AX1120" s="30"/>
      <c r="AY1120" s="30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30"/>
      <c r="BK1120" s="30"/>
      <c r="BL1120" s="30"/>
      <c r="BM1120" s="30"/>
      <c r="BN1120" s="30"/>
      <c r="BO1120" s="30"/>
      <c r="BP1120" s="30"/>
      <c r="BQ1120" s="30"/>
      <c r="BR1120" s="30"/>
      <c r="BS1120" s="30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30"/>
      <c r="CE1120" s="30"/>
      <c r="CF1120" s="30"/>
      <c r="CG1120" s="30"/>
      <c r="CH1120" s="30"/>
      <c r="CI1120" s="30"/>
      <c r="CJ1120" s="30"/>
      <c r="CK1120" s="30"/>
      <c r="CL1120" s="30"/>
      <c r="CM1120" s="30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</row>
    <row r="1121" spans="2:101" ht="15" hidden="1" customHeight="1" x14ac:dyDescent="0.25"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30"/>
      <c r="W1121" s="30"/>
      <c r="X1121" s="30"/>
      <c r="Y1121" s="30"/>
      <c r="Z1121" s="30"/>
      <c r="AA1121" s="30"/>
      <c r="AB1121" s="30"/>
      <c r="AC1121" s="30"/>
      <c r="AD1121" s="30"/>
      <c r="AE1121" s="30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30"/>
      <c r="AQ1121" s="30"/>
      <c r="AR1121" s="30"/>
      <c r="AS1121" s="30"/>
      <c r="AT1121" s="30"/>
      <c r="AU1121" s="30"/>
      <c r="AV1121" s="30"/>
      <c r="AW1121" s="30"/>
      <c r="AX1121" s="30"/>
      <c r="AY1121" s="30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30"/>
      <c r="BK1121" s="30"/>
      <c r="BL1121" s="30"/>
      <c r="BM1121" s="30"/>
      <c r="BN1121" s="30"/>
      <c r="BO1121" s="30"/>
      <c r="BP1121" s="30"/>
      <c r="BQ1121" s="30"/>
      <c r="BR1121" s="30"/>
      <c r="BS1121" s="30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30"/>
      <c r="CE1121" s="30"/>
      <c r="CF1121" s="30"/>
      <c r="CG1121" s="30"/>
      <c r="CH1121" s="30"/>
      <c r="CI1121" s="30"/>
      <c r="CJ1121" s="30"/>
      <c r="CK1121" s="30"/>
      <c r="CL1121" s="30"/>
      <c r="CM1121" s="30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</row>
    <row r="1122" spans="2:101" ht="15" hidden="1" customHeight="1" x14ac:dyDescent="0.25"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30"/>
      <c r="W1122" s="30"/>
      <c r="X1122" s="30"/>
      <c r="Y1122" s="30"/>
      <c r="Z1122" s="30"/>
      <c r="AA1122" s="30"/>
      <c r="AB1122" s="30"/>
      <c r="AC1122" s="30"/>
      <c r="AD1122" s="30"/>
      <c r="AE1122" s="30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30"/>
      <c r="AQ1122" s="30"/>
      <c r="AR1122" s="30"/>
      <c r="AS1122" s="30"/>
      <c r="AT1122" s="30"/>
      <c r="AU1122" s="30"/>
      <c r="AV1122" s="30"/>
      <c r="AW1122" s="30"/>
      <c r="AX1122" s="30"/>
      <c r="AY1122" s="30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30"/>
      <c r="BK1122" s="30"/>
      <c r="BL1122" s="30"/>
      <c r="BM1122" s="30"/>
      <c r="BN1122" s="30"/>
      <c r="BO1122" s="30"/>
      <c r="BP1122" s="30"/>
      <c r="BQ1122" s="30"/>
      <c r="BR1122" s="30"/>
      <c r="BS1122" s="30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30"/>
      <c r="CE1122" s="30"/>
      <c r="CF1122" s="30"/>
      <c r="CG1122" s="30"/>
      <c r="CH1122" s="30"/>
      <c r="CI1122" s="30"/>
      <c r="CJ1122" s="30"/>
      <c r="CK1122" s="30"/>
      <c r="CL1122" s="30"/>
      <c r="CM1122" s="30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</row>
    <row r="1123" spans="2:101" ht="15" hidden="1" customHeight="1" x14ac:dyDescent="0.25"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30"/>
      <c r="W1123" s="30"/>
      <c r="X1123" s="30"/>
      <c r="Y1123" s="30"/>
      <c r="Z1123" s="30"/>
      <c r="AA1123" s="30"/>
      <c r="AB1123" s="30"/>
      <c r="AC1123" s="30"/>
      <c r="AD1123" s="30"/>
      <c r="AE1123" s="30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30"/>
      <c r="AQ1123" s="30"/>
      <c r="AR1123" s="30"/>
      <c r="AS1123" s="30"/>
      <c r="AT1123" s="30"/>
      <c r="AU1123" s="30"/>
      <c r="AV1123" s="30"/>
      <c r="AW1123" s="30"/>
      <c r="AX1123" s="30"/>
      <c r="AY1123" s="30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30"/>
      <c r="BK1123" s="30"/>
      <c r="BL1123" s="30"/>
      <c r="BM1123" s="30"/>
      <c r="BN1123" s="30"/>
      <c r="BO1123" s="30"/>
      <c r="BP1123" s="30"/>
      <c r="BQ1123" s="30"/>
      <c r="BR1123" s="30"/>
      <c r="BS1123" s="30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30"/>
      <c r="CE1123" s="30"/>
      <c r="CF1123" s="30"/>
      <c r="CG1123" s="30"/>
      <c r="CH1123" s="30"/>
      <c r="CI1123" s="30"/>
      <c r="CJ1123" s="30"/>
      <c r="CK1123" s="30"/>
      <c r="CL1123" s="30"/>
      <c r="CM1123" s="30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</row>
    <row r="1124" spans="2:101" ht="15" hidden="1" customHeight="1" x14ac:dyDescent="0.25"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30"/>
      <c r="W1124" s="30"/>
      <c r="X1124" s="30"/>
      <c r="Y1124" s="30"/>
      <c r="Z1124" s="30"/>
      <c r="AA1124" s="30"/>
      <c r="AB1124" s="30"/>
      <c r="AC1124" s="30"/>
      <c r="AD1124" s="30"/>
      <c r="AE1124" s="30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30"/>
      <c r="AQ1124" s="30"/>
      <c r="AR1124" s="30"/>
      <c r="AS1124" s="30"/>
      <c r="AT1124" s="30"/>
      <c r="AU1124" s="30"/>
      <c r="AV1124" s="30"/>
      <c r="AW1124" s="30"/>
      <c r="AX1124" s="30"/>
      <c r="AY1124" s="30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30"/>
      <c r="BK1124" s="30"/>
      <c r="BL1124" s="30"/>
      <c r="BM1124" s="30"/>
      <c r="BN1124" s="30"/>
      <c r="BO1124" s="30"/>
      <c r="BP1124" s="30"/>
      <c r="BQ1124" s="30"/>
      <c r="BR1124" s="30"/>
      <c r="BS1124" s="30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30"/>
      <c r="CE1124" s="30"/>
      <c r="CF1124" s="30"/>
      <c r="CG1124" s="30"/>
      <c r="CH1124" s="30"/>
      <c r="CI1124" s="30"/>
      <c r="CJ1124" s="30"/>
      <c r="CK1124" s="30"/>
      <c r="CL1124" s="30"/>
      <c r="CM1124" s="30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</row>
    <row r="1125" spans="2:101" ht="15" hidden="1" customHeight="1" x14ac:dyDescent="0.25"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30"/>
      <c r="W1125" s="30"/>
      <c r="X1125" s="30"/>
      <c r="Y1125" s="30"/>
      <c r="Z1125" s="30"/>
      <c r="AA1125" s="30"/>
      <c r="AB1125" s="30"/>
      <c r="AC1125" s="30"/>
      <c r="AD1125" s="30"/>
      <c r="AE1125" s="30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30"/>
      <c r="AQ1125" s="30"/>
      <c r="AR1125" s="30"/>
      <c r="AS1125" s="30"/>
      <c r="AT1125" s="30"/>
      <c r="AU1125" s="30"/>
      <c r="AV1125" s="30"/>
      <c r="AW1125" s="30"/>
      <c r="AX1125" s="30"/>
      <c r="AY1125" s="30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30"/>
      <c r="BK1125" s="30"/>
      <c r="BL1125" s="30"/>
      <c r="BM1125" s="30"/>
      <c r="BN1125" s="30"/>
      <c r="BO1125" s="30"/>
      <c r="BP1125" s="30"/>
      <c r="BQ1125" s="30"/>
      <c r="BR1125" s="30"/>
      <c r="BS1125" s="30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30"/>
      <c r="CE1125" s="30"/>
      <c r="CF1125" s="30"/>
      <c r="CG1125" s="30"/>
      <c r="CH1125" s="30"/>
      <c r="CI1125" s="30"/>
      <c r="CJ1125" s="30"/>
      <c r="CK1125" s="30"/>
      <c r="CL1125" s="30"/>
      <c r="CM1125" s="30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</row>
    <row r="1126" spans="2:101" ht="15" hidden="1" customHeight="1" x14ac:dyDescent="0.25"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30"/>
      <c r="W1126" s="30"/>
      <c r="X1126" s="30"/>
      <c r="Y1126" s="30"/>
      <c r="Z1126" s="30"/>
      <c r="AA1126" s="30"/>
      <c r="AB1126" s="30"/>
      <c r="AC1126" s="30"/>
      <c r="AD1126" s="30"/>
      <c r="AE1126" s="30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30"/>
      <c r="AQ1126" s="30"/>
      <c r="AR1126" s="30"/>
      <c r="AS1126" s="30"/>
      <c r="AT1126" s="30"/>
      <c r="AU1126" s="30"/>
      <c r="AV1126" s="30"/>
      <c r="AW1126" s="30"/>
      <c r="AX1126" s="30"/>
      <c r="AY1126" s="30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30"/>
      <c r="BK1126" s="30"/>
      <c r="BL1126" s="30"/>
      <c r="BM1126" s="30"/>
      <c r="BN1126" s="30"/>
      <c r="BO1126" s="30"/>
      <c r="BP1126" s="30"/>
      <c r="BQ1126" s="30"/>
      <c r="BR1126" s="30"/>
      <c r="BS1126" s="30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30"/>
      <c r="CE1126" s="30"/>
      <c r="CF1126" s="30"/>
      <c r="CG1126" s="30"/>
      <c r="CH1126" s="30"/>
      <c r="CI1126" s="30"/>
      <c r="CJ1126" s="30"/>
      <c r="CK1126" s="30"/>
      <c r="CL1126" s="30"/>
      <c r="CM1126" s="30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</row>
    <row r="1127" spans="2:101" ht="15" hidden="1" customHeight="1" x14ac:dyDescent="0.25"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30"/>
      <c r="W1127" s="30"/>
      <c r="X1127" s="30"/>
      <c r="Y1127" s="30"/>
      <c r="Z1127" s="30"/>
      <c r="AA1127" s="30"/>
      <c r="AB1127" s="30"/>
      <c r="AC1127" s="30"/>
      <c r="AD1127" s="30"/>
      <c r="AE1127" s="30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30"/>
      <c r="AQ1127" s="30"/>
      <c r="AR1127" s="30"/>
      <c r="AS1127" s="30"/>
      <c r="AT1127" s="30"/>
      <c r="AU1127" s="30"/>
      <c r="AV1127" s="30"/>
      <c r="AW1127" s="30"/>
      <c r="AX1127" s="30"/>
      <c r="AY1127" s="30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30"/>
      <c r="BK1127" s="30"/>
      <c r="BL1127" s="30"/>
      <c r="BM1127" s="30"/>
      <c r="BN1127" s="30"/>
      <c r="BO1127" s="30"/>
      <c r="BP1127" s="30"/>
      <c r="BQ1127" s="30"/>
      <c r="BR1127" s="30"/>
      <c r="BS1127" s="30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30"/>
      <c r="CE1127" s="30"/>
      <c r="CF1127" s="30"/>
      <c r="CG1127" s="30"/>
      <c r="CH1127" s="30"/>
      <c r="CI1127" s="30"/>
      <c r="CJ1127" s="30"/>
      <c r="CK1127" s="30"/>
      <c r="CL1127" s="30"/>
      <c r="CM1127" s="30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</row>
    <row r="1128" spans="2:101" ht="15" hidden="1" customHeight="1" x14ac:dyDescent="0.25"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30"/>
      <c r="W1128" s="30"/>
      <c r="X1128" s="30"/>
      <c r="Y1128" s="30"/>
      <c r="Z1128" s="30"/>
      <c r="AA1128" s="30"/>
      <c r="AB1128" s="30"/>
      <c r="AC1128" s="30"/>
      <c r="AD1128" s="30"/>
      <c r="AE1128" s="30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30"/>
      <c r="AQ1128" s="30"/>
      <c r="AR1128" s="30"/>
      <c r="AS1128" s="30"/>
      <c r="AT1128" s="30"/>
      <c r="AU1128" s="30"/>
      <c r="AV1128" s="30"/>
      <c r="AW1128" s="30"/>
      <c r="AX1128" s="30"/>
      <c r="AY1128" s="30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30"/>
      <c r="BK1128" s="30"/>
      <c r="BL1128" s="30"/>
      <c r="BM1128" s="30"/>
      <c r="BN1128" s="30"/>
      <c r="BO1128" s="30"/>
      <c r="BP1128" s="30"/>
      <c r="BQ1128" s="30"/>
      <c r="BR1128" s="30"/>
      <c r="BS1128" s="30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30"/>
      <c r="CE1128" s="30"/>
      <c r="CF1128" s="30"/>
      <c r="CG1128" s="30"/>
      <c r="CH1128" s="30"/>
      <c r="CI1128" s="30"/>
      <c r="CJ1128" s="30"/>
      <c r="CK1128" s="30"/>
      <c r="CL1128" s="30"/>
      <c r="CM1128" s="30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</row>
    <row r="1129" spans="2:101" ht="15" hidden="1" customHeight="1" x14ac:dyDescent="0.25"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30"/>
      <c r="W1129" s="30"/>
      <c r="X1129" s="30"/>
      <c r="Y1129" s="30"/>
      <c r="Z1129" s="30"/>
      <c r="AA1129" s="30"/>
      <c r="AB1129" s="30"/>
      <c r="AC1129" s="30"/>
      <c r="AD1129" s="30"/>
      <c r="AE1129" s="30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30"/>
      <c r="AQ1129" s="30"/>
      <c r="AR1129" s="30"/>
      <c r="AS1129" s="30"/>
      <c r="AT1129" s="30"/>
      <c r="AU1129" s="30"/>
      <c r="AV1129" s="30"/>
      <c r="AW1129" s="30"/>
      <c r="AX1129" s="30"/>
      <c r="AY1129" s="30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30"/>
      <c r="BK1129" s="30"/>
      <c r="BL1129" s="30"/>
      <c r="BM1129" s="30"/>
      <c r="BN1129" s="30"/>
      <c r="BO1129" s="30"/>
      <c r="BP1129" s="30"/>
      <c r="BQ1129" s="30"/>
      <c r="BR1129" s="30"/>
      <c r="BS1129" s="30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30"/>
      <c r="CE1129" s="30"/>
      <c r="CF1129" s="30"/>
      <c r="CG1129" s="30"/>
      <c r="CH1129" s="30"/>
      <c r="CI1129" s="30"/>
      <c r="CJ1129" s="30"/>
      <c r="CK1129" s="30"/>
      <c r="CL1129" s="30"/>
      <c r="CM1129" s="30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</row>
    <row r="1130" spans="2:101" ht="15" hidden="1" customHeight="1" x14ac:dyDescent="0.25"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30"/>
      <c r="W1130" s="30"/>
      <c r="X1130" s="30"/>
      <c r="Y1130" s="30"/>
      <c r="Z1130" s="30"/>
      <c r="AA1130" s="30"/>
      <c r="AB1130" s="30"/>
      <c r="AC1130" s="30"/>
      <c r="AD1130" s="30"/>
      <c r="AE1130" s="30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30"/>
      <c r="AQ1130" s="30"/>
      <c r="AR1130" s="30"/>
      <c r="AS1130" s="30"/>
      <c r="AT1130" s="30"/>
      <c r="AU1130" s="30"/>
      <c r="AV1130" s="30"/>
      <c r="AW1130" s="30"/>
      <c r="AX1130" s="30"/>
      <c r="AY1130" s="30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30"/>
      <c r="BK1130" s="30"/>
      <c r="BL1130" s="30"/>
      <c r="BM1130" s="30"/>
      <c r="BN1130" s="30"/>
      <c r="BO1130" s="30"/>
      <c r="BP1130" s="30"/>
      <c r="BQ1130" s="30"/>
      <c r="BR1130" s="30"/>
      <c r="BS1130" s="30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30"/>
      <c r="CE1130" s="30"/>
      <c r="CF1130" s="30"/>
      <c r="CG1130" s="30"/>
      <c r="CH1130" s="30"/>
      <c r="CI1130" s="30"/>
      <c r="CJ1130" s="30"/>
      <c r="CK1130" s="30"/>
      <c r="CL1130" s="30"/>
      <c r="CM1130" s="30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</row>
    <row r="1131" spans="2:101" ht="15" hidden="1" customHeight="1" x14ac:dyDescent="0.25"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30"/>
      <c r="W1131" s="30"/>
      <c r="X1131" s="30"/>
      <c r="Y1131" s="30"/>
      <c r="Z1131" s="30"/>
      <c r="AA1131" s="30"/>
      <c r="AB1131" s="30"/>
      <c r="AC1131" s="30"/>
      <c r="AD1131" s="30"/>
      <c r="AE1131" s="30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30"/>
      <c r="AQ1131" s="30"/>
      <c r="AR1131" s="30"/>
      <c r="AS1131" s="30"/>
      <c r="AT1131" s="30"/>
      <c r="AU1131" s="30"/>
      <c r="AV1131" s="30"/>
      <c r="AW1131" s="30"/>
      <c r="AX1131" s="30"/>
      <c r="AY1131" s="30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30"/>
      <c r="BK1131" s="30"/>
      <c r="BL1131" s="30"/>
      <c r="BM1131" s="30"/>
      <c r="BN1131" s="30"/>
      <c r="BO1131" s="30"/>
      <c r="BP1131" s="30"/>
      <c r="BQ1131" s="30"/>
      <c r="BR1131" s="30"/>
      <c r="BS1131" s="30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30"/>
      <c r="CE1131" s="30"/>
      <c r="CF1131" s="30"/>
      <c r="CG1131" s="30"/>
      <c r="CH1131" s="30"/>
      <c r="CI1131" s="30"/>
      <c r="CJ1131" s="30"/>
      <c r="CK1131" s="30"/>
      <c r="CL1131" s="30"/>
      <c r="CM1131" s="30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</row>
    <row r="1132" spans="2:101" ht="15" hidden="1" customHeight="1" x14ac:dyDescent="0.25"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30"/>
      <c r="W1132" s="30"/>
      <c r="X1132" s="30"/>
      <c r="Y1132" s="30"/>
      <c r="Z1132" s="30"/>
      <c r="AA1132" s="30"/>
      <c r="AB1132" s="30"/>
      <c r="AC1132" s="30"/>
      <c r="AD1132" s="30"/>
      <c r="AE1132" s="30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30"/>
      <c r="AQ1132" s="30"/>
      <c r="AR1132" s="30"/>
      <c r="AS1132" s="30"/>
      <c r="AT1132" s="30"/>
      <c r="AU1132" s="30"/>
      <c r="AV1132" s="30"/>
      <c r="AW1132" s="30"/>
      <c r="AX1132" s="30"/>
      <c r="AY1132" s="30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30"/>
      <c r="BK1132" s="30"/>
      <c r="BL1132" s="30"/>
      <c r="BM1132" s="30"/>
      <c r="BN1132" s="30"/>
      <c r="BO1132" s="30"/>
      <c r="BP1132" s="30"/>
      <c r="BQ1132" s="30"/>
      <c r="BR1132" s="30"/>
      <c r="BS1132" s="30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30"/>
      <c r="CE1132" s="30"/>
      <c r="CF1132" s="30"/>
      <c r="CG1132" s="30"/>
      <c r="CH1132" s="30"/>
      <c r="CI1132" s="30"/>
      <c r="CJ1132" s="30"/>
      <c r="CK1132" s="30"/>
      <c r="CL1132" s="30"/>
      <c r="CM1132" s="30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</row>
    <row r="1133" spans="2:101" ht="15" hidden="1" customHeight="1" x14ac:dyDescent="0.25"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30"/>
      <c r="W1133" s="30"/>
      <c r="X1133" s="30"/>
      <c r="Y1133" s="30"/>
      <c r="Z1133" s="30"/>
      <c r="AA1133" s="30"/>
      <c r="AB1133" s="30"/>
      <c r="AC1133" s="30"/>
      <c r="AD1133" s="30"/>
      <c r="AE1133" s="30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30"/>
      <c r="AQ1133" s="30"/>
      <c r="AR1133" s="30"/>
      <c r="AS1133" s="30"/>
      <c r="AT1133" s="30"/>
      <c r="AU1133" s="30"/>
      <c r="AV1133" s="30"/>
      <c r="AW1133" s="30"/>
      <c r="AX1133" s="30"/>
      <c r="AY1133" s="30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30"/>
      <c r="BK1133" s="30"/>
      <c r="BL1133" s="30"/>
      <c r="BM1133" s="30"/>
      <c r="BN1133" s="30"/>
      <c r="BO1133" s="30"/>
      <c r="BP1133" s="30"/>
      <c r="BQ1133" s="30"/>
      <c r="BR1133" s="30"/>
      <c r="BS1133" s="30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30"/>
      <c r="CE1133" s="30"/>
      <c r="CF1133" s="30"/>
      <c r="CG1133" s="30"/>
      <c r="CH1133" s="30"/>
      <c r="CI1133" s="30"/>
      <c r="CJ1133" s="30"/>
      <c r="CK1133" s="30"/>
      <c r="CL1133" s="30"/>
      <c r="CM1133" s="30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</row>
    <row r="1134" spans="2:101" ht="15" hidden="1" customHeight="1" x14ac:dyDescent="0.25"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30"/>
      <c r="W1134" s="30"/>
      <c r="X1134" s="30"/>
      <c r="Y1134" s="30"/>
      <c r="Z1134" s="30"/>
      <c r="AA1134" s="30"/>
      <c r="AB1134" s="30"/>
      <c r="AC1134" s="30"/>
      <c r="AD1134" s="30"/>
      <c r="AE1134" s="30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30"/>
      <c r="AQ1134" s="30"/>
      <c r="AR1134" s="30"/>
      <c r="AS1134" s="30"/>
      <c r="AT1134" s="30"/>
      <c r="AU1134" s="30"/>
      <c r="AV1134" s="30"/>
      <c r="AW1134" s="30"/>
      <c r="AX1134" s="30"/>
      <c r="AY1134" s="30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30"/>
      <c r="BK1134" s="30"/>
      <c r="BL1134" s="30"/>
      <c r="BM1134" s="30"/>
      <c r="BN1134" s="30"/>
      <c r="BO1134" s="30"/>
      <c r="BP1134" s="30"/>
      <c r="BQ1134" s="30"/>
      <c r="BR1134" s="30"/>
      <c r="BS1134" s="30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30"/>
      <c r="CE1134" s="30"/>
      <c r="CF1134" s="30"/>
      <c r="CG1134" s="30"/>
      <c r="CH1134" s="30"/>
      <c r="CI1134" s="30"/>
      <c r="CJ1134" s="30"/>
      <c r="CK1134" s="30"/>
      <c r="CL1134" s="30"/>
      <c r="CM1134" s="30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</row>
    <row r="1135" spans="2:101" ht="15" hidden="1" customHeight="1" x14ac:dyDescent="0.25"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30"/>
      <c r="W1135" s="30"/>
      <c r="X1135" s="30"/>
      <c r="Y1135" s="30"/>
      <c r="Z1135" s="30"/>
      <c r="AA1135" s="30"/>
      <c r="AB1135" s="30"/>
      <c r="AC1135" s="30"/>
      <c r="AD1135" s="30"/>
      <c r="AE1135" s="30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30"/>
      <c r="AQ1135" s="30"/>
      <c r="AR1135" s="30"/>
      <c r="AS1135" s="30"/>
      <c r="AT1135" s="30"/>
      <c r="AU1135" s="30"/>
      <c r="AV1135" s="30"/>
      <c r="AW1135" s="30"/>
      <c r="AX1135" s="30"/>
      <c r="AY1135" s="30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30"/>
      <c r="BK1135" s="30"/>
      <c r="BL1135" s="30"/>
      <c r="BM1135" s="30"/>
      <c r="BN1135" s="30"/>
      <c r="BO1135" s="30"/>
      <c r="BP1135" s="30"/>
      <c r="BQ1135" s="30"/>
      <c r="BR1135" s="30"/>
      <c r="BS1135" s="30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30"/>
      <c r="CE1135" s="30"/>
      <c r="CF1135" s="30"/>
      <c r="CG1135" s="30"/>
      <c r="CH1135" s="30"/>
      <c r="CI1135" s="30"/>
      <c r="CJ1135" s="30"/>
      <c r="CK1135" s="30"/>
      <c r="CL1135" s="30"/>
      <c r="CM1135" s="30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</row>
    <row r="1136" spans="2:101" ht="15" hidden="1" customHeight="1" x14ac:dyDescent="0.25"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30"/>
      <c r="W1136" s="30"/>
      <c r="X1136" s="30"/>
      <c r="Y1136" s="30"/>
      <c r="Z1136" s="30"/>
      <c r="AA1136" s="30"/>
      <c r="AB1136" s="30"/>
      <c r="AC1136" s="30"/>
      <c r="AD1136" s="30"/>
      <c r="AE1136" s="30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30"/>
      <c r="AQ1136" s="30"/>
      <c r="AR1136" s="30"/>
      <c r="AS1136" s="30"/>
      <c r="AT1136" s="30"/>
      <c r="AU1136" s="30"/>
      <c r="AV1136" s="30"/>
      <c r="AW1136" s="30"/>
      <c r="AX1136" s="30"/>
      <c r="AY1136" s="30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30"/>
      <c r="BK1136" s="30"/>
      <c r="BL1136" s="30"/>
      <c r="BM1136" s="30"/>
      <c r="BN1136" s="30"/>
      <c r="BO1136" s="30"/>
      <c r="BP1136" s="30"/>
      <c r="BQ1136" s="30"/>
      <c r="BR1136" s="30"/>
      <c r="BS1136" s="30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30"/>
      <c r="CE1136" s="30"/>
      <c r="CF1136" s="30"/>
      <c r="CG1136" s="30"/>
      <c r="CH1136" s="30"/>
      <c r="CI1136" s="30"/>
      <c r="CJ1136" s="30"/>
      <c r="CK1136" s="30"/>
      <c r="CL1136" s="30"/>
      <c r="CM1136" s="30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</row>
    <row r="1137" spans="2:101" ht="15" hidden="1" customHeight="1" x14ac:dyDescent="0.25"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30"/>
      <c r="W1137" s="30"/>
      <c r="X1137" s="30"/>
      <c r="Y1137" s="30"/>
      <c r="Z1137" s="30"/>
      <c r="AA1137" s="30"/>
      <c r="AB1137" s="30"/>
      <c r="AC1137" s="30"/>
      <c r="AD1137" s="30"/>
      <c r="AE1137" s="30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30"/>
      <c r="AQ1137" s="30"/>
      <c r="AR1137" s="30"/>
      <c r="AS1137" s="30"/>
      <c r="AT1137" s="30"/>
      <c r="AU1137" s="30"/>
      <c r="AV1137" s="30"/>
      <c r="AW1137" s="30"/>
      <c r="AX1137" s="30"/>
      <c r="AY1137" s="30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30"/>
      <c r="BK1137" s="30"/>
      <c r="BL1137" s="30"/>
      <c r="BM1137" s="30"/>
      <c r="BN1137" s="30"/>
      <c r="BO1137" s="30"/>
      <c r="BP1137" s="30"/>
      <c r="BQ1137" s="30"/>
      <c r="BR1137" s="30"/>
      <c r="BS1137" s="30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30"/>
      <c r="CE1137" s="30"/>
      <c r="CF1137" s="30"/>
      <c r="CG1137" s="30"/>
      <c r="CH1137" s="30"/>
      <c r="CI1137" s="30"/>
      <c r="CJ1137" s="30"/>
      <c r="CK1137" s="30"/>
      <c r="CL1137" s="30"/>
      <c r="CM1137" s="30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</row>
    <row r="1138" spans="2:101" ht="15" hidden="1" customHeight="1" x14ac:dyDescent="0.25"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30"/>
      <c r="W1138" s="30"/>
      <c r="X1138" s="30"/>
      <c r="Y1138" s="30"/>
      <c r="Z1138" s="30"/>
      <c r="AA1138" s="30"/>
      <c r="AB1138" s="30"/>
      <c r="AC1138" s="30"/>
      <c r="AD1138" s="30"/>
      <c r="AE1138" s="30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30"/>
      <c r="AQ1138" s="30"/>
      <c r="AR1138" s="30"/>
      <c r="AS1138" s="30"/>
      <c r="AT1138" s="30"/>
      <c r="AU1138" s="30"/>
      <c r="AV1138" s="30"/>
      <c r="AW1138" s="30"/>
      <c r="AX1138" s="30"/>
      <c r="AY1138" s="30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30"/>
      <c r="BK1138" s="30"/>
      <c r="BL1138" s="30"/>
      <c r="BM1138" s="30"/>
      <c r="BN1138" s="30"/>
      <c r="BO1138" s="30"/>
      <c r="BP1138" s="30"/>
      <c r="BQ1138" s="30"/>
      <c r="BR1138" s="30"/>
      <c r="BS1138" s="30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30"/>
      <c r="CE1138" s="30"/>
      <c r="CF1138" s="30"/>
      <c r="CG1138" s="30"/>
      <c r="CH1138" s="30"/>
      <c r="CI1138" s="30"/>
      <c r="CJ1138" s="30"/>
      <c r="CK1138" s="30"/>
      <c r="CL1138" s="30"/>
      <c r="CM1138" s="30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</row>
    <row r="1139" spans="2:101" ht="15" hidden="1" customHeight="1" x14ac:dyDescent="0.25"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30"/>
      <c r="W1139" s="30"/>
      <c r="X1139" s="30"/>
      <c r="Y1139" s="30"/>
      <c r="Z1139" s="30"/>
      <c r="AA1139" s="30"/>
      <c r="AB1139" s="30"/>
      <c r="AC1139" s="30"/>
      <c r="AD1139" s="30"/>
      <c r="AE1139" s="30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30"/>
      <c r="AQ1139" s="30"/>
      <c r="AR1139" s="30"/>
      <c r="AS1139" s="30"/>
      <c r="AT1139" s="30"/>
      <c r="AU1139" s="30"/>
      <c r="AV1139" s="30"/>
      <c r="AW1139" s="30"/>
      <c r="AX1139" s="30"/>
      <c r="AY1139" s="30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30"/>
      <c r="BK1139" s="30"/>
      <c r="BL1139" s="30"/>
      <c r="BM1139" s="30"/>
      <c r="BN1139" s="30"/>
      <c r="BO1139" s="30"/>
      <c r="BP1139" s="30"/>
      <c r="BQ1139" s="30"/>
      <c r="BR1139" s="30"/>
      <c r="BS1139" s="30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30"/>
      <c r="CE1139" s="30"/>
      <c r="CF1139" s="30"/>
      <c r="CG1139" s="30"/>
      <c r="CH1139" s="30"/>
      <c r="CI1139" s="30"/>
      <c r="CJ1139" s="30"/>
      <c r="CK1139" s="30"/>
      <c r="CL1139" s="30"/>
      <c r="CM1139" s="30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</row>
    <row r="1140" spans="2:101" ht="15" hidden="1" customHeight="1" x14ac:dyDescent="0.25"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30"/>
      <c r="W1140" s="30"/>
      <c r="X1140" s="30"/>
      <c r="Y1140" s="30"/>
      <c r="Z1140" s="30"/>
      <c r="AA1140" s="30"/>
      <c r="AB1140" s="30"/>
      <c r="AC1140" s="30"/>
      <c r="AD1140" s="30"/>
      <c r="AE1140" s="30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30"/>
      <c r="AQ1140" s="30"/>
      <c r="AR1140" s="30"/>
      <c r="AS1140" s="30"/>
      <c r="AT1140" s="30"/>
      <c r="AU1140" s="30"/>
      <c r="AV1140" s="30"/>
      <c r="AW1140" s="30"/>
      <c r="AX1140" s="30"/>
      <c r="AY1140" s="30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30"/>
      <c r="BK1140" s="30"/>
      <c r="BL1140" s="30"/>
      <c r="BM1140" s="30"/>
      <c r="BN1140" s="30"/>
      <c r="BO1140" s="30"/>
      <c r="BP1140" s="30"/>
      <c r="BQ1140" s="30"/>
      <c r="BR1140" s="30"/>
      <c r="BS1140" s="30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30"/>
      <c r="CE1140" s="30"/>
      <c r="CF1140" s="30"/>
      <c r="CG1140" s="30"/>
      <c r="CH1140" s="30"/>
      <c r="CI1140" s="30"/>
      <c r="CJ1140" s="30"/>
      <c r="CK1140" s="30"/>
      <c r="CL1140" s="30"/>
      <c r="CM1140" s="30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</row>
    <row r="1141" spans="2:101" ht="15" hidden="1" customHeight="1" x14ac:dyDescent="0.25"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30"/>
      <c r="W1141" s="30"/>
      <c r="X1141" s="30"/>
      <c r="Y1141" s="30"/>
      <c r="Z1141" s="30"/>
      <c r="AA1141" s="30"/>
      <c r="AB1141" s="30"/>
      <c r="AC1141" s="30"/>
      <c r="AD1141" s="30"/>
      <c r="AE1141" s="30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30"/>
      <c r="AQ1141" s="30"/>
      <c r="AR1141" s="30"/>
      <c r="AS1141" s="30"/>
      <c r="AT1141" s="30"/>
      <c r="AU1141" s="30"/>
      <c r="AV1141" s="30"/>
      <c r="AW1141" s="30"/>
      <c r="AX1141" s="30"/>
      <c r="AY1141" s="30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30"/>
      <c r="BK1141" s="30"/>
      <c r="BL1141" s="30"/>
      <c r="BM1141" s="30"/>
      <c r="BN1141" s="30"/>
      <c r="BO1141" s="30"/>
      <c r="BP1141" s="30"/>
      <c r="BQ1141" s="30"/>
      <c r="BR1141" s="30"/>
      <c r="BS1141" s="30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30"/>
      <c r="CE1141" s="30"/>
      <c r="CF1141" s="30"/>
      <c r="CG1141" s="30"/>
      <c r="CH1141" s="30"/>
      <c r="CI1141" s="30"/>
      <c r="CJ1141" s="30"/>
      <c r="CK1141" s="30"/>
      <c r="CL1141" s="30"/>
      <c r="CM1141" s="30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</row>
    <row r="1142" spans="2:101" ht="15" hidden="1" customHeight="1" x14ac:dyDescent="0.25"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30"/>
      <c r="W1142" s="30"/>
      <c r="X1142" s="30"/>
      <c r="Y1142" s="30"/>
      <c r="Z1142" s="30"/>
      <c r="AA1142" s="30"/>
      <c r="AB1142" s="30"/>
      <c r="AC1142" s="30"/>
      <c r="AD1142" s="30"/>
      <c r="AE1142" s="30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30"/>
      <c r="AQ1142" s="30"/>
      <c r="AR1142" s="30"/>
      <c r="AS1142" s="30"/>
      <c r="AT1142" s="30"/>
      <c r="AU1142" s="30"/>
      <c r="AV1142" s="30"/>
      <c r="AW1142" s="30"/>
      <c r="AX1142" s="30"/>
      <c r="AY1142" s="30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30"/>
      <c r="BK1142" s="30"/>
      <c r="BL1142" s="30"/>
      <c r="BM1142" s="30"/>
      <c r="BN1142" s="30"/>
      <c r="BO1142" s="30"/>
      <c r="BP1142" s="30"/>
      <c r="BQ1142" s="30"/>
      <c r="BR1142" s="30"/>
      <c r="BS1142" s="30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30"/>
      <c r="CE1142" s="30"/>
      <c r="CF1142" s="30"/>
      <c r="CG1142" s="30"/>
      <c r="CH1142" s="30"/>
      <c r="CI1142" s="30"/>
      <c r="CJ1142" s="30"/>
      <c r="CK1142" s="30"/>
      <c r="CL1142" s="30"/>
      <c r="CM1142" s="30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</row>
    <row r="1143" spans="2:101" ht="15" hidden="1" customHeight="1" x14ac:dyDescent="0.25"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30"/>
      <c r="W1143" s="30"/>
      <c r="X1143" s="30"/>
      <c r="Y1143" s="30"/>
      <c r="Z1143" s="30"/>
      <c r="AA1143" s="30"/>
      <c r="AB1143" s="30"/>
      <c r="AC1143" s="30"/>
      <c r="AD1143" s="30"/>
      <c r="AE1143" s="30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30"/>
      <c r="AQ1143" s="30"/>
      <c r="AR1143" s="30"/>
      <c r="AS1143" s="30"/>
      <c r="AT1143" s="30"/>
      <c r="AU1143" s="30"/>
      <c r="AV1143" s="30"/>
      <c r="AW1143" s="30"/>
      <c r="AX1143" s="30"/>
      <c r="AY1143" s="30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30"/>
      <c r="BK1143" s="30"/>
      <c r="BL1143" s="30"/>
      <c r="BM1143" s="30"/>
      <c r="BN1143" s="30"/>
      <c r="BO1143" s="30"/>
      <c r="BP1143" s="30"/>
      <c r="BQ1143" s="30"/>
      <c r="BR1143" s="30"/>
      <c r="BS1143" s="30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30"/>
      <c r="CE1143" s="30"/>
      <c r="CF1143" s="30"/>
      <c r="CG1143" s="30"/>
      <c r="CH1143" s="30"/>
      <c r="CI1143" s="30"/>
      <c r="CJ1143" s="30"/>
      <c r="CK1143" s="30"/>
      <c r="CL1143" s="30"/>
      <c r="CM1143" s="30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</row>
    <row r="1144" spans="2:101" ht="15" hidden="1" customHeight="1" x14ac:dyDescent="0.25"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30"/>
      <c r="W1144" s="30"/>
      <c r="X1144" s="30"/>
      <c r="Y1144" s="30"/>
      <c r="Z1144" s="30"/>
      <c r="AA1144" s="30"/>
      <c r="AB1144" s="30"/>
      <c r="AC1144" s="30"/>
      <c r="AD1144" s="30"/>
      <c r="AE1144" s="30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30"/>
      <c r="AQ1144" s="30"/>
      <c r="AR1144" s="30"/>
      <c r="AS1144" s="30"/>
      <c r="AT1144" s="30"/>
      <c r="AU1144" s="30"/>
      <c r="AV1144" s="30"/>
      <c r="AW1144" s="30"/>
      <c r="AX1144" s="30"/>
      <c r="AY1144" s="30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30"/>
      <c r="BK1144" s="30"/>
      <c r="BL1144" s="30"/>
      <c r="BM1144" s="30"/>
      <c r="BN1144" s="30"/>
      <c r="BO1144" s="30"/>
      <c r="BP1144" s="30"/>
      <c r="BQ1144" s="30"/>
      <c r="BR1144" s="30"/>
      <c r="BS1144" s="30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30"/>
      <c r="CE1144" s="30"/>
      <c r="CF1144" s="30"/>
      <c r="CG1144" s="30"/>
      <c r="CH1144" s="30"/>
      <c r="CI1144" s="30"/>
      <c r="CJ1144" s="30"/>
      <c r="CK1144" s="30"/>
      <c r="CL1144" s="30"/>
      <c r="CM1144" s="30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</row>
    <row r="1145" spans="2:101" ht="15" hidden="1" customHeight="1" x14ac:dyDescent="0.25"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30"/>
      <c r="W1145" s="30"/>
      <c r="X1145" s="30"/>
      <c r="Y1145" s="30"/>
      <c r="Z1145" s="30"/>
      <c r="AA1145" s="30"/>
      <c r="AB1145" s="30"/>
      <c r="AC1145" s="30"/>
      <c r="AD1145" s="30"/>
      <c r="AE1145" s="30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30"/>
      <c r="AQ1145" s="30"/>
      <c r="AR1145" s="30"/>
      <c r="AS1145" s="30"/>
      <c r="AT1145" s="30"/>
      <c r="AU1145" s="30"/>
      <c r="AV1145" s="30"/>
      <c r="AW1145" s="30"/>
      <c r="AX1145" s="30"/>
      <c r="AY1145" s="30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30"/>
      <c r="BK1145" s="30"/>
      <c r="BL1145" s="30"/>
      <c r="BM1145" s="30"/>
      <c r="BN1145" s="30"/>
      <c r="BO1145" s="30"/>
      <c r="BP1145" s="30"/>
      <c r="BQ1145" s="30"/>
      <c r="BR1145" s="30"/>
      <c r="BS1145" s="30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30"/>
      <c r="CE1145" s="30"/>
      <c r="CF1145" s="30"/>
      <c r="CG1145" s="30"/>
      <c r="CH1145" s="30"/>
      <c r="CI1145" s="30"/>
      <c r="CJ1145" s="30"/>
      <c r="CK1145" s="30"/>
      <c r="CL1145" s="30"/>
      <c r="CM1145" s="30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</row>
    <row r="1146" spans="2:101" ht="15" hidden="1" customHeight="1" x14ac:dyDescent="0.25"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30"/>
      <c r="W1146" s="30"/>
      <c r="X1146" s="30"/>
      <c r="Y1146" s="30"/>
      <c r="Z1146" s="30"/>
      <c r="AA1146" s="30"/>
      <c r="AB1146" s="30"/>
      <c r="AC1146" s="30"/>
      <c r="AD1146" s="30"/>
      <c r="AE1146" s="30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30"/>
      <c r="AQ1146" s="30"/>
      <c r="AR1146" s="30"/>
      <c r="AS1146" s="30"/>
      <c r="AT1146" s="30"/>
      <c r="AU1146" s="30"/>
      <c r="AV1146" s="30"/>
      <c r="AW1146" s="30"/>
      <c r="AX1146" s="30"/>
      <c r="AY1146" s="30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30"/>
      <c r="BK1146" s="30"/>
      <c r="BL1146" s="30"/>
      <c r="BM1146" s="30"/>
      <c r="BN1146" s="30"/>
      <c r="BO1146" s="30"/>
      <c r="BP1146" s="30"/>
      <c r="BQ1146" s="30"/>
      <c r="BR1146" s="30"/>
      <c r="BS1146" s="30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30"/>
      <c r="CE1146" s="30"/>
      <c r="CF1146" s="30"/>
      <c r="CG1146" s="30"/>
      <c r="CH1146" s="30"/>
      <c r="CI1146" s="30"/>
      <c r="CJ1146" s="30"/>
      <c r="CK1146" s="30"/>
      <c r="CL1146" s="30"/>
      <c r="CM1146" s="30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</row>
    <row r="1147" spans="2:101" ht="15" hidden="1" customHeight="1" x14ac:dyDescent="0.25"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30"/>
      <c r="W1147" s="30"/>
      <c r="X1147" s="30"/>
      <c r="Y1147" s="30"/>
      <c r="Z1147" s="30"/>
      <c r="AA1147" s="30"/>
      <c r="AB1147" s="30"/>
      <c r="AC1147" s="30"/>
      <c r="AD1147" s="30"/>
      <c r="AE1147" s="30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30"/>
      <c r="AQ1147" s="30"/>
      <c r="AR1147" s="30"/>
      <c r="AS1147" s="30"/>
      <c r="AT1147" s="30"/>
      <c r="AU1147" s="30"/>
      <c r="AV1147" s="30"/>
      <c r="AW1147" s="30"/>
      <c r="AX1147" s="30"/>
      <c r="AY1147" s="30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30"/>
      <c r="BK1147" s="30"/>
      <c r="BL1147" s="30"/>
      <c r="BM1147" s="30"/>
      <c r="BN1147" s="30"/>
      <c r="BO1147" s="30"/>
      <c r="BP1147" s="30"/>
      <c r="BQ1147" s="30"/>
      <c r="BR1147" s="30"/>
      <c r="BS1147" s="30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30"/>
      <c r="CE1147" s="30"/>
      <c r="CF1147" s="30"/>
      <c r="CG1147" s="30"/>
      <c r="CH1147" s="30"/>
      <c r="CI1147" s="30"/>
      <c r="CJ1147" s="30"/>
      <c r="CK1147" s="30"/>
      <c r="CL1147" s="30"/>
      <c r="CM1147" s="30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</row>
    <row r="1148" spans="2:101" ht="15" hidden="1" customHeight="1" x14ac:dyDescent="0.25"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30"/>
      <c r="W1148" s="30"/>
      <c r="X1148" s="30"/>
      <c r="Y1148" s="30"/>
      <c r="Z1148" s="30"/>
      <c r="AA1148" s="30"/>
      <c r="AB1148" s="30"/>
      <c r="AC1148" s="30"/>
      <c r="AD1148" s="30"/>
      <c r="AE1148" s="30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30"/>
      <c r="AQ1148" s="30"/>
      <c r="AR1148" s="30"/>
      <c r="AS1148" s="30"/>
      <c r="AT1148" s="30"/>
      <c r="AU1148" s="30"/>
      <c r="AV1148" s="30"/>
      <c r="AW1148" s="30"/>
      <c r="AX1148" s="30"/>
      <c r="AY1148" s="30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30"/>
      <c r="BK1148" s="30"/>
      <c r="BL1148" s="30"/>
      <c r="BM1148" s="30"/>
      <c r="BN1148" s="30"/>
      <c r="BO1148" s="30"/>
      <c r="BP1148" s="30"/>
      <c r="BQ1148" s="30"/>
      <c r="BR1148" s="30"/>
      <c r="BS1148" s="30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30"/>
      <c r="CE1148" s="30"/>
      <c r="CF1148" s="30"/>
      <c r="CG1148" s="30"/>
      <c r="CH1148" s="30"/>
      <c r="CI1148" s="30"/>
      <c r="CJ1148" s="30"/>
      <c r="CK1148" s="30"/>
      <c r="CL1148" s="30"/>
      <c r="CM1148" s="30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</row>
    <row r="1149" spans="2:101" ht="15" hidden="1" customHeight="1" x14ac:dyDescent="0.25"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30"/>
      <c r="W1149" s="30"/>
      <c r="X1149" s="30"/>
      <c r="Y1149" s="30"/>
      <c r="Z1149" s="30"/>
      <c r="AA1149" s="30"/>
      <c r="AB1149" s="30"/>
      <c r="AC1149" s="30"/>
      <c r="AD1149" s="30"/>
      <c r="AE1149" s="30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30"/>
      <c r="AQ1149" s="30"/>
      <c r="AR1149" s="30"/>
      <c r="AS1149" s="30"/>
      <c r="AT1149" s="30"/>
      <c r="AU1149" s="30"/>
      <c r="AV1149" s="30"/>
      <c r="AW1149" s="30"/>
      <c r="AX1149" s="30"/>
      <c r="AY1149" s="30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30"/>
      <c r="BK1149" s="30"/>
      <c r="BL1149" s="30"/>
      <c r="BM1149" s="30"/>
      <c r="BN1149" s="30"/>
      <c r="BO1149" s="30"/>
      <c r="BP1149" s="30"/>
      <c r="BQ1149" s="30"/>
      <c r="BR1149" s="30"/>
      <c r="BS1149" s="30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30"/>
      <c r="CE1149" s="30"/>
      <c r="CF1149" s="30"/>
      <c r="CG1149" s="30"/>
      <c r="CH1149" s="30"/>
      <c r="CI1149" s="30"/>
      <c r="CJ1149" s="30"/>
      <c r="CK1149" s="30"/>
      <c r="CL1149" s="30"/>
      <c r="CM1149" s="30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</row>
    <row r="1150" spans="2:101" ht="15" hidden="1" customHeight="1" x14ac:dyDescent="0.25"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30"/>
      <c r="W1150" s="30"/>
      <c r="X1150" s="30"/>
      <c r="Y1150" s="30"/>
      <c r="Z1150" s="30"/>
      <c r="AA1150" s="30"/>
      <c r="AB1150" s="30"/>
      <c r="AC1150" s="30"/>
      <c r="AD1150" s="30"/>
      <c r="AE1150" s="30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30"/>
      <c r="AQ1150" s="30"/>
      <c r="AR1150" s="30"/>
      <c r="AS1150" s="30"/>
      <c r="AT1150" s="30"/>
      <c r="AU1150" s="30"/>
      <c r="AV1150" s="30"/>
      <c r="AW1150" s="30"/>
      <c r="AX1150" s="30"/>
      <c r="AY1150" s="30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30"/>
      <c r="BK1150" s="30"/>
      <c r="BL1150" s="30"/>
      <c r="BM1150" s="30"/>
      <c r="BN1150" s="30"/>
      <c r="BO1150" s="30"/>
      <c r="BP1150" s="30"/>
      <c r="BQ1150" s="30"/>
      <c r="BR1150" s="30"/>
      <c r="BS1150" s="30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30"/>
      <c r="CE1150" s="30"/>
      <c r="CF1150" s="30"/>
      <c r="CG1150" s="30"/>
      <c r="CH1150" s="30"/>
      <c r="CI1150" s="30"/>
      <c r="CJ1150" s="30"/>
      <c r="CK1150" s="30"/>
      <c r="CL1150" s="30"/>
      <c r="CM1150" s="30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</row>
    <row r="1151" spans="2:101" ht="15" hidden="1" customHeight="1" x14ac:dyDescent="0.25"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30"/>
      <c r="W1151" s="30"/>
      <c r="X1151" s="30"/>
      <c r="Y1151" s="30"/>
      <c r="Z1151" s="30"/>
      <c r="AA1151" s="30"/>
      <c r="AB1151" s="30"/>
      <c r="AC1151" s="30"/>
      <c r="AD1151" s="30"/>
      <c r="AE1151" s="30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30"/>
      <c r="AQ1151" s="30"/>
      <c r="AR1151" s="30"/>
      <c r="AS1151" s="30"/>
      <c r="AT1151" s="30"/>
      <c r="AU1151" s="30"/>
      <c r="AV1151" s="30"/>
      <c r="AW1151" s="30"/>
      <c r="AX1151" s="30"/>
      <c r="AY1151" s="30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30"/>
      <c r="BK1151" s="30"/>
      <c r="BL1151" s="30"/>
      <c r="BM1151" s="30"/>
      <c r="BN1151" s="30"/>
      <c r="BO1151" s="30"/>
      <c r="BP1151" s="30"/>
      <c r="BQ1151" s="30"/>
      <c r="BR1151" s="30"/>
      <c r="BS1151" s="30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30"/>
      <c r="CE1151" s="30"/>
      <c r="CF1151" s="30"/>
      <c r="CG1151" s="30"/>
      <c r="CH1151" s="30"/>
      <c r="CI1151" s="30"/>
      <c r="CJ1151" s="30"/>
      <c r="CK1151" s="30"/>
      <c r="CL1151" s="30"/>
      <c r="CM1151" s="30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</row>
    <row r="1152" spans="2:101" ht="15" hidden="1" customHeight="1" x14ac:dyDescent="0.25"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30"/>
      <c r="W1152" s="30"/>
      <c r="X1152" s="30"/>
      <c r="Y1152" s="30"/>
      <c r="Z1152" s="30"/>
      <c r="AA1152" s="30"/>
      <c r="AB1152" s="30"/>
      <c r="AC1152" s="30"/>
      <c r="AD1152" s="30"/>
      <c r="AE1152" s="30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30"/>
      <c r="AQ1152" s="30"/>
      <c r="AR1152" s="30"/>
      <c r="AS1152" s="30"/>
      <c r="AT1152" s="30"/>
      <c r="AU1152" s="30"/>
      <c r="AV1152" s="30"/>
      <c r="AW1152" s="30"/>
      <c r="AX1152" s="30"/>
      <c r="AY1152" s="30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30"/>
      <c r="BK1152" s="30"/>
      <c r="BL1152" s="30"/>
      <c r="BM1152" s="30"/>
      <c r="BN1152" s="30"/>
      <c r="BO1152" s="30"/>
      <c r="BP1152" s="30"/>
      <c r="BQ1152" s="30"/>
      <c r="BR1152" s="30"/>
      <c r="BS1152" s="30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30"/>
      <c r="CE1152" s="30"/>
      <c r="CF1152" s="30"/>
      <c r="CG1152" s="30"/>
      <c r="CH1152" s="30"/>
      <c r="CI1152" s="30"/>
      <c r="CJ1152" s="30"/>
      <c r="CK1152" s="30"/>
      <c r="CL1152" s="30"/>
      <c r="CM1152" s="30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</row>
    <row r="1153" spans="2:101" ht="15" hidden="1" customHeight="1" x14ac:dyDescent="0.25"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30"/>
      <c r="W1153" s="30"/>
      <c r="X1153" s="30"/>
      <c r="Y1153" s="30"/>
      <c r="Z1153" s="30"/>
      <c r="AA1153" s="30"/>
      <c r="AB1153" s="30"/>
      <c r="AC1153" s="30"/>
      <c r="AD1153" s="30"/>
      <c r="AE1153" s="30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30"/>
      <c r="AQ1153" s="30"/>
      <c r="AR1153" s="30"/>
      <c r="AS1153" s="30"/>
      <c r="AT1153" s="30"/>
      <c r="AU1153" s="30"/>
      <c r="AV1153" s="30"/>
      <c r="AW1153" s="30"/>
      <c r="AX1153" s="30"/>
      <c r="AY1153" s="30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30"/>
      <c r="BK1153" s="30"/>
      <c r="BL1153" s="30"/>
      <c r="BM1153" s="30"/>
      <c r="BN1153" s="30"/>
      <c r="BO1153" s="30"/>
      <c r="BP1153" s="30"/>
      <c r="BQ1153" s="30"/>
      <c r="BR1153" s="30"/>
      <c r="BS1153" s="30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30"/>
      <c r="CE1153" s="30"/>
      <c r="CF1153" s="30"/>
      <c r="CG1153" s="30"/>
      <c r="CH1153" s="30"/>
      <c r="CI1153" s="30"/>
      <c r="CJ1153" s="30"/>
      <c r="CK1153" s="30"/>
      <c r="CL1153" s="30"/>
      <c r="CM1153" s="30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</row>
    <row r="1154" spans="2:101" ht="15" hidden="1" customHeight="1" x14ac:dyDescent="0.25"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30"/>
      <c r="W1154" s="30"/>
      <c r="X1154" s="30"/>
      <c r="Y1154" s="30"/>
      <c r="Z1154" s="30"/>
      <c r="AA1154" s="30"/>
      <c r="AB1154" s="30"/>
      <c r="AC1154" s="30"/>
      <c r="AD1154" s="30"/>
      <c r="AE1154" s="30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30"/>
      <c r="AQ1154" s="30"/>
      <c r="AR1154" s="30"/>
      <c r="AS1154" s="30"/>
      <c r="AT1154" s="30"/>
      <c r="AU1154" s="30"/>
      <c r="AV1154" s="30"/>
      <c r="AW1154" s="30"/>
      <c r="AX1154" s="30"/>
      <c r="AY1154" s="30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30"/>
      <c r="BK1154" s="30"/>
      <c r="BL1154" s="30"/>
      <c r="BM1154" s="30"/>
      <c r="BN1154" s="30"/>
      <c r="BO1154" s="30"/>
      <c r="BP1154" s="30"/>
      <c r="BQ1154" s="30"/>
      <c r="BR1154" s="30"/>
      <c r="BS1154" s="30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30"/>
      <c r="CE1154" s="30"/>
      <c r="CF1154" s="30"/>
      <c r="CG1154" s="30"/>
      <c r="CH1154" s="30"/>
      <c r="CI1154" s="30"/>
      <c r="CJ1154" s="30"/>
      <c r="CK1154" s="30"/>
      <c r="CL1154" s="30"/>
      <c r="CM1154" s="30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</row>
    <row r="1155" spans="2:101" ht="15" hidden="1" customHeight="1" x14ac:dyDescent="0.25"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30"/>
      <c r="W1155" s="30"/>
      <c r="X1155" s="30"/>
      <c r="Y1155" s="30"/>
      <c r="Z1155" s="30"/>
      <c r="AA1155" s="30"/>
      <c r="AB1155" s="30"/>
      <c r="AC1155" s="30"/>
      <c r="AD1155" s="30"/>
      <c r="AE1155" s="30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30"/>
      <c r="AQ1155" s="30"/>
      <c r="AR1155" s="30"/>
      <c r="AS1155" s="30"/>
      <c r="AT1155" s="30"/>
      <c r="AU1155" s="30"/>
      <c r="AV1155" s="30"/>
      <c r="AW1155" s="30"/>
      <c r="AX1155" s="30"/>
      <c r="AY1155" s="30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30"/>
      <c r="BK1155" s="30"/>
      <c r="BL1155" s="30"/>
      <c r="BM1155" s="30"/>
      <c r="BN1155" s="30"/>
      <c r="BO1155" s="30"/>
      <c r="BP1155" s="30"/>
      <c r="BQ1155" s="30"/>
      <c r="BR1155" s="30"/>
      <c r="BS1155" s="30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30"/>
      <c r="CE1155" s="30"/>
      <c r="CF1155" s="30"/>
      <c r="CG1155" s="30"/>
      <c r="CH1155" s="30"/>
      <c r="CI1155" s="30"/>
      <c r="CJ1155" s="30"/>
      <c r="CK1155" s="30"/>
      <c r="CL1155" s="30"/>
      <c r="CM1155" s="30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</row>
    <row r="1156" spans="2:101" ht="15" hidden="1" customHeight="1" x14ac:dyDescent="0.25"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30"/>
      <c r="W1156" s="30"/>
      <c r="X1156" s="30"/>
      <c r="Y1156" s="30"/>
      <c r="Z1156" s="30"/>
      <c r="AA1156" s="30"/>
      <c r="AB1156" s="30"/>
      <c r="AC1156" s="30"/>
      <c r="AD1156" s="30"/>
      <c r="AE1156" s="30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30"/>
      <c r="AQ1156" s="30"/>
      <c r="AR1156" s="30"/>
      <c r="AS1156" s="30"/>
      <c r="AT1156" s="30"/>
      <c r="AU1156" s="30"/>
      <c r="AV1156" s="30"/>
      <c r="AW1156" s="30"/>
      <c r="AX1156" s="30"/>
      <c r="AY1156" s="30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30"/>
      <c r="BK1156" s="30"/>
      <c r="BL1156" s="30"/>
      <c r="BM1156" s="30"/>
      <c r="BN1156" s="30"/>
      <c r="BO1156" s="30"/>
      <c r="BP1156" s="30"/>
      <c r="BQ1156" s="30"/>
      <c r="BR1156" s="30"/>
      <c r="BS1156" s="30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30"/>
      <c r="CE1156" s="30"/>
      <c r="CF1156" s="30"/>
      <c r="CG1156" s="30"/>
      <c r="CH1156" s="30"/>
      <c r="CI1156" s="30"/>
      <c r="CJ1156" s="30"/>
      <c r="CK1156" s="30"/>
      <c r="CL1156" s="30"/>
      <c r="CM1156" s="30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</row>
    <row r="1157" spans="2:101" ht="15" hidden="1" customHeight="1" x14ac:dyDescent="0.25"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30"/>
      <c r="W1157" s="30"/>
      <c r="X1157" s="30"/>
      <c r="Y1157" s="30"/>
      <c r="Z1157" s="30"/>
      <c r="AA1157" s="30"/>
      <c r="AB1157" s="30"/>
      <c r="AC1157" s="30"/>
      <c r="AD1157" s="30"/>
      <c r="AE1157" s="30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30"/>
      <c r="AQ1157" s="30"/>
      <c r="AR1157" s="30"/>
      <c r="AS1157" s="30"/>
      <c r="AT1157" s="30"/>
      <c r="AU1157" s="30"/>
      <c r="AV1157" s="30"/>
      <c r="AW1157" s="30"/>
      <c r="AX1157" s="30"/>
      <c r="AY1157" s="30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30"/>
      <c r="BK1157" s="30"/>
      <c r="BL1157" s="30"/>
      <c r="BM1157" s="30"/>
      <c r="BN1157" s="30"/>
      <c r="BO1157" s="30"/>
      <c r="BP1157" s="30"/>
      <c r="BQ1157" s="30"/>
      <c r="BR1157" s="30"/>
      <c r="BS1157" s="30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30"/>
      <c r="CE1157" s="30"/>
      <c r="CF1157" s="30"/>
      <c r="CG1157" s="30"/>
      <c r="CH1157" s="30"/>
      <c r="CI1157" s="30"/>
      <c r="CJ1157" s="30"/>
      <c r="CK1157" s="30"/>
      <c r="CL1157" s="30"/>
      <c r="CM1157" s="30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</row>
    <row r="1158" spans="2:101" ht="15" hidden="1" customHeight="1" x14ac:dyDescent="0.25"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30"/>
      <c r="W1158" s="30"/>
      <c r="X1158" s="30"/>
      <c r="Y1158" s="30"/>
      <c r="Z1158" s="30"/>
      <c r="AA1158" s="30"/>
      <c r="AB1158" s="30"/>
      <c r="AC1158" s="30"/>
      <c r="AD1158" s="30"/>
      <c r="AE1158" s="30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30"/>
      <c r="AQ1158" s="30"/>
      <c r="AR1158" s="30"/>
      <c r="AS1158" s="30"/>
      <c r="AT1158" s="30"/>
      <c r="AU1158" s="30"/>
      <c r="AV1158" s="30"/>
      <c r="AW1158" s="30"/>
      <c r="AX1158" s="30"/>
      <c r="AY1158" s="30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30"/>
      <c r="BK1158" s="30"/>
      <c r="BL1158" s="30"/>
      <c r="BM1158" s="30"/>
      <c r="BN1158" s="30"/>
      <c r="BO1158" s="30"/>
      <c r="BP1158" s="30"/>
      <c r="BQ1158" s="30"/>
      <c r="BR1158" s="30"/>
      <c r="BS1158" s="30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30"/>
      <c r="CE1158" s="30"/>
      <c r="CF1158" s="30"/>
      <c r="CG1158" s="30"/>
      <c r="CH1158" s="30"/>
      <c r="CI1158" s="30"/>
      <c r="CJ1158" s="30"/>
      <c r="CK1158" s="30"/>
      <c r="CL1158" s="30"/>
      <c r="CM1158" s="30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</row>
    <row r="1159" spans="2:101" ht="15" hidden="1" customHeight="1" x14ac:dyDescent="0.25"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30"/>
      <c r="W1159" s="30"/>
      <c r="X1159" s="30"/>
      <c r="Y1159" s="30"/>
      <c r="Z1159" s="30"/>
      <c r="AA1159" s="30"/>
      <c r="AB1159" s="30"/>
      <c r="AC1159" s="30"/>
      <c r="AD1159" s="30"/>
      <c r="AE1159" s="30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30"/>
      <c r="AQ1159" s="30"/>
      <c r="AR1159" s="30"/>
      <c r="AS1159" s="30"/>
      <c r="AT1159" s="30"/>
      <c r="AU1159" s="30"/>
      <c r="AV1159" s="30"/>
      <c r="AW1159" s="30"/>
      <c r="AX1159" s="30"/>
      <c r="AY1159" s="30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30"/>
      <c r="BK1159" s="30"/>
      <c r="BL1159" s="30"/>
      <c r="BM1159" s="30"/>
      <c r="BN1159" s="30"/>
      <c r="BO1159" s="30"/>
      <c r="BP1159" s="30"/>
      <c r="BQ1159" s="30"/>
      <c r="BR1159" s="30"/>
      <c r="BS1159" s="30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30"/>
      <c r="CE1159" s="30"/>
      <c r="CF1159" s="30"/>
      <c r="CG1159" s="30"/>
      <c r="CH1159" s="30"/>
      <c r="CI1159" s="30"/>
      <c r="CJ1159" s="30"/>
      <c r="CK1159" s="30"/>
      <c r="CL1159" s="30"/>
      <c r="CM1159" s="30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</row>
    <row r="1160" spans="2:101" ht="15" hidden="1" customHeight="1" x14ac:dyDescent="0.25"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30"/>
      <c r="W1160" s="30"/>
      <c r="X1160" s="30"/>
      <c r="Y1160" s="30"/>
      <c r="Z1160" s="30"/>
      <c r="AA1160" s="30"/>
      <c r="AB1160" s="30"/>
      <c r="AC1160" s="30"/>
      <c r="AD1160" s="30"/>
      <c r="AE1160" s="30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30"/>
      <c r="AQ1160" s="30"/>
      <c r="AR1160" s="30"/>
      <c r="AS1160" s="30"/>
      <c r="AT1160" s="30"/>
      <c r="AU1160" s="30"/>
      <c r="AV1160" s="30"/>
      <c r="AW1160" s="30"/>
      <c r="AX1160" s="30"/>
      <c r="AY1160" s="30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30"/>
      <c r="BK1160" s="30"/>
      <c r="BL1160" s="30"/>
      <c r="BM1160" s="30"/>
      <c r="BN1160" s="30"/>
      <c r="BO1160" s="30"/>
      <c r="BP1160" s="30"/>
      <c r="BQ1160" s="30"/>
      <c r="BR1160" s="30"/>
      <c r="BS1160" s="30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30"/>
      <c r="CE1160" s="30"/>
      <c r="CF1160" s="30"/>
      <c r="CG1160" s="30"/>
      <c r="CH1160" s="30"/>
      <c r="CI1160" s="30"/>
      <c r="CJ1160" s="30"/>
      <c r="CK1160" s="30"/>
      <c r="CL1160" s="30"/>
      <c r="CM1160" s="30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</row>
    <row r="1161" spans="2:101" ht="15" hidden="1" customHeight="1" x14ac:dyDescent="0.25"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30"/>
      <c r="W1161" s="30"/>
      <c r="X1161" s="30"/>
      <c r="Y1161" s="30"/>
      <c r="Z1161" s="30"/>
      <c r="AA1161" s="30"/>
      <c r="AB1161" s="30"/>
      <c r="AC1161" s="30"/>
      <c r="AD1161" s="30"/>
      <c r="AE1161" s="30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30"/>
      <c r="AQ1161" s="30"/>
      <c r="AR1161" s="30"/>
      <c r="AS1161" s="30"/>
      <c r="AT1161" s="30"/>
      <c r="AU1161" s="30"/>
      <c r="AV1161" s="30"/>
      <c r="AW1161" s="30"/>
      <c r="AX1161" s="30"/>
      <c r="AY1161" s="30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30"/>
      <c r="BK1161" s="30"/>
      <c r="BL1161" s="30"/>
      <c r="BM1161" s="30"/>
      <c r="BN1161" s="30"/>
      <c r="BO1161" s="30"/>
      <c r="BP1161" s="30"/>
      <c r="BQ1161" s="30"/>
      <c r="BR1161" s="30"/>
      <c r="BS1161" s="30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30"/>
      <c r="CE1161" s="30"/>
      <c r="CF1161" s="30"/>
      <c r="CG1161" s="30"/>
      <c r="CH1161" s="30"/>
      <c r="CI1161" s="30"/>
      <c r="CJ1161" s="30"/>
      <c r="CK1161" s="30"/>
      <c r="CL1161" s="30"/>
      <c r="CM1161" s="30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</row>
    <row r="1162" spans="2:101" ht="15" hidden="1" customHeight="1" x14ac:dyDescent="0.25"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30"/>
      <c r="W1162" s="30"/>
      <c r="X1162" s="30"/>
      <c r="Y1162" s="30"/>
      <c r="Z1162" s="30"/>
      <c r="AA1162" s="30"/>
      <c r="AB1162" s="30"/>
      <c r="AC1162" s="30"/>
      <c r="AD1162" s="30"/>
      <c r="AE1162" s="30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30"/>
      <c r="AQ1162" s="30"/>
      <c r="AR1162" s="30"/>
      <c r="AS1162" s="30"/>
      <c r="AT1162" s="30"/>
      <c r="AU1162" s="30"/>
      <c r="AV1162" s="30"/>
      <c r="AW1162" s="30"/>
      <c r="AX1162" s="30"/>
      <c r="AY1162" s="30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30"/>
      <c r="BK1162" s="30"/>
      <c r="BL1162" s="30"/>
      <c r="BM1162" s="30"/>
      <c r="BN1162" s="30"/>
      <c r="BO1162" s="30"/>
      <c r="BP1162" s="30"/>
      <c r="BQ1162" s="30"/>
      <c r="BR1162" s="30"/>
      <c r="BS1162" s="30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30"/>
      <c r="CE1162" s="30"/>
      <c r="CF1162" s="30"/>
      <c r="CG1162" s="30"/>
      <c r="CH1162" s="30"/>
      <c r="CI1162" s="30"/>
      <c r="CJ1162" s="30"/>
      <c r="CK1162" s="30"/>
      <c r="CL1162" s="30"/>
      <c r="CM1162" s="30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</row>
    <row r="1163" spans="2:101" ht="15" hidden="1" customHeight="1" x14ac:dyDescent="0.25"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30"/>
      <c r="W1163" s="30"/>
      <c r="X1163" s="30"/>
      <c r="Y1163" s="30"/>
      <c r="Z1163" s="30"/>
      <c r="AA1163" s="30"/>
      <c r="AB1163" s="30"/>
      <c r="AC1163" s="30"/>
      <c r="AD1163" s="30"/>
      <c r="AE1163" s="30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30"/>
      <c r="AQ1163" s="30"/>
      <c r="AR1163" s="30"/>
      <c r="AS1163" s="30"/>
      <c r="AT1163" s="30"/>
      <c r="AU1163" s="30"/>
      <c r="AV1163" s="30"/>
      <c r="AW1163" s="30"/>
      <c r="AX1163" s="30"/>
      <c r="AY1163" s="30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30"/>
      <c r="BK1163" s="30"/>
      <c r="BL1163" s="30"/>
      <c r="BM1163" s="30"/>
      <c r="BN1163" s="30"/>
      <c r="BO1163" s="30"/>
      <c r="BP1163" s="30"/>
      <c r="BQ1163" s="30"/>
      <c r="BR1163" s="30"/>
      <c r="BS1163" s="30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30"/>
      <c r="CE1163" s="30"/>
      <c r="CF1163" s="30"/>
      <c r="CG1163" s="30"/>
      <c r="CH1163" s="30"/>
      <c r="CI1163" s="30"/>
      <c r="CJ1163" s="30"/>
      <c r="CK1163" s="30"/>
      <c r="CL1163" s="30"/>
      <c r="CM1163" s="30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</row>
    <row r="1164" spans="2:101" ht="15" hidden="1" customHeight="1" x14ac:dyDescent="0.25"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30"/>
      <c r="W1164" s="30"/>
      <c r="X1164" s="30"/>
      <c r="Y1164" s="30"/>
      <c r="Z1164" s="30"/>
      <c r="AA1164" s="30"/>
      <c r="AB1164" s="30"/>
      <c r="AC1164" s="30"/>
      <c r="AD1164" s="30"/>
      <c r="AE1164" s="30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30"/>
      <c r="AQ1164" s="30"/>
      <c r="AR1164" s="30"/>
      <c r="AS1164" s="30"/>
      <c r="AT1164" s="30"/>
      <c r="AU1164" s="30"/>
      <c r="AV1164" s="30"/>
      <c r="AW1164" s="30"/>
      <c r="AX1164" s="30"/>
      <c r="AY1164" s="30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30"/>
      <c r="BK1164" s="30"/>
      <c r="BL1164" s="30"/>
      <c r="BM1164" s="30"/>
      <c r="BN1164" s="30"/>
      <c r="BO1164" s="30"/>
      <c r="BP1164" s="30"/>
      <c r="BQ1164" s="30"/>
      <c r="BR1164" s="30"/>
      <c r="BS1164" s="30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30"/>
      <c r="CE1164" s="30"/>
      <c r="CF1164" s="30"/>
      <c r="CG1164" s="30"/>
      <c r="CH1164" s="30"/>
      <c r="CI1164" s="30"/>
      <c r="CJ1164" s="30"/>
      <c r="CK1164" s="30"/>
      <c r="CL1164" s="30"/>
      <c r="CM1164" s="30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</row>
    <row r="1165" spans="2:101" ht="15" hidden="1" customHeight="1" x14ac:dyDescent="0.25"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30"/>
      <c r="W1165" s="30"/>
      <c r="X1165" s="30"/>
      <c r="Y1165" s="30"/>
      <c r="Z1165" s="30"/>
      <c r="AA1165" s="30"/>
      <c r="AB1165" s="30"/>
      <c r="AC1165" s="30"/>
      <c r="AD1165" s="30"/>
      <c r="AE1165" s="30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30"/>
      <c r="AQ1165" s="30"/>
      <c r="AR1165" s="30"/>
      <c r="AS1165" s="30"/>
      <c r="AT1165" s="30"/>
      <c r="AU1165" s="30"/>
      <c r="AV1165" s="30"/>
      <c r="AW1165" s="30"/>
      <c r="AX1165" s="30"/>
      <c r="AY1165" s="30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30"/>
      <c r="BK1165" s="30"/>
      <c r="BL1165" s="30"/>
      <c r="BM1165" s="30"/>
      <c r="BN1165" s="30"/>
      <c r="BO1165" s="30"/>
      <c r="BP1165" s="30"/>
      <c r="BQ1165" s="30"/>
      <c r="BR1165" s="30"/>
      <c r="BS1165" s="30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30"/>
      <c r="CE1165" s="30"/>
      <c r="CF1165" s="30"/>
      <c r="CG1165" s="30"/>
      <c r="CH1165" s="30"/>
      <c r="CI1165" s="30"/>
      <c r="CJ1165" s="30"/>
      <c r="CK1165" s="30"/>
      <c r="CL1165" s="30"/>
      <c r="CM1165" s="30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</row>
    <row r="1166" spans="2:101" ht="15" hidden="1" customHeight="1" x14ac:dyDescent="0.25"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30"/>
      <c r="W1166" s="30"/>
      <c r="X1166" s="30"/>
      <c r="Y1166" s="30"/>
      <c r="Z1166" s="30"/>
      <c r="AA1166" s="30"/>
      <c r="AB1166" s="30"/>
      <c r="AC1166" s="30"/>
      <c r="AD1166" s="30"/>
      <c r="AE1166" s="30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30"/>
      <c r="AQ1166" s="30"/>
      <c r="AR1166" s="30"/>
      <c r="AS1166" s="30"/>
      <c r="AT1166" s="30"/>
      <c r="AU1166" s="30"/>
      <c r="AV1166" s="30"/>
      <c r="AW1166" s="30"/>
      <c r="AX1166" s="30"/>
      <c r="AY1166" s="30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30"/>
      <c r="BK1166" s="30"/>
      <c r="BL1166" s="30"/>
      <c r="BM1166" s="30"/>
      <c r="BN1166" s="30"/>
      <c r="BO1166" s="30"/>
      <c r="BP1166" s="30"/>
      <c r="BQ1166" s="30"/>
      <c r="BR1166" s="30"/>
      <c r="BS1166" s="30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30"/>
      <c r="CE1166" s="30"/>
      <c r="CF1166" s="30"/>
      <c r="CG1166" s="30"/>
      <c r="CH1166" s="30"/>
      <c r="CI1166" s="30"/>
      <c r="CJ1166" s="30"/>
      <c r="CK1166" s="30"/>
      <c r="CL1166" s="30"/>
      <c r="CM1166" s="30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</row>
    <row r="1167" spans="2:101" ht="15" hidden="1" customHeight="1" x14ac:dyDescent="0.25"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30"/>
      <c r="AQ1167" s="30"/>
      <c r="AR1167" s="30"/>
      <c r="AS1167" s="30"/>
      <c r="AT1167" s="30"/>
      <c r="AU1167" s="30"/>
      <c r="AV1167" s="30"/>
      <c r="AW1167" s="30"/>
      <c r="AX1167" s="30"/>
      <c r="AY1167" s="30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30"/>
      <c r="BK1167" s="30"/>
      <c r="BL1167" s="30"/>
      <c r="BM1167" s="30"/>
      <c r="BN1167" s="30"/>
      <c r="BO1167" s="30"/>
      <c r="BP1167" s="30"/>
      <c r="BQ1167" s="30"/>
      <c r="BR1167" s="30"/>
      <c r="BS1167" s="30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30"/>
      <c r="CE1167" s="30"/>
      <c r="CF1167" s="30"/>
      <c r="CG1167" s="30"/>
      <c r="CH1167" s="30"/>
      <c r="CI1167" s="30"/>
      <c r="CJ1167" s="30"/>
      <c r="CK1167" s="30"/>
      <c r="CL1167" s="30"/>
      <c r="CM1167" s="30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</row>
    <row r="1168" spans="2:101" ht="15" hidden="1" customHeight="1" x14ac:dyDescent="0.25"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30"/>
      <c r="W1168" s="30"/>
      <c r="X1168" s="30"/>
      <c r="Y1168" s="30"/>
      <c r="Z1168" s="30"/>
      <c r="AA1168" s="30"/>
      <c r="AB1168" s="30"/>
      <c r="AC1168" s="30"/>
      <c r="AD1168" s="30"/>
      <c r="AE1168" s="30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30"/>
      <c r="AQ1168" s="30"/>
      <c r="AR1168" s="30"/>
      <c r="AS1168" s="30"/>
      <c r="AT1168" s="30"/>
      <c r="AU1168" s="30"/>
      <c r="AV1168" s="30"/>
      <c r="AW1168" s="30"/>
      <c r="AX1168" s="30"/>
      <c r="AY1168" s="30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30"/>
      <c r="BK1168" s="30"/>
      <c r="BL1168" s="30"/>
      <c r="BM1168" s="30"/>
      <c r="BN1168" s="30"/>
      <c r="BO1168" s="30"/>
      <c r="BP1168" s="30"/>
      <c r="BQ1168" s="30"/>
      <c r="BR1168" s="30"/>
      <c r="BS1168" s="30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30"/>
      <c r="CE1168" s="30"/>
      <c r="CF1168" s="30"/>
      <c r="CG1168" s="30"/>
      <c r="CH1168" s="30"/>
      <c r="CI1168" s="30"/>
      <c r="CJ1168" s="30"/>
      <c r="CK1168" s="30"/>
      <c r="CL1168" s="30"/>
      <c r="CM1168" s="30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</row>
    <row r="1169" spans="2:101" ht="15" hidden="1" customHeight="1" x14ac:dyDescent="0.25"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30"/>
      <c r="W1169" s="30"/>
      <c r="X1169" s="30"/>
      <c r="Y1169" s="30"/>
      <c r="Z1169" s="30"/>
      <c r="AA1169" s="30"/>
      <c r="AB1169" s="30"/>
      <c r="AC1169" s="30"/>
      <c r="AD1169" s="30"/>
      <c r="AE1169" s="30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30"/>
      <c r="AQ1169" s="30"/>
      <c r="AR1169" s="30"/>
      <c r="AS1169" s="30"/>
      <c r="AT1169" s="30"/>
      <c r="AU1169" s="30"/>
      <c r="AV1169" s="30"/>
      <c r="AW1169" s="30"/>
      <c r="AX1169" s="30"/>
      <c r="AY1169" s="30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30"/>
      <c r="BK1169" s="30"/>
      <c r="BL1169" s="30"/>
      <c r="BM1169" s="30"/>
      <c r="BN1169" s="30"/>
      <c r="BO1169" s="30"/>
      <c r="BP1169" s="30"/>
      <c r="BQ1169" s="30"/>
      <c r="BR1169" s="30"/>
      <c r="BS1169" s="30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30"/>
      <c r="CE1169" s="30"/>
      <c r="CF1169" s="30"/>
      <c r="CG1169" s="30"/>
      <c r="CH1169" s="30"/>
      <c r="CI1169" s="30"/>
      <c r="CJ1169" s="30"/>
      <c r="CK1169" s="30"/>
      <c r="CL1169" s="30"/>
      <c r="CM1169" s="30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</row>
    <row r="1170" spans="2:101" ht="15" hidden="1" customHeight="1" x14ac:dyDescent="0.25"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30"/>
      <c r="W1170" s="30"/>
      <c r="X1170" s="30"/>
      <c r="Y1170" s="30"/>
      <c r="Z1170" s="30"/>
      <c r="AA1170" s="30"/>
      <c r="AB1170" s="30"/>
      <c r="AC1170" s="30"/>
      <c r="AD1170" s="30"/>
      <c r="AE1170" s="30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30"/>
      <c r="AQ1170" s="30"/>
      <c r="AR1170" s="30"/>
      <c r="AS1170" s="30"/>
      <c r="AT1170" s="30"/>
      <c r="AU1170" s="30"/>
      <c r="AV1170" s="30"/>
      <c r="AW1170" s="30"/>
      <c r="AX1170" s="30"/>
      <c r="AY1170" s="30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30"/>
      <c r="BK1170" s="30"/>
      <c r="BL1170" s="30"/>
      <c r="BM1170" s="30"/>
      <c r="BN1170" s="30"/>
      <c r="BO1170" s="30"/>
      <c r="BP1170" s="30"/>
      <c r="BQ1170" s="30"/>
      <c r="BR1170" s="30"/>
      <c r="BS1170" s="30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30"/>
      <c r="CE1170" s="30"/>
      <c r="CF1170" s="30"/>
      <c r="CG1170" s="30"/>
      <c r="CH1170" s="30"/>
      <c r="CI1170" s="30"/>
      <c r="CJ1170" s="30"/>
      <c r="CK1170" s="30"/>
      <c r="CL1170" s="30"/>
      <c r="CM1170" s="30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</row>
    <row r="1171" spans="2:101" ht="15" hidden="1" customHeight="1" x14ac:dyDescent="0.25"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30"/>
      <c r="W1171" s="30"/>
      <c r="X1171" s="30"/>
      <c r="Y1171" s="30"/>
      <c r="Z1171" s="30"/>
      <c r="AA1171" s="30"/>
      <c r="AB1171" s="30"/>
      <c r="AC1171" s="30"/>
      <c r="AD1171" s="30"/>
      <c r="AE1171" s="30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30"/>
      <c r="AQ1171" s="30"/>
      <c r="AR1171" s="30"/>
      <c r="AS1171" s="30"/>
      <c r="AT1171" s="30"/>
      <c r="AU1171" s="30"/>
      <c r="AV1171" s="30"/>
      <c r="AW1171" s="30"/>
      <c r="AX1171" s="30"/>
      <c r="AY1171" s="30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30"/>
      <c r="BK1171" s="30"/>
      <c r="BL1171" s="30"/>
      <c r="BM1171" s="30"/>
      <c r="BN1171" s="30"/>
      <c r="BO1171" s="30"/>
      <c r="BP1171" s="30"/>
      <c r="BQ1171" s="30"/>
      <c r="BR1171" s="30"/>
      <c r="BS1171" s="30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30"/>
      <c r="CE1171" s="30"/>
      <c r="CF1171" s="30"/>
      <c r="CG1171" s="30"/>
      <c r="CH1171" s="30"/>
      <c r="CI1171" s="30"/>
      <c r="CJ1171" s="30"/>
      <c r="CK1171" s="30"/>
      <c r="CL1171" s="30"/>
      <c r="CM1171" s="30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</row>
    <row r="1172" spans="2:101" ht="15" hidden="1" customHeight="1" x14ac:dyDescent="0.25"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30"/>
      <c r="W1172" s="30"/>
      <c r="X1172" s="30"/>
      <c r="Y1172" s="30"/>
      <c r="Z1172" s="30"/>
      <c r="AA1172" s="30"/>
      <c r="AB1172" s="30"/>
      <c r="AC1172" s="30"/>
      <c r="AD1172" s="30"/>
      <c r="AE1172" s="30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30"/>
      <c r="AQ1172" s="30"/>
      <c r="AR1172" s="30"/>
      <c r="AS1172" s="30"/>
      <c r="AT1172" s="30"/>
      <c r="AU1172" s="30"/>
      <c r="AV1172" s="30"/>
      <c r="AW1172" s="30"/>
      <c r="AX1172" s="30"/>
      <c r="AY1172" s="30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30"/>
      <c r="BK1172" s="30"/>
      <c r="BL1172" s="30"/>
      <c r="BM1172" s="30"/>
      <c r="BN1172" s="30"/>
      <c r="BO1172" s="30"/>
      <c r="BP1172" s="30"/>
      <c r="BQ1172" s="30"/>
      <c r="BR1172" s="30"/>
      <c r="BS1172" s="30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30"/>
      <c r="CE1172" s="30"/>
      <c r="CF1172" s="30"/>
      <c r="CG1172" s="30"/>
      <c r="CH1172" s="30"/>
      <c r="CI1172" s="30"/>
      <c r="CJ1172" s="30"/>
      <c r="CK1172" s="30"/>
      <c r="CL1172" s="30"/>
      <c r="CM1172" s="30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</row>
    <row r="1173" spans="2:101" ht="15" hidden="1" customHeight="1" x14ac:dyDescent="0.25"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30"/>
      <c r="W1173" s="30"/>
      <c r="X1173" s="30"/>
      <c r="Y1173" s="30"/>
      <c r="Z1173" s="30"/>
      <c r="AA1173" s="30"/>
      <c r="AB1173" s="30"/>
      <c r="AC1173" s="30"/>
      <c r="AD1173" s="30"/>
      <c r="AE1173" s="30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30"/>
      <c r="AQ1173" s="30"/>
      <c r="AR1173" s="30"/>
      <c r="AS1173" s="30"/>
      <c r="AT1173" s="30"/>
      <c r="AU1173" s="30"/>
      <c r="AV1173" s="30"/>
      <c r="AW1173" s="30"/>
      <c r="AX1173" s="30"/>
      <c r="AY1173" s="30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30"/>
      <c r="BK1173" s="30"/>
      <c r="BL1173" s="30"/>
      <c r="BM1173" s="30"/>
      <c r="BN1173" s="30"/>
      <c r="BO1173" s="30"/>
      <c r="BP1173" s="30"/>
      <c r="BQ1173" s="30"/>
      <c r="BR1173" s="30"/>
      <c r="BS1173" s="30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30"/>
      <c r="CE1173" s="30"/>
      <c r="CF1173" s="30"/>
      <c r="CG1173" s="30"/>
      <c r="CH1173" s="30"/>
      <c r="CI1173" s="30"/>
      <c r="CJ1173" s="30"/>
      <c r="CK1173" s="30"/>
      <c r="CL1173" s="30"/>
      <c r="CM1173" s="30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</row>
    <row r="1174" spans="2:101" ht="15" hidden="1" customHeight="1" x14ac:dyDescent="0.25"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30"/>
      <c r="W1174" s="30"/>
      <c r="X1174" s="30"/>
      <c r="Y1174" s="30"/>
      <c r="Z1174" s="30"/>
      <c r="AA1174" s="30"/>
      <c r="AB1174" s="30"/>
      <c r="AC1174" s="30"/>
      <c r="AD1174" s="30"/>
      <c r="AE1174" s="30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30"/>
      <c r="AQ1174" s="30"/>
      <c r="AR1174" s="30"/>
      <c r="AS1174" s="30"/>
      <c r="AT1174" s="30"/>
      <c r="AU1174" s="30"/>
      <c r="AV1174" s="30"/>
      <c r="AW1174" s="30"/>
      <c r="AX1174" s="30"/>
      <c r="AY1174" s="30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30"/>
      <c r="BK1174" s="30"/>
      <c r="BL1174" s="30"/>
      <c r="BM1174" s="30"/>
      <c r="BN1174" s="30"/>
      <c r="BO1174" s="30"/>
      <c r="BP1174" s="30"/>
      <c r="BQ1174" s="30"/>
      <c r="BR1174" s="30"/>
      <c r="BS1174" s="30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30"/>
      <c r="CE1174" s="30"/>
      <c r="CF1174" s="30"/>
      <c r="CG1174" s="30"/>
      <c r="CH1174" s="30"/>
      <c r="CI1174" s="30"/>
      <c r="CJ1174" s="30"/>
      <c r="CK1174" s="30"/>
      <c r="CL1174" s="30"/>
      <c r="CM1174" s="30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</row>
    <row r="1175" spans="2:101" ht="15" hidden="1" customHeight="1" x14ac:dyDescent="0.25"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30"/>
      <c r="W1175" s="30"/>
      <c r="X1175" s="30"/>
      <c r="Y1175" s="30"/>
      <c r="Z1175" s="30"/>
      <c r="AA1175" s="30"/>
      <c r="AB1175" s="30"/>
      <c r="AC1175" s="30"/>
      <c r="AD1175" s="30"/>
      <c r="AE1175" s="30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30"/>
      <c r="AQ1175" s="30"/>
      <c r="AR1175" s="30"/>
      <c r="AS1175" s="30"/>
      <c r="AT1175" s="30"/>
      <c r="AU1175" s="30"/>
      <c r="AV1175" s="30"/>
      <c r="AW1175" s="30"/>
      <c r="AX1175" s="30"/>
      <c r="AY1175" s="30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30"/>
      <c r="BK1175" s="30"/>
      <c r="BL1175" s="30"/>
      <c r="BM1175" s="30"/>
      <c r="BN1175" s="30"/>
      <c r="BO1175" s="30"/>
      <c r="BP1175" s="30"/>
      <c r="BQ1175" s="30"/>
      <c r="BR1175" s="30"/>
      <c r="BS1175" s="30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30"/>
      <c r="CE1175" s="30"/>
      <c r="CF1175" s="30"/>
      <c r="CG1175" s="30"/>
      <c r="CH1175" s="30"/>
      <c r="CI1175" s="30"/>
      <c r="CJ1175" s="30"/>
      <c r="CK1175" s="30"/>
      <c r="CL1175" s="30"/>
      <c r="CM1175" s="30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</row>
    <row r="1176" spans="2:101" ht="15" hidden="1" customHeight="1" x14ac:dyDescent="0.25"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30"/>
      <c r="W1176" s="30"/>
      <c r="X1176" s="30"/>
      <c r="Y1176" s="30"/>
      <c r="Z1176" s="30"/>
      <c r="AA1176" s="30"/>
      <c r="AB1176" s="30"/>
      <c r="AC1176" s="30"/>
      <c r="AD1176" s="30"/>
      <c r="AE1176" s="30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30"/>
      <c r="AQ1176" s="30"/>
      <c r="AR1176" s="30"/>
      <c r="AS1176" s="30"/>
      <c r="AT1176" s="30"/>
      <c r="AU1176" s="30"/>
      <c r="AV1176" s="30"/>
      <c r="AW1176" s="30"/>
      <c r="AX1176" s="30"/>
      <c r="AY1176" s="30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30"/>
      <c r="BK1176" s="30"/>
      <c r="BL1176" s="30"/>
      <c r="BM1176" s="30"/>
      <c r="BN1176" s="30"/>
      <c r="BO1176" s="30"/>
      <c r="BP1176" s="30"/>
      <c r="BQ1176" s="30"/>
      <c r="BR1176" s="30"/>
      <c r="BS1176" s="30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30"/>
      <c r="CE1176" s="30"/>
      <c r="CF1176" s="30"/>
      <c r="CG1176" s="30"/>
      <c r="CH1176" s="30"/>
      <c r="CI1176" s="30"/>
      <c r="CJ1176" s="30"/>
      <c r="CK1176" s="30"/>
      <c r="CL1176" s="30"/>
      <c r="CM1176" s="30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</row>
    <row r="1177" spans="2:101" ht="15" hidden="1" customHeight="1" x14ac:dyDescent="0.25"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30"/>
      <c r="W1177" s="30"/>
      <c r="X1177" s="30"/>
      <c r="Y1177" s="30"/>
      <c r="Z1177" s="30"/>
      <c r="AA1177" s="30"/>
      <c r="AB1177" s="30"/>
      <c r="AC1177" s="30"/>
      <c r="AD1177" s="30"/>
      <c r="AE1177" s="30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30"/>
      <c r="AQ1177" s="30"/>
      <c r="AR1177" s="30"/>
      <c r="AS1177" s="30"/>
      <c r="AT1177" s="30"/>
      <c r="AU1177" s="30"/>
      <c r="AV1177" s="30"/>
      <c r="AW1177" s="30"/>
      <c r="AX1177" s="30"/>
      <c r="AY1177" s="30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30"/>
      <c r="BK1177" s="30"/>
      <c r="BL1177" s="30"/>
      <c r="BM1177" s="30"/>
      <c r="BN1177" s="30"/>
      <c r="BO1177" s="30"/>
      <c r="BP1177" s="30"/>
      <c r="BQ1177" s="30"/>
      <c r="BR1177" s="30"/>
      <c r="BS1177" s="30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30"/>
      <c r="CE1177" s="30"/>
      <c r="CF1177" s="30"/>
      <c r="CG1177" s="30"/>
      <c r="CH1177" s="30"/>
      <c r="CI1177" s="30"/>
      <c r="CJ1177" s="30"/>
      <c r="CK1177" s="30"/>
      <c r="CL1177" s="30"/>
      <c r="CM1177" s="30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</row>
    <row r="1178" spans="2:101" ht="15" hidden="1" customHeight="1" x14ac:dyDescent="0.25"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30"/>
      <c r="W1178" s="30"/>
      <c r="X1178" s="30"/>
      <c r="Y1178" s="30"/>
      <c r="Z1178" s="30"/>
      <c r="AA1178" s="30"/>
      <c r="AB1178" s="30"/>
      <c r="AC1178" s="30"/>
      <c r="AD1178" s="30"/>
      <c r="AE1178" s="30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30"/>
      <c r="AQ1178" s="30"/>
      <c r="AR1178" s="30"/>
      <c r="AS1178" s="30"/>
      <c r="AT1178" s="30"/>
      <c r="AU1178" s="30"/>
      <c r="AV1178" s="30"/>
      <c r="AW1178" s="30"/>
      <c r="AX1178" s="30"/>
      <c r="AY1178" s="30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30"/>
      <c r="BK1178" s="30"/>
      <c r="BL1178" s="30"/>
      <c r="BM1178" s="30"/>
      <c r="BN1178" s="30"/>
      <c r="BO1178" s="30"/>
      <c r="BP1178" s="30"/>
      <c r="BQ1178" s="30"/>
      <c r="BR1178" s="30"/>
      <c r="BS1178" s="30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30"/>
      <c r="CE1178" s="30"/>
      <c r="CF1178" s="30"/>
      <c r="CG1178" s="30"/>
      <c r="CH1178" s="30"/>
      <c r="CI1178" s="30"/>
      <c r="CJ1178" s="30"/>
      <c r="CK1178" s="30"/>
      <c r="CL1178" s="30"/>
      <c r="CM1178" s="30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</row>
    <row r="1179" spans="2:101" ht="15" hidden="1" customHeight="1" x14ac:dyDescent="0.25"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30"/>
      <c r="W1179" s="30"/>
      <c r="X1179" s="30"/>
      <c r="Y1179" s="30"/>
      <c r="Z1179" s="30"/>
      <c r="AA1179" s="30"/>
      <c r="AB1179" s="30"/>
      <c r="AC1179" s="30"/>
      <c r="AD1179" s="30"/>
      <c r="AE1179" s="30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30"/>
      <c r="AQ1179" s="30"/>
      <c r="AR1179" s="30"/>
      <c r="AS1179" s="30"/>
      <c r="AT1179" s="30"/>
      <c r="AU1179" s="30"/>
      <c r="AV1179" s="30"/>
      <c r="AW1179" s="30"/>
      <c r="AX1179" s="30"/>
      <c r="AY1179" s="30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30"/>
      <c r="BK1179" s="30"/>
      <c r="BL1179" s="30"/>
      <c r="BM1179" s="30"/>
      <c r="BN1179" s="30"/>
      <c r="BO1179" s="30"/>
      <c r="BP1179" s="30"/>
      <c r="BQ1179" s="30"/>
      <c r="BR1179" s="30"/>
      <c r="BS1179" s="30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30"/>
      <c r="CE1179" s="30"/>
      <c r="CF1179" s="30"/>
      <c r="CG1179" s="30"/>
      <c r="CH1179" s="30"/>
      <c r="CI1179" s="30"/>
      <c r="CJ1179" s="30"/>
      <c r="CK1179" s="30"/>
      <c r="CL1179" s="30"/>
      <c r="CM1179" s="30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</row>
    <row r="1180" spans="2:101" ht="15" hidden="1" customHeight="1" x14ac:dyDescent="0.25"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30"/>
      <c r="W1180" s="30"/>
      <c r="X1180" s="30"/>
      <c r="Y1180" s="30"/>
      <c r="Z1180" s="30"/>
      <c r="AA1180" s="30"/>
      <c r="AB1180" s="30"/>
      <c r="AC1180" s="30"/>
      <c r="AD1180" s="30"/>
      <c r="AE1180" s="30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30"/>
      <c r="AQ1180" s="30"/>
      <c r="AR1180" s="30"/>
      <c r="AS1180" s="30"/>
      <c r="AT1180" s="30"/>
      <c r="AU1180" s="30"/>
      <c r="AV1180" s="30"/>
      <c r="AW1180" s="30"/>
      <c r="AX1180" s="30"/>
      <c r="AY1180" s="30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30"/>
      <c r="BK1180" s="30"/>
      <c r="BL1180" s="30"/>
      <c r="BM1180" s="30"/>
      <c r="BN1180" s="30"/>
      <c r="BO1180" s="30"/>
      <c r="BP1180" s="30"/>
      <c r="BQ1180" s="30"/>
      <c r="BR1180" s="30"/>
      <c r="BS1180" s="30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30"/>
      <c r="CE1180" s="30"/>
      <c r="CF1180" s="30"/>
      <c r="CG1180" s="30"/>
      <c r="CH1180" s="30"/>
      <c r="CI1180" s="30"/>
      <c r="CJ1180" s="30"/>
      <c r="CK1180" s="30"/>
      <c r="CL1180" s="30"/>
      <c r="CM1180" s="30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</row>
    <row r="1181" spans="2:101" ht="15" hidden="1" customHeight="1" x14ac:dyDescent="0.25"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30"/>
      <c r="W1181" s="30"/>
      <c r="X1181" s="30"/>
      <c r="Y1181" s="30"/>
      <c r="Z1181" s="30"/>
      <c r="AA1181" s="30"/>
      <c r="AB1181" s="30"/>
      <c r="AC1181" s="30"/>
      <c r="AD1181" s="30"/>
      <c r="AE1181" s="30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30"/>
      <c r="AQ1181" s="30"/>
      <c r="AR1181" s="30"/>
      <c r="AS1181" s="30"/>
      <c r="AT1181" s="30"/>
      <c r="AU1181" s="30"/>
      <c r="AV1181" s="30"/>
      <c r="AW1181" s="30"/>
      <c r="AX1181" s="30"/>
      <c r="AY1181" s="30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30"/>
      <c r="BK1181" s="30"/>
      <c r="BL1181" s="30"/>
      <c r="BM1181" s="30"/>
      <c r="BN1181" s="30"/>
      <c r="BO1181" s="30"/>
      <c r="BP1181" s="30"/>
      <c r="BQ1181" s="30"/>
      <c r="BR1181" s="30"/>
      <c r="BS1181" s="30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30"/>
      <c r="CE1181" s="30"/>
      <c r="CF1181" s="30"/>
      <c r="CG1181" s="30"/>
      <c r="CH1181" s="30"/>
      <c r="CI1181" s="30"/>
      <c r="CJ1181" s="30"/>
      <c r="CK1181" s="30"/>
      <c r="CL1181" s="30"/>
      <c r="CM1181" s="30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</row>
    <row r="1182" spans="2:101" ht="15" hidden="1" customHeight="1" x14ac:dyDescent="0.25"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30"/>
      <c r="W1182" s="30"/>
      <c r="X1182" s="30"/>
      <c r="Y1182" s="30"/>
      <c r="Z1182" s="30"/>
      <c r="AA1182" s="30"/>
      <c r="AB1182" s="30"/>
      <c r="AC1182" s="30"/>
      <c r="AD1182" s="30"/>
      <c r="AE1182" s="30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30"/>
      <c r="AQ1182" s="30"/>
      <c r="AR1182" s="30"/>
      <c r="AS1182" s="30"/>
      <c r="AT1182" s="30"/>
      <c r="AU1182" s="30"/>
      <c r="AV1182" s="30"/>
      <c r="AW1182" s="30"/>
      <c r="AX1182" s="30"/>
      <c r="AY1182" s="30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30"/>
      <c r="BK1182" s="30"/>
      <c r="BL1182" s="30"/>
      <c r="BM1182" s="30"/>
      <c r="BN1182" s="30"/>
      <c r="BO1182" s="30"/>
      <c r="BP1182" s="30"/>
      <c r="BQ1182" s="30"/>
      <c r="BR1182" s="30"/>
      <c r="BS1182" s="30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30"/>
      <c r="CE1182" s="30"/>
      <c r="CF1182" s="30"/>
      <c r="CG1182" s="30"/>
      <c r="CH1182" s="30"/>
      <c r="CI1182" s="30"/>
      <c r="CJ1182" s="30"/>
      <c r="CK1182" s="30"/>
      <c r="CL1182" s="30"/>
      <c r="CM1182" s="30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</row>
    <row r="1183" spans="2:101" ht="15" hidden="1" customHeight="1" x14ac:dyDescent="0.25"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30"/>
      <c r="W1183" s="30"/>
      <c r="X1183" s="30"/>
      <c r="Y1183" s="30"/>
      <c r="Z1183" s="30"/>
      <c r="AA1183" s="30"/>
      <c r="AB1183" s="30"/>
      <c r="AC1183" s="30"/>
      <c r="AD1183" s="30"/>
      <c r="AE1183" s="30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30"/>
      <c r="AQ1183" s="30"/>
      <c r="AR1183" s="30"/>
      <c r="AS1183" s="30"/>
      <c r="AT1183" s="30"/>
      <c r="AU1183" s="30"/>
      <c r="AV1183" s="30"/>
      <c r="AW1183" s="30"/>
      <c r="AX1183" s="30"/>
      <c r="AY1183" s="30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30"/>
      <c r="BK1183" s="30"/>
      <c r="BL1183" s="30"/>
      <c r="BM1183" s="30"/>
      <c r="BN1183" s="30"/>
      <c r="BO1183" s="30"/>
      <c r="BP1183" s="30"/>
      <c r="BQ1183" s="30"/>
      <c r="BR1183" s="30"/>
      <c r="BS1183" s="30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30"/>
      <c r="CE1183" s="30"/>
      <c r="CF1183" s="30"/>
      <c r="CG1183" s="30"/>
      <c r="CH1183" s="30"/>
      <c r="CI1183" s="30"/>
      <c r="CJ1183" s="30"/>
      <c r="CK1183" s="30"/>
      <c r="CL1183" s="30"/>
      <c r="CM1183" s="30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</row>
    <row r="1184" spans="2:101" ht="15" hidden="1" customHeight="1" x14ac:dyDescent="0.25"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30"/>
      <c r="W1184" s="30"/>
      <c r="X1184" s="30"/>
      <c r="Y1184" s="30"/>
      <c r="Z1184" s="30"/>
      <c r="AA1184" s="30"/>
      <c r="AB1184" s="30"/>
      <c r="AC1184" s="30"/>
      <c r="AD1184" s="30"/>
      <c r="AE1184" s="30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30"/>
      <c r="AQ1184" s="30"/>
      <c r="AR1184" s="30"/>
      <c r="AS1184" s="30"/>
      <c r="AT1184" s="30"/>
      <c r="AU1184" s="30"/>
      <c r="AV1184" s="30"/>
      <c r="AW1184" s="30"/>
      <c r="AX1184" s="30"/>
      <c r="AY1184" s="30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30"/>
      <c r="BK1184" s="30"/>
      <c r="BL1184" s="30"/>
      <c r="BM1184" s="30"/>
      <c r="BN1184" s="30"/>
      <c r="BO1184" s="30"/>
      <c r="BP1184" s="30"/>
      <c r="BQ1184" s="30"/>
      <c r="BR1184" s="30"/>
      <c r="BS1184" s="30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30"/>
      <c r="CE1184" s="30"/>
      <c r="CF1184" s="30"/>
      <c r="CG1184" s="30"/>
      <c r="CH1184" s="30"/>
      <c r="CI1184" s="30"/>
      <c r="CJ1184" s="30"/>
      <c r="CK1184" s="30"/>
      <c r="CL1184" s="30"/>
      <c r="CM1184" s="30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</row>
    <row r="1185" spans="2:101" ht="15" hidden="1" customHeight="1" x14ac:dyDescent="0.25"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30"/>
      <c r="W1185" s="30"/>
      <c r="X1185" s="30"/>
      <c r="Y1185" s="30"/>
      <c r="Z1185" s="30"/>
      <c r="AA1185" s="30"/>
      <c r="AB1185" s="30"/>
      <c r="AC1185" s="30"/>
      <c r="AD1185" s="30"/>
      <c r="AE1185" s="30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30"/>
      <c r="AQ1185" s="30"/>
      <c r="AR1185" s="30"/>
      <c r="AS1185" s="30"/>
      <c r="AT1185" s="30"/>
      <c r="AU1185" s="30"/>
      <c r="AV1185" s="30"/>
      <c r="AW1185" s="30"/>
      <c r="AX1185" s="30"/>
      <c r="AY1185" s="30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30"/>
      <c r="BK1185" s="30"/>
      <c r="BL1185" s="30"/>
      <c r="BM1185" s="30"/>
      <c r="BN1185" s="30"/>
      <c r="BO1185" s="30"/>
      <c r="BP1185" s="30"/>
      <c r="BQ1185" s="30"/>
      <c r="BR1185" s="30"/>
      <c r="BS1185" s="30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30"/>
      <c r="CE1185" s="30"/>
      <c r="CF1185" s="30"/>
      <c r="CG1185" s="30"/>
      <c r="CH1185" s="30"/>
      <c r="CI1185" s="30"/>
      <c r="CJ1185" s="30"/>
      <c r="CK1185" s="30"/>
      <c r="CL1185" s="30"/>
      <c r="CM1185" s="30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</row>
    <row r="1186" spans="2:101" ht="15" hidden="1" customHeight="1" x14ac:dyDescent="0.25"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30"/>
      <c r="W1186" s="30"/>
      <c r="X1186" s="30"/>
      <c r="Y1186" s="30"/>
      <c r="Z1186" s="30"/>
      <c r="AA1186" s="30"/>
      <c r="AB1186" s="30"/>
      <c r="AC1186" s="30"/>
      <c r="AD1186" s="30"/>
      <c r="AE1186" s="30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30"/>
      <c r="AQ1186" s="30"/>
      <c r="AR1186" s="30"/>
      <c r="AS1186" s="30"/>
      <c r="AT1186" s="30"/>
      <c r="AU1186" s="30"/>
      <c r="AV1186" s="30"/>
      <c r="AW1186" s="30"/>
      <c r="AX1186" s="30"/>
      <c r="AY1186" s="30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30"/>
      <c r="BK1186" s="30"/>
      <c r="BL1186" s="30"/>
      <c r="BM1186" s="30"/>
      <c r="BN1186" s="30"/>
      <c r="BO1186" s="30"/>
      <c r="BP1186" s="30"/>
      <c r="BQ1186" s="30"/>
      <c r="BR1186" s="30"/>
      <c r="BS1186" s="30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30"/>
      <c r="CE1186" s="30"/>
      <c r="CF1186" s="30"/>
      <c r="CG1186" s="30"/>
      <c r="CH1186" s="30"/>
      <c r="CI1186" s="30"/>
      <c r="CJ1186" s="30"/>
      <c r="CK1186" s="30"/>
      <c r="CL1186" s="30"/>
      <c r="CM1186" s="30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</row>
    <row r="1187" spans="2:101" ht="15" hidden="1" customHeight="1" x14ac:dyDescent="0.25"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30"/>
      <c r="W1187" s="30"/>
      <c r="X1187" s="30"/>
      <c r="Y1187" s="30"/>
      <c r="Z1187" s="30"/>
      <c r="AA1187" s="30"/>
      <c r="AB1187" s="30"/>
      <c r="AC1187" s="30"/>
      <c r="AD1187" s="30"/>
      <c r="AE1187" s="30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30"/>
      <c r="AQ1187" s="30"/>
      <c r="AR1187" s="30"/>
      <c r="AS1187" s="30"/>
      <c r="AT1187" s="30"/>
      <c r="AU1187" s="30"/>
      <c r="AV1187" s="30"/>
      <c r="AW1187" s="30"/>
      <c r="AX1187" s="30"/>
      <c r="AY1187" s="30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30"/>
      <c r="BK1187" s="30"/>
      <c r="BL1187" s="30"/>
      <c r="BM1187" s="30"/>
      <c r="BN1187" s="30"/>
      <c r="BO1187" s="30"/>
      <c r="BP1187" s="30"/>
      <c r="BQ1187" s="30"/>
      <c r="BR1187" s="30"/>
      <c r="BS1187" s="30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30"/>
      <c r="CE1187" s="30"/>
      <c r="CF1187" s="30"/>
      <c r="CG1187" s="30"/>
      <c r="CH1187" s="30"/>
      <c r="CI1187" s="30"/>
      <c r="CJ1187" s="30"/>
      <c r="CK1187" s="30"/>
      <c r="CL1187" s="30"/>
      <c r="CM1187" s="30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</row>
    <row r="1188" spans="2:101" ht="15" hidden="1" customHeight="1" x14ac:dyDescent="0.25"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30"/>
      <c r="W1188" s="30"/>
      <c r="X1188" s="30"/>
      <c r="Y1188" s="30"/>
      <c r="Z1188" s="30"/>
      <c r="AA1188" s="30"/>
      <c r="AB1188" s="30"/>
      <c r="AC1188" s="30"/>
      <c r="AD1188" s="30"/>
      <c r="AE1188" s="30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30"/>
      <c r="AQ1188" s="30"/>
      <c r="AR1188" s="30"/>
      <c r="AS1188" s="30"/>
      <c r="AT1188" s="30"/>
      <c r="AU1188" s="30"/>
      <c r="AV1188" s="30"/>
      <c r="AW1188" s="30"/>
      <c r="AX1188" s="30"/>
      <c r="AY1188" s="30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30"/>
      <c r="BK1188" s="30"/>
      <c r="BL1188" s="30"/>
      <c r="BM1188" s="30"/>
      <c r="BN1188" s="30"/>
      <c r="BO1188" s="30"/>
      <c r="BP1188" s="30"/>
      <c r="BQ1188" s="30"/>
      <c r="BR1188" s="30"/>
      <c r="BS1188" s="30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30"/>
      <c r="CE1188" s="30"/>
      <c r="CF1188" s="30"/>
      <c r="CG1188" s="30"/>
      <c r="CH1188" s="30"/>
      <c r="CI1188" s="30"/>
      <c r="CJ1188" s="30"/>
      <c r="CK1188" s="30"/>
      <c r="CL1188" s="30"/>
      <c r="CM1188" s="30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</row>
    <row r="1189" spans="2:101" ht="15" hidden="1" customHeight="1" x14ac:dyDescent="0.25"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30"/>
      <c r="W1189" s="30"/>
      <c r="X1189" s="30"/>
      <c r="Y1189" s="30"/>
      <c r="Z1189" s="30"/>
      <c r="AA1189" s="30"/>
      <c r="AB1189" s="30"/>
      <c r="AC1189" s="30"/>
      <c r="AD1189" s="30"/>
      <c r="AE1189" s="30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30"/>
      <c r="AQ1189" s="30"/>
      <c r="AR1189" s="30"/>
      <c r="AS1189" s="30"/>
      <c r="AT1189" s="30"/>
      <c r="AU1189" s="30"/>
      <c r="AV1189" s="30"/>
      <c r="AW1189" s="30"/>
      <c r="AX1189" s="30"/>
      <c r="AY1189" s="30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30"/>
      <c r="BK1189" s="30"/>
      <c r="BL1189" s="30"/>
      <c r="BM1189" s="30"/>
      <c r="BN1189" s="30"/>
      <c r="BO1189" s="30"/>
      <c r="BP1189" s="30"/>
      <c r="BQ1189" s="30"/>
      <c r="BR1189" s="30"/>
      <c r="BS1189" s="30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30"/>
      <c r="CE1189" s="30"/>
      <c r="CF1189" s="30"/>
      <c r="CG1189" s="30"/>
      <c r="CH1189" s="30"/>
      <c r="CI1189" s="30"/>
      <c r="CJ1189" s="30"/>
      <c r="CK1189" s="30"/>
      <c r="CL1189" s="30"/>
      <c r="CM1189" s="30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</row>
    <row r="1190" spans="2:101" ht="15" hidden="1" customHeight="1" x14ac:dyDescent="0.25"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30"/>
      <c r="W1190" s="30"/>
      <c r="X1190" s="30"/>
      <c r="Y1190" s="30"/>
      <c r="Z1190" s="30"/>
      <c r="AA1190" s="30"/>
      <c r="AB1190" s="30"/>
      <c r="AC1190" s="30"/>
      <c r="AD1190" s="30"/>
      <c r="AE1190" s="30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30"/>
      <c r="AQ1190" s="30"/>
      <c r="AR1190" s="30"/>
      <c r="AS1190" s="30"/>
      <c r="AT1190" s="30"/>
      <c r="AU1190" s="30"/>
      <c r="AV1190" s="30"/>
      <c r="AW1190" s="30"/>
      <c r="AX1190" s="30"/>
      <c r="AY1190" s="30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30"/>
      <c r="BK1190" s="30"/>
      <c r="BL1190" s="30"/>
      <c r="BM1190" s="30"/>
      <c r="BN1190" s="30"/>
      <c r="BO1190" s="30"/>
      <c r="BP1190" s="30"/>
      <c r="BQ1190" s="30"/>
      <c r="BR1190" s="30"/>
      <c r="BS1190" s="30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30"/>
      <c r="CE1190" s="30"/>
      <c r="CF1190" s="30"/>
      <c r="CG1190" s="30"/>
      <c r="CH1190" s="30"/>
      <c r="CI1190" s="30"/>
      <c r="CJ1190" s="30"/>
      <c r="CK1190" s="30"/>
      <c r="CL1190" s="30"/>
      <c r="CM1190" s="30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</row>
    <row r="1191" spans="2:101" ht="15" hidden="1" customHeight="1" x14ac:dyDescent="0.25"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30"/>
      <c r="W1191" s="30"/>
      <c r="X1191" s="30"/>
      <c r="Y1191" s="30"/>
      <c r="Z1191" s="30"/>
      <c r="AA1191" s="30"/>
      <c r="AB1191" s="30"/>
      <c r="AC1191" s="30"/>
      <c r="AD1191" s="30"/>
      <c r="AE1191" s="30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30"/>
      <c r="AQ1191" s="30"/>
      <c r="AR1191" s="30"/>
      <c r="AS1191" s="30"/>
      <c r="AT1191" s="30"/>
      <c r="AU1191" s="30"/>
      <c r="AV1191" s="30"/>
      <c r="AW1191" s="30"/>
      <c r="AX1191" s="30"/>
      <c r="AY1191" s="30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30"/>
      <c r="BK1191" s="30"/>
      <c r="BL1191" s="30"/>
      <c r="BM1191" s="30"/>
      <c r="BN1191" s="30"/>
      <c r="BO1191" s="30"/>
      <c r="BP1191" s="30"/>
      <c r="BQ1191" s="30"/>
      <c r="BR1191" s="30"/>
      <c r="BS1191" s="30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30"/>
      <c r="CE1191" s="30"/>
      <c r="CF1191" s="30"/>
      <c r="CG1191" s="30"/>
      <c r="CH1191" s="30"/>
      <c r="CI1191" s="30"/>
      <c r="CJ1191" s="30"/>
      <c r="CK1191" s="30"/>
      <c r="CL1191" s="30"/>
      <c r="CM1191" s="30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</row>
    <row r="1192" spans="2:101" ht="15" hidden="1" customHeight="1" x14ac:dyDescent="0.25"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30"/>
      <c r="W1192" s="30"/>
      <c r="X1192" s="30"/>
      <c r="Y1192" s="30"/>
      <c r="Z1192" s="30"/>
      <c r="AA1192" s="30"/>
      <c r="AB1192" s="30"/>
      <c r="AC1192" s="30"/>
      <c r="AD1192" s="30"/>
      <c r="AE1192" s="30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30"/>
      <c r="AQ1192" s="30"/>
      <c r="AR1192" s="30"/>
      <c r="AS1192" s="30"/>
      <c r="AT1192" s="30"/>
      <c r="AU1192" s="30"/>
      <c r="AV1192" s="30"/>
      <c r="AW1192" s="30"/>
      <c r="AX1192" s="30"/>
      <c r="AY1192" s="30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30"/>
      <c r="BK1192" s="30"/>
      <c r="BL1192" s="30"/>
      <c r="BM1192" s="30"/>
      <c r="BN1192" s="30"/>
      <c r="BO1192" s="30"/>
      <c r="BP1192" s="30"/>
      <c r="BQ1192" s="30"/>
      <c r="BR1192" s="30"/>
      <c r="BS1192" s="30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30"/>
      <c r="CE1192" s="30"/>
      <c r="CF1192" s="30"/>
      <c r="CG1192" s="30"/>
      <c r="CH1192" s="30"/>
      <c r="CI1192" s="30"/>
      <c r="CJ1192" s="30"/>
      <c r="CK1192" s="30"/>
      <c r="CL1192" s="30"/>
      <c r="CM1192" s="30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</row>
    <row r="1193" spans="2:101" ht="15" hidden="1" customHeight="1" x14ac:dyDescent="0.25"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30"/>
      <c r="W1193" s="30"/>
      <c r="X1193" s="30"/>
      <c r="Y1193" s="30"/>
      <c r="Z1193" s="30"/>
      <c r="AA1193" s="30"/>
      <c r="AB1193" s="30"/>
      <c r="AC1193" s="30"/>
      <c r="AD1193" s="30"/>
      <c r="AE1193" s="30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30"/>
      <c r="AQ1193" s="30"/>
      <c r="AR1193" s="30"/>
      <c r="AS1193" s="30"/>
      <c r="AT1193" s="30"/>
      <c r="AU1193" s="30"/>
      <c r="AV1193" s="30"/>
      <c r="AW1193" s="30"/>
      <c r="AX1193" s="30"/>
      <c r="AY1193" s="30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30"/>
      <c r="BK1193" s="30"/>
      <c r="BL1193" s="30"/>
      <c r="BM1193" s="30"/>
      <c r="BN1193" s="30"/>
      <c r="BO1193" s="30"/>
      <c r="BP1193" s="30"/>
      <c r="BQ1193" s="30"/>
      <c r="BR1193" s="30"/>
      <c r="BS1193" s="30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30"/>
      <c r="CE1193" s="30"/>
      <c r="CF1193" s="30"/>
      <c r="CG1193" s="30"/>
      <c r="CH1193" s="30"/>
      <c r="CI1193" s="30"/>
      <c r="CJ1193" s="30"/>
      <c r="CK1193" s="30"/>
      <c r="CL1193" s="30"/>
      <c r="CM1193" s="30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</row>
    <row r="1194" spans="2:101" ht="15" hidden="1" customHeight="1" x14ac:dyDescent="0.25"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30"/>
      <c r="W1194" s="30"/>
      <c r="X1194" s="30"/>
      <c r="Y1194" s="30"/>
      <c r="Z1194" s="30"/>
      <c r="AA1194" s="30"/>
      <c r="AB1194" s="30"/>
      <c r="AC1194" s="30"/>
      <c r="AD1194" s="30"/>
      <c r="AE1194" s="30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30"/>
      <c r="AQ1194" s="30"/>
      <c r="AR1194" s="30"/>
      <c r="AS1194" s="30"/>
      <c r="AT1194" s="30"/>
      <c r="AU1194" s="30"/>
      <c r="AV1194" s="30"/>
      <c r="AW1194" s="30"/>
      <c r="AX1194" s="30"/>
      <c r="AY1194" s="30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30"/>
      <c r="BK1194" s="30"/>
      <c r="BL1194" s="30"/>
      <c r="BM1194" s="30"/>
      <c r="BN1194" s="30"/>
      <c r="BO1194" s="30"/>
      <c r="BP1194" s="30"/>
      <c r="BQ1194" s="30"/>
      <c r="BR1194" s="30"/>
      <c r="BS1194" s="30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30"/>
      <c r="CE1194" s="30"/>
      <c r="CF1194" s="30"/>
      <c r="CG1194" s="30"/>
      <c r="CH1194" s="30"/>
      <c r="CI1194" s="30"/>
      <c r="CJ1194" s="30"/>
      <c r="CK1194" s="30"/>
      <c r="CL1194" s="30"/>
      <c r="CM1194" s="30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</row>
    <row r="1195" spans="2:101" ht="15" hidden="1" customHeight="1" x14ac:dyDescent="0.25"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30"/>
      <c r="W1195" s="30"/>
      <c r="X1195" s="30"/>
      <c r="Y1195" s="30"/>
      <c r="Z1195" s="30"/>
      <c r="AA1195" s="30"/>
      <c r="AB1195" s="30"/>
      <c r="AC1195" s="30"/>
      <c r="AD1195" s="30"/>
      <c r="AE1195" s="30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30"/>
      <c r="AQ1195" s="30"/>
      <c r="AR1195" s="30"/>
      <c r="AS1195" s="30"/>
      <c r="AT1195" s="30"/>
      <c r="AU1195" s="30"/>
      <c r="AV1195" s="30"/>
      <c r="AW1195" s="30"/>
      <c r="AX1195" s="30"/>
      <c r="AY1195" s="30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30"/>
      <c r="BK1195" s="30"/>
      <c r="BL1195" s="30"/>
      <c r="BM1195" s="30"/>
      <c r="BN1195" s="30"/>
      <c r="BO1195" s="30"/>
      <c r="BP1195" s="30"/>
      <c r="BQ1195" s="30"/>
      <c r="BR1195" s="30"/>
      <c r="BS1195" s="30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30"/>
      <c r="CE1195" s="30"/>
      <c r="CF1195" s="30"/>
      <c r="CG1195" s="30"/>
      <c r="CH1195" s="30"/>
      <c r="CI1195" s="30"/>
      <c r="CJ1195" s="30"/>
      <c r="CK1195" s="30"/>
      <c r="CL1195" s="30"/>
      <c r="CM1195" s="30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</row>
    <row r="1196" spans="2:101" ht="15" hidden="1" customHeight="1" x14ac:dyDescent="0.25"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30"/>
      <c r="W1196" s="30"/>
      <c r="X1196" s="30"/>
      <c r="Y1196" s="30"/>
      <c r="Z1196" s="30"/>
      <c r="AA1196" s="30"/>
      <c r="AB1196" s="30"/>
      <c r="AC1196" s="30"/>
      <c r="AD1196" s="30"/>
      <c r="AE1196" s="30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30"/>
      <c r="AQ1196" s="30"/>
      <c r="AR1196" s="30"/>
      <c r="AS1196" s="30"/>
      <c r="AT1196" s="30"/>
      <c r="AU1196" s="30"/>
      <c r="AV1196" s="30"/>
      <c r="AW1196" s="30"/>
      <c r="AX1196" s="30"/>
      <c r="AY1196" s="30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30"/>
      <c r="BK1196" s="30"/>
      <c r="BL1196" s="30"/>
      <c r="BM1196" s="30"/>
      <c r="BN1196" s="30"/>
      <c r="BO1196" s="30"/>
      <c r="BP1196" s="30"/>
      <c r="BQ1196" s="30"/>
      <c r="BR1196" s="30"/>
      <c r="BS1196" s="30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30"/>
      <c r="CE1196" s="30"/>
      <c r="CF1196" s="30"/>
      <c r="CG1196" s="30"/>
      <c r="CH1196" s="30"/>
      <c r="CI1196" s="30"/>
      <c r="CJ1196" s="30"/>
      <c r="CK1196" s="30"/>
      <c r="CL1196" s="30"/>
      <c r="CM1196" s="30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</row>
    <row r="1197" spans="2:101" ht="15" hidden="1" customHeight="1" x14ac:dyDescent="0.25"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30"/>
      <c r="W1197" s="30"/>
      <c r="X1197" s="30"/>
      <c r="Y1197" s="30"/>
      <c r="Z1197" s="30"/>
      <c r="AA1197" s="30"/>
      <c r="AB1197" s="30"/>
      <c r="AC1197" s="30"/>
      <c r="AD1197" s="30"/>
      <c r="AE1197" s="30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30"/>
      <c r="AQ1197" s="30"/>
      <c r="AR1197" s="30"/>
      <c r="AS1197" s="30"/>
      <c r="AT1197" s="30"/>
      <c r="AU1197" s="30"/>
      <c r="AV1197" s="30"/>
      <c r="AW1197" s="30"/>
      <c r="AX1197" s="30"/>
      <c r="AY1197" s="30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30"/>
      <c r="BK1197" s="30"/>
      <c r="BL1197" s="30"/>
      <c r="BM1197" s="30"/>
      <c r="BN1197" s="30"/>
      <c r="BO1197" s="30"/>
      <c r="BP1197" s="30"/>
      <c r="BQ1197" s="30"/>
      <c r="BR1197" s="30"/>
      <c r="BS1197" s="30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30"/>
      <c r="CE1197" s="30"/>
      <c r="CF1197" s="30"/>
      <c r="CG1197" s="30"/>
      <c r="CH1197" s="30"/>
      <c r="CI1197" s="30"/>
      <c r="CJ1197" s="30"/>
      <c r="CK1197" s="30"/>
      <c r="CL1197" s="30"/>
      <c r="CM1197" s="30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</row>
    <row r="1198" spans="2:101" ht="15" hidden="1" customHeight="1" x14ac:dyDescent="0.25"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30"/>
      <c r="W1198" s="30"/>
      <c r="X1198" s="30"/>
      <c r="Y1198" s="30"/>
      <c r="Z1198" s="30"/>
      <c r="AA1198" s="30"/>
      <c r="AB1198" s="30"/>
      <c r="AC1198" s="30"/>
      <c r="AD1198" s="30"/>
      <c r="AE1198" s="30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30"/>
      <c r="AQ1198" s="30"/>
      <c r="AR1198" s="30"/>
      <c r="AS1198" s="30"/>
      <c r="AT1198" s="30"/>
      <c r="AU1198" s="30"/>
      <c r="AV1198" s="30"/>
      <c r="AW1198" s="30"/>
      <c r="AX1198" s="30"/>
      <c r="AY1198" s="30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30"/>
      <c r="BK1198" s="30"/>
      <c r="BL1198" s="30"/>
      <c r="BM1198" s="30"/>
      <c r="BN1198" s="30"/>
      <c r="BO1198" s="30"/>
      <c r="BP1198" s="30"/>
      <c r="BQ1198" s="30"/>
      <c r="BR1198" s="30"/>
      <c r="BS1198" s="30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30"/>
      <c r="CE1198" s="30"/>
      <c r="CF1198" s="30"/>
      <c r="CG1198" s="30"/>
      <c r="CH1198" s="30"/>
      <c r="CI1198" s="30"/>
      <c r="CJ1198" s="30"/>
      <c r="CK1198" s="30"/>
      <c r="CL1198" s="30"/>
      <c r="CM1198" s="30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</row>
    <row r="1199" spans="2:101" ht="15" hidden="1" customHeight="1" x14ac:dyDescent="0.25"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30"/>
      <c r="W1199" s="30"/>
      <c r="X1199" s="30"/>
      <c r="Y1199" s="30"/>
      <c r="Z1199" s="30"/>
      <c r="AA1199" s="30"/>
      <c r="AB1199" s="30"/>
      <c r="AC1199" s="30"/>
      <c r="AD1199" s="30"/>
      <c r="AE1199" s="30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30"/>
      <c r="AQ1199" s="30"/>
      <c r="AR1199" s="30"/>
      <c r="AS1199" s="30"/>
      <c r="AT1199" s="30"/>
      <c r="AU1199" s="30"/>
      <c r="AV1199" s="30"/>
      <c r="AW1199" s="30"/>
      <c r="AX1199" s="30"/>
      <c r="AY1199" s="30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30"/>
      <c r="BK1199" s="30"/>
      <c r="BL1199" s="30"/>
      <c r="BM1199" s="30"/>
      <c r="BN1199" s="30"/>
      <c r="BO1199" s="30"/>
      <c r="BP1199" s="30"/>
      <c r="BQ1199" s="30"/>
      <c r="BR1199" s="30"/>
      <c r="BS1199" s="30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30"/>
      <c r="CE1199" s="30"/>
      <c r="CF1199" s="30"/>
      <c r="CG1199" s="30"/>
      <c r="CH1199" s="30"/>
      <c r="CI1199" s="30"/>
      <c r="CJ1199" s="30"/>
      <c r="CK1199" s="30"/>
      <c r="CL1199" s="30"/>
      <c r="CM1199" s="30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</row>
    <row r="1200" spans="2:101" ht="15" hidden="1" customHeight="1" x14ac:dyDescent="0.25"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30"/>
      <c r="AQ1200" s="30"/>
      <c r="AR1200" s="30"/>
      <c r="AS1200" s="30"/>
      <c r="AT1200" s="30"/>
      <c r="AU1200" s="30"/>
      <c r="AV1200" s="30"/>
      <c r="AW1200" s="30"/>
      <c r="AX1200" s="30"/>
      <c r="AY1200" s="30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30"/>
      <c r="BK1200" s="30"/>
      <c r="BL1200" s="30"/>
      <c r="BM1200" s="30"/>
      <c r="BN1200" s="30"/>
      <c r="BO1200" s="30"/>
      <c r="BP1200" s="30"/>
      <c r="BQ1200" s="30"/>
      <c r="BR1200" s="30"/>
      <c r="BS1200" s="30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30"/>
      <c r="CE1200" s="30"/>
      <c r="CF1200" s="30"/>
      <c r="CG1200" s="30"/>
      <c r="CH1200" s="30"/>
      <c r="CI1200" s="30"/>
      <c r="CJ1200" s="30"/>
      <c r="CK1200" s="30"/>
      <c r="CL1200" s="30"/>
      <c r="CM1200" s="30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</row>
    <row r="1201" spans="2:101" ht="15" hidden="1" customHeight="1" x14ac:dyDescent="0.25"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30"/>
      <c r="AQ1201" s="30"/>
      <c r="AR1201" s="30"/>
      <c r="AS1201" s="30"/>
      <c r="AT1201" s="30"/>
      <c r="AU1201" s="30"/>
      <c r="AV1201" s="30"/>
      <c r="AW1201" s="30"/>
      <c r="AX1201" s="30"/>
      <c r="AY1201" s="30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30"/>
      <c r="BK1201" s="30"/>
      <c r="BL1201" s="30"/>
      <c r="BM1201" s="30"/>
      <c r="BN1201" s="30"/>
      <c r="BO1201" s="30"/>
      <c r="BP1201" s="30"/>
      <c r="BQ1201" s="30"/>
      <c r="BR1201" s="30"/>
      <c r="BS1201" s="30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30"/>
      <c r="CE1201" s="30"/>
      <c r="CF1201" s="30"/>
      <c r="CG1201" s="30"/>
      <c r="CH1201" s="30"/>
      <c r="CI1201" s="30"/>
      <c r="CJ1201" s="30"/>
      <c r="CK1201" s="30"/>
      <c r="CL1201" s="30"/>
      <c r="CM1201" s="30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</row>
    <row r="1202" spans="2:101" ht="15" hidden="1" customHeight="1" x14ac:dyDescent="0.25"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30"/>
      <c r="AQ1202" s="30"/>
      <c r="AR1202" s="30"/>
      <c r="AS1202" s="30"/>
      <c r="AT1202" s="30"/>
      <c r="AU1202" s="30"/>
      <c r="AV1202" s="30"/>
      <c r="AW1202" s="30"/>
      <c r="AX1202" s="30"/>
      <c r="AY1202" s="30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30"/>
      <c r="BK1202" s="30"/>
      <c r="BL1202" s="30"/>
      <c r="BM1202" s="30"/>
      <c r="BN1202" s="30"/>
      <c r="BO1202" s="30"/>
      <c r="BP1202" s="30"/>
      <c r="BQ1202" s="30"/>
      <c r="BR1202" s="30"/>
      <c r="BS1202" s="30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30"/>
      <c r="CE1202" s="30"/>
      <c r="CF1202" s="30"/>
      <c r="CG1202" s="30"/>
      <c r="CH1202" s="30"/>
      <c r="CI1202" s="30"/>
      <c r="CJ1202" s="30"/>
      <c r="CK1202" s="30"/>
      <c r="CL1202" s="30"/>
      <c r="CM1202" s="30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</row>
    <row r="1203" spans="2:101" ht="15" hidden="1" customHeight="1" x14ac:dyDescent="0.25"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30"/>
      <c r="AQ1203" s="30"/>
      <c r="AR1203" s="30"/>
      <c r="AS1203" s="30"/>
      <c r="AT1203" s="30"/>
      <c r="AU1203" s="30"/>
      <c r="AV1203" s="30"/>
      <c r="AW1203" s="30"/>
      <c r="AX1203" s="30"/>
      <c r="AY1203" s="30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30"/>
      <c r="BK1203" s="30"/>
      <c r="BL1203" s="30"/>
      <c r="BM1203" s="30"/>
      <c r="BN1203" s="30"/>
      <c r="BO1203" s="30"/>
      <c r="BP1203" s="30"/>
      <c r="BQ1203" s="30"/>
      <c r="BR1203" s="30"/>
      <c r="BS1203" s="30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30"/>
      <c r="CE1203" s="30"/>
      <c r="CF1203" s="30"/>
      <c r="CG1203" s="30"/>
      <c r="CH1203" s="30"/>
      <c r="CI1203" s="30"/>
      <c r="CJ1203" s="30"/>
      <c r="CK1203" s="30"/>
      <c r="CL1203" s="30"/>
      <c r="CM1203" s="30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</row>
    <row r="1204" spans="2:101" ht="15" hidden="1" customHeight="1" x14ac:dyDescent="0.25"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30"/>
      <c r="AQ1204" s="30"/>
      <c r="AR1204" s="30"/>
      <c r="AS1204" s="30"/>
      <c r="AT1204" s="30"/>
      <c r="AU1204" s="30"/>
      <c r="AV1204" s="30"/>
      <c r="AW1204" s="30"/>
      <c r="AX1204" s="30"/>
      <c r="AY1204" s="30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30"/>
      <c r="BK1204" s="30"/>
      <c r="BL1204" s="30"/>
      <c r="BM1204" s="30"/>
      <c r="BN1204" s="30"/>
      <c r="BO1204" s="30"/>
      <c r="BP1204" s="30"/>
      <c r="BQ1204" s="30"/>
      <c r="BR1204" s="30"/>
      <c r="BS1204" s="30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30"/>
      <c r="CE1204" s="30"/>
      <c r="CF1204" s="30"/>
      <c r="CG1204" s="30"/>
      <c r="CH1204" s="30"/>
      <c r="CI1204" s="30"/>
      <c r="CJ1204" s="30"/>
      <c r="CK1204" s="30"/>
      <c r="CL1204" s="30"/>
      <c r="CM1204" s="30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</row>
    <row r="1205" spans="2:101" ht="15" hidden="1" customHeight="1" x14ac:dyDescent="0.25"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30"/>
      <c r="AQ1205" s="30"/>
      <c r="AR1205" s="30"/>
      <c r="AS1205" s="30"/>
      <c r="AT1205" s="30"/>
      <c r="AU1205" s="30"/>
      <c r="AV1205" s="30"/>
      <c r="AW1205" s="30"/>
      <c r="AX1205" s="30"/>
      <c r="AY1205" s="30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30"/>
      <c r="BK1205" s="30"/>
      <c r="BL1205" s="30"/>
      <c r="BM1205" s="30"/>
      <c r="BN1205" s="30"/>
      <c r="BO1205" s="30"/>
      <c r="BP1205" s="30"/>
      <c r="BQ1205" s="30"/>
      <c r="BR1205" s="30"/>
      <c r="BS1205" s="30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30"/>
      <c r="CE1205" s="30"/>
      <c r="CF1205" s="30"/>
      <c r="CG1205" s="30"/>
      <c r="CH1205" s="30"/>
      <c r="CI1205" s="30"/>
      <c r="CJ1205" s="30"/>
      <c r="CK1205" s="30"/>
      <c r="CL1205" s="30"/>
      <c r="CM1205" s="30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</row>
    <row r="1206" spans="2:101" ht="15" hidden="1" customHeight="1" x14ac:dyDescent="0.25"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30"/>
      <c r="AQ1206" s="30"/>
      <c r="AR1206" s="30"/>
      <c r="AS1206" s="30"/>
      <c r="AT1206" s="30"/>
      <c r="AU1206" s="30"/>
      <c r="AV1206" s="30"/>
      <c r="AW1206" s="30"/>
      <c r="AX1206" s="30"/>
      <c r="AY1206" s="30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30"/>
      <c r="BK1206" s="30"/>
      <c r="BL1206" s="30"/>
      <c r="BM1206" s="30"/>
      <c r="BN1206" s="30"/>
      <c r="BO1206" s="30"/>
      <c r="BP1206" s="30"/>
      <c r="BQ1206" s="30"/>
      <c r="BR1206" s="30"/>
      <c r="BS1206" s="30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30"/>
      <c r="CE1206" s="30"/>
      <c r="CF1206" s="30"/>
      <c r="CG1206" s="30"/>
      <c r="CH1206" s="30"/>
      <c r="CI1206" s="30"/>
      <c r="CJ1206" s="30"/>
      <c r="CK1206" s="30"/>
      <c r="CL1206" s="30"/>
      <c r="CM1206" s="30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</row>
    <row r="1207" spans="2:101" ht="15" hidden="1" customHeight="1" x14ac:dyDescent="0.25"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30"/>
      <c r="AQ1207" s="30"/>
      <c r="AR1207" s="30"/>
      <c r="AS1207" s="30"/>
      <c r="AT1207" s="30"/>
      <c r="AU1207" s="30"/>
      <c r="AV1207" s="30"/>
      <c r="AW1207" s="30"/>
      <c r="AX1207" s="30"/>
      <c r="AY1207" s="30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30"/>
      <c r="BK1207" s="30"/>
      <c r="BL1207" s="30"/>
      <c r="BM1207" s="30"/>
      <c r="BN1207" s="30"/>
      <c r="BO1207" s="30"/>
      <c r="BP1207" s="30"/>
      <c r="BQ1207" s="30"/>
      <c r="BR1207" s="30"/>
      <c r="BS1207" s="30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30"/>
      <c r="CE1207" s="30"/>
      <c r="CF1207" s="30"/>
      <c r="CG1207" s="30"/>
      <c r="CH1207" s="30"/>
      <c r="CI1207" s="30"/>
      <c r="CJ1207" s="30"/>
      <c r="CK1207" s="30"/>
      <c r="CL1207" s="30"/>
      <c r="CM1207" s="30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</row>
    <row r="1208" spans="2:101" ht="15" hidden="1" customHeight="1" x14ac:dyDescent="0.25"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30"/>
      <c r="AQ1208" s="30"/>
      <c r="AR1208" s="30"/>
      <c r="AS1208" s="30"/>
      <c r="AT1208" s="30"/>
      <c r="AU1208" s="30"/>
      <c r="AV1208" s="30"/>
      <c r="AW1208" s="30"/>
      <c r="AX1208" s="30"/>
      <c r="AY1208" s="30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30"/>
      <c r="BK1208" s="30"/>
      <c r="BL1208" s="30"/>
      <c r="BM1208" s="30"/>
      <c r="BN1208" s="30"/>
      <c r="BO1208" s="30"/>
      <c r="BP1208" s="30"/>
      <c r="BQ1208" s="30"/>
      <c r="BR1208" s="30"/>
      <c r="BS1208" s="30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30"/>
      <c r="CE1208" s="30"/>
      <c r="CF1208" s="30"/>
      <c r="CG1208" s="30"/>
      <c r="CH1208" s="30"/>
      <c r="CI1208" s="30"/>
      <c r="CJ1208" s="30"/>
      <c r="CK1208" s="30"/>
      <c r="CL1208" s="30"/>
      <c r="CM1208" s="30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</row>
    <row r="1209" spans="2:101" ht="15" hidden="1" customHeight="1" x14ac:dyDescent="0.25"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30"/>
      <c r="AQ1209" s="30"/>
      <c r="AR1209" s="30"/>
      <c r="AS1209" s="30"/>
      <c r="AT1209" s="30"/>
      <c r="AU1209" s="30"/>
      <c r="AV1209" s="30"/>
      <c r="AW1209" s="30"/>
      <c r="AX1209" s="30"/>
      <c r="AY1209" s="30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30"/>
      <c r="BK1209" s="30"/>
      <c r="BL1209" s="30"/>
      <c r="BM1209" s="30"/>
      <c r="BN1209" s="30"/>
      <c r="BO1209" s="30"/>
      <c r="BP1209" s="30"/>
      <c r="BQ1209" s="30"/>
      <c r="BR1209" s="30"/>
      <c r="BS1209" s="30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30"/>
      <c r="CE1209" s="30"/>
      <c r="CF1209" s="30"/>
      <c r="CG1209" s="30"/>
      <c r="CH1209" s="30"/>
      <c r="CI1209" s="30"/>
      <c r="CJ1209" s="30"/>
      <c r="CK1209" s="30"/>
      <c r="CL1209" s="30"/>
      <c r="CM1209" s="30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</row>
    <row r="1210" spans="2:101" ht="15" hidden="1" customHeight="1" x14ac:dyDescent="0.25"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30"/>
      <c r="AQ1210" s="30"/>
      <c r="AR1210" s="30"/>
      <c r="AS1210" s="30"/>
      <c r="AT1210" s="30"/>
      <c r="AU1210" s="30"/>
      <c r="AV1210" s="30"/>
      <c r="AW1210" s="30"/>
      <c r="AX1210" s="30"/>
      <c r="AY1210" s="30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30"/>
      <c r="BK1210" s="30"/>
      <c r="BL1210" s="30"/>
      <c r="BM1210" s="30"/>
      <c r="BN1210" s="30"/>
      <c r="BO1210" s="30"/>
      <c r="BP1210" s="30"/>
      <c r="BQ1210" s="30"/>
      <c r="BR1210" s="30"/>
      <c r="BS1210" s="30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30"/>
      <c r="CE1210" s="30"/>
      <c r="CF1210" s="30"/>
      <c r="CG1210" s="30"/>
      <c r="CH1210" s="30"/>
      <c r="CI1210" s="30"/>
      <c r="CJ1210" s="30"/>
      <c r="CK1210" s="30"/>
      <c r="CL1210" s="30"/>
      <c r="CM1210" s="30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</row>
    <row r="1211" spans="2:101" ht="15" hidden="1" customHeight="1" x14ac:dyDescent="0.25"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30"/>
      <c r="AQ1211" s="30"/>
      <c r="AR1211" s="30"/>
      <c r="AS1211" s="30"/>
      <c r="AT1211" s="30"/>
      <c r="AU1211" s="30"/>
      <c r="AV1211" s="30"/>
      <c r="AW1211" s="30"/>
      <c r="AX1211" s="30"/>
      <c r="AY1211" s="30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30"/>
      <c r="BK1211" s="30"/>
      <c r="BL1211" s="30"/>
      <c r="BM1211" s="30"/>
      <c r="BN1211" s="30"/>
      <c r="BO1211" s="30"/>
      <c r="BP1211" s="30"/>
      <c r="BQ1211" s="30"/>
      <c r="BR1211" s="30"/>
      <c r="BS1211" s="30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30"/>
      <c r="CE1211" s="30"/>
      <c r="CF1211" s="30"/>
      <c r="CG1211" s="30"/>
      <c r="CH1211" s="30"/>
      <c r="CI1211" s="30"/>
      <c r="CJ1211" s="30"/>
      <c r="CK1211" s="30"/>
      <c r="CL1211" s="30"/>
      <c r="CM1211" s="30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</row>
    <row r="1212" spans="2:101" ht="15" hidden="1" customHeight="1" x14ac:dyDescent="0.25"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30"/>
      <c r="AQ1212" s="30"/>
      <c r="AR1212" s="30"/>
      <c r="AS1212" s="30"/>
      <c r="AT1212" s="30"/>
      <c r="AU1212" s="30"/>
      <c r="AV1212" s="30"/>
      <c r="AW1212" s="30"/>
      <c r="AX1212" s="30"/>
      <c r="AY1212" s="30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30"/>
      <c r="BK1212" s="30"/>
      <c r="BL1212" s="30"/>
      <c r="BM1212" s="30"/>
      <c r="BN1212" s="30"/>
      <c r="BO1212" s="30"/>
      <c r="BP1212" s="30"/>
      <c r="BQ1212" s="30"/>
      <c r="BR1212" s="30"/>
      <c r="BS1212" s="30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30"/>
      <c r="CE1212" s="30"/>
      <c r="CF1212" s="30"/>
      <c r="CG1212" s="30"/>
      <c r="CH1212" s="30"/>
      <c r="CI1212" s="30"/>
      <c r="CJ1212" s="30"/>
      <c r="CK1212" s="30"/>
      <c r="CL1212" s="30"/>
      <c r="CM1212" s="30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</row>
    <row r="1213" spans="2:101" ht="15" hidden="1" customHeight="1" x14ac:dyDescent="0.25"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30"/>
      <c r="AQ1213" s="30"/>
      <c r="AR1213" s="30"/>
      <c r="AS1213" s="30"/>
      <c r="AT1213" s="30"/>
      <c r="AU1213" s="30"/>
      <c r="AV1213" s="30"/>
      <c r="AW1213" s="30"/>
      <c r="AX1213" s="30"/>
      <c r="AY1213" s="30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30"/>
      <c r="BK1213" s="30"/>
      <c r="BL1213" s="30"/>
      <c r="BM1213" s="30"/>
      <c r="BN1213" s="30"/>
      <c r="BO1213" s="30"/>
      <c r="BP1213" s="30"/>
      <c r="BQ1213" s="30"/>
      <c r="BR1213" s="30"/>
      <c r="BS1213" s="30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30"/>
      <c r="CE1213" s="30"/>
      <c r="CF1213" s="30"/>
      <c r="CG1213" s="30"/>
      <c r="CH1213" s="30"/>
      <c r="CI1213" s="30"/>
      <c r="CJ1213" s="30"/>
      <c r="CK1213" s="30"/>
      <c r="CL1213" s="30"/>
      <c r="CM1213" s="30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</row>
    <row r="1214" spans="2:101" ht="15" hidden="1" customHeight="1" x14ac:dyDescent="0.25"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30"/>
      <c r="AQ1214" s="30"/>
      <c r="AR1214" s="30"/>
      <c r="AS1214" s="30"/>
      <c r="AT1214" s="30"/>
      <c r="AU1214" s="30"/>
      <c r="AV1214" s="30"/>
      <c r="AW1214" s="30"/>
      <c r="AX1214" s="30"/>
      <c r="AY1214" s="30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30"/>
      <c r="BK1214" s="30"/>
      <c r="BL1214" s="30"/>
      <c r="BM1214" s="30"/>
      <c r="BN1214" s="30"/>
      <c r="BO1214" s="30"/>
      <c r="BP1214" s="30"/>
      <c r="BQ1214" s="30"/>
      <c r="BR1214" s="30"/>
      <c r="BS1214" s="30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30"/>
      <c r="CE1214" s="30"/>
      <c r="CF1214" s="30"/>
      <c r="CG1214" s="30"/>
      <c r="CH1214" s="30"/>
      <c r="CI1214" s="30"/>
      <c r="CJ1214" s="30"/>
      <c r="CK1214" s="30"/>
      <c r="CL1214" s="30"/>
      <c r="CM1214" s="30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</row>
    <row r="1215" spans="2:101" ht="15" hidden="1" customHeight="1" x14ac:dyDescent="0.25"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30"/>
      <c r="AQ1215" s="30"/>
      <c r="AR1215" s="30"/>
      <c r="AS1215" s="30"/>
      <c r="AT1215" s="30"/>
      <c r="AU1215" s="30"/>
      <c r="AV1215" s="30"/>
      <c r="AW1215" s="30"/>
      <c r="AX1215" s="30"/>
      <c r="AY1215" s="30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30"/>
      <c r="BK1215" s="30"/>
      <c r="BL1215" s="30"/>
      <c r="BM1215" s="30"/>
      <c r="BN1215" s="30"/>
      <c r="BO1215" s="30"/>
      <c r="BP1215" s="30"/>
      <c r="BQ1215" s="30"/>
      <c r="BR1215" s="30"/>
      <c r="BS1215" s="30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30"/>
      <c r="CE1215" s="30"/>
      <c r="CF1215" s="30"/>
      <c r="CG1215" s="30"/>
      <c r="CH1215" s="30"/>
      <c r="CI1215" s="30"/>
      <c r="CJ1215" s="30"/>
      <c r="CK1215" s="30"/>
      <c r="CL1215" s="30"/>
      <c r="CM1215" s="30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</row>
    <row r="1216" spans="2:101" ht="15" hidden="1" customHeight="1" x14ac:dyDescent="0.25"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30"/>
      <c r="AQ1216" s="30"/>
      <c r="AR1216" s="30"/>
      <c r="AS1216" s="30"/>
      <c r="AT1216" s="30"/>
      <c r="AU1216" s="30"/>
      <c r="AV1216" s="30"/>
      <c r="AW1216" s="30"/>
      <c r="AX1216" s="30"/>
      <c r="AY1216" s="30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30"/>
      <c r="BK1216" s="30"/>
      <c r="BL1216" s="30"/>
      <c r="BM1216" s="30"/>
      <c r="BN1216" s="30"/>
      <c r="BO1216" s="30"/>
      <c r="BP1216" s="30"/>
      <c r="BQ1216" s="30"/>
      <c r="BR1216" s="30"/>
      <c r="BS1216" s="30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30"/>
      <c r="CE1216" s="30"/>
      <c r="CF1216" s="30"/>
      <c r="CG1216" s="30"/>
      <c r="CH1216" s="30"/>
      <c r="CI1216" s="30"/>
      <c r="CJ1216" s="30"/>
      <c r="CK1216" s="30"/>
      <c r="CL1216" s="30"/>
      <c r="CM1216" s="30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</row>
    <row r="1217" spans="2:101" ht="15" hidden="1" customHeight="1" x14ac:dyDescent="0.25"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30"/>
      <c r="AQ1217" s="30"/>
      <c r="AR1217" s="30"/>
      <c r="AS1217" s="30"/>
      <c r="AT1217" s="30"/>
      <c r="AU1217" s="30"/>
      <c r="AV1217" s="30"/>
      <c r="AW1217" s="30"/>
      <c r="AX1217" s="30"/>
      <c r="AY1217" s="30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30"/>
      <c r="BK1217" s="30"/>
      <c r="BL1217" s="30"/>
      <c r="BM1217" s="30"/>
      <c r="BN1217" s="30"/>
      <c r="BO1217" s="30"/>
      <c r="BP1217" s="30"/>
      <c r="BQ1217" s="30"/>
      <c r="BR1217" s="30"/>
      <c r="BS1217" s="30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30"/>
      <c r="CE1217" s="30"/>
      <c r="CF1217" s="30"/>
      <c r="CG1217" s="30"/>
      <c r="CH1217" s="30"/>
      <c r="CI1217" s="30"/>
      <c r="CJ1217" s="30"/>
      <c r="CK1217" s="30"/>
      <c r="CL1217" s="30"/>
      <c r="CM1217" s="30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</row>
    <row r="1218" spans="2:101" ht="15" hidden="1" customHeight="1" x14ac:dyDescent="0.25"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30"/>
      <c r="AQ1218" s="30"/>
      <c r="AR1218" s="30"/>
      <c r="AS1218" s="30"/>
      <c r="AT1218" s="30"/>
      <c r="AU1218" s="30"/>
      <c r="AV1218" s="30"/>
      <c r="AW1218" s="30"/>
      <c r="AX1218" s="30"/>
      <c r="AY1218" s="30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30"/>
      <c r="BK1218" s="30"/>
      <c r="BL1218" s="30"/>
      <c r="BM1218" s="30"/>
      <c r="BN1218" s="30"/>
      <c r="BO1218" s="30"/>
      <c r="BP1218" s="30"/>
      <c r="BQ1218" s="30"/>
      <c r="BR1218" s="30"/>
      <c r="BS1218" s="30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30"/>
      <c r="CE1218" s="30"/>
      <c r="CF1218" s="30"/>
      <c r="CG1218" s="30"/>
      <c r="CH1218" s="30"/>
      <c r="CI1218" s="30"/>
      <c r="CJ1218" s="30"/>
      <c r="CK1218" s="30"/>
      <c r="CL1218" s="30"/>
      <c r="CM1218" s="30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</row>
    <row r="1219" spans="2:101" ht="15" hidden="1" customHeight="1" x14ac:dyDescent="0.25"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30"/>
      <c r="AQ1219" s="30"/>
      <c r="AR1219" s="30"/>
      <c r="AS1219" s="30"/>
      <c r="AT1219" s="30"/>
      <c r="AU1219" s="30"/>
      <c r="AV1219" s="30"/>
      <c r="AW1219" s="30"/>
      <c r="AX1219" s="30"/>
      <c r="AY1219" s="30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30"/>
      <c r="BK1219" s="30"/>
      <c r="BL1219" s="30"/>
      <c r="BM1219" s="30"/>
      <c r="BN1219" s="30"/>
      <c r="BO1219" s="30"/>
      <c r="BP1219" s="30"/>
      <c r="BQ1219" s="30"/>
      <c r="BR1219" s="30"/>
      <c r="BS1219" s="30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30"/>
      <c r="CE1219" s="30"/>
      <c r="CF1219" s="30"/>
      <c r="CG1219" s="30"/>
      <c r="CH1219" s="30"/>
      <c r="CI1219" s="30"/>
      <c r="CJ1219" s="30"/>
      <c r="CK1219" s="30"/>
      <c r="CL1219" s="30"/>
      <c r="CM1219" s="30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</row>
    <row r="1220" spans="2:101" ht="15" hidden="1" customHeight="1" x14ac:dyDescent="0.25"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30"/>
      <c r="AQ1220" s="30"/>
      <c r="AR1220" s="30"/>
      <c r="AS1220" s="30"/>
      <c r="AT1220" s="30"/>
      <c r="AU1220" s="30"/>
      <c r="AV1220" s="30"/>
      <c r="AW1220" s="30"/>
      <c r="AX1220" s="30"/>
      <c r="AY1220" s="30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30"/>
      <c r="BK1220" s="30"/>
      <c r="BL1220" s="30"/>
      <c r="BM1220" s="30"/>
      <c r="BN1220" s="30"/>
      <c r="BO1220" s="30"/>
      <c r="BP1220" s="30"/>
      <c r="BQ1220" s="30"/>
      <c r="BR1220" s="30"/>
      <c r="BS1220" s="30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30"/>
      <c r="CE1220" s="30"/>
      <c r="CF1220" s="30"/>
      <c r="CG1220" s="30"/>
      <c r="CH1220" s="30"/>
      <c r="CI1220" s="30"/>
      <c r="CJ1220" s="30"/>
      <c r="CK1220" s="30"/>
      <c r="CL1220" s="30"/>
      <c r="CM1220" s="30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</row>
    <row r="1221" spans="2:101" ht="15" hidden="1" customHeight="1" x14ac:dyDescent="0.25"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30"/>
      <c r="AQ1221" s="30"/>
      <c r="AR1221" s="30"/>
      <c r="AS1221" s="30"/>
      <c r="AT1221" s="30"/>
      <c r="AU1221" s="30"/>
      <c r="AV1221" s="30"/>
      <c r="AW1221" s="30"/>
      <c r="AX1221" s="30"/>
      <c r="AY1221" s="30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30"/>
      <c r="BK1221" s="30"/>
      <c r="BL1221" s="30"/>
      <c r="BM1221" s="30"/>
      <c r="BN1221" s="30"/>
      <c r="BO1221" s="30"/>
      <c r="BP1221" s="30"/>
      <c r="BQ1221" s="30"/>
      <c r="BR1221" s="30"/>
      <c r="BS1221" s="30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30"/>
      <c r="CE1221" s="30"/>
      <c r="CF1221" s="30"/>
      <c r="CG1221" s="30"/>
      <c r="CH1221" s="30"/>
      <c r="CI1221" s="30"/>
      <c r="CJ1221" s="30"/>
      <c r="CK1221" s="30"/>
      <c r="CL1221" s="30"/>
      <c r="CM1221" s="30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</row>
    <row r="1222" spans="2:101" ht="15" hidden="1" customHeight="1" x14ac:dyDescent="0.25"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30"/>
      <c r="AQ1222" s="30"/>
      <c r="AR1222" s="30"/>
      <c r="AS1222" s="30"/>
      <c r="AT1222" s="30"/>
      <c r="AU1222" s="30"/>
      <c r="AV1222" s="30"/>
      <c r="AW1222" s="30"/>
      <c r="AX1222" s="30"/>
      <c r="AY1222" s="30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30"/>
      <c r="BK1222" s="30"/>
      <c r="BL1222" s="30"/>
      <c r="BM1222" s="30"/>
      <c r="BN1222" s="30"/>
      <c r="BO1222" s="30"/>
      <c r="BP1222" s="30"/>
      <c r="BQ1222" s="30"/>
      <c r="BR1222" s="30"/>
      <c r="BS1222" s="30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30"/>
      <c r="CE1222" s="30"/>
      <c r="CF1222" s="30"/>
      <c r="CG1222" s="30"/>
      <c r="CH1222" s="30"/>
      <c r="CI1222" s="30"/>
      <c r="CJ1222" s="30"/>
      <c r="CK1222" s="30"/>
      <c r="CL1222" s="30"/>
      <c r="CM1222" s="30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</row>
    <row r="1223" spans="2:101" ht="15" hidden="1" customHeight="1" x14ac:dyDescent="0.25"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30"/>
      <c r="AQ1223" s="30"/>
      <c r="AR1223" s="30"/>
      <c r="AS1223" s="30"/>
      <c r="AT1223" s="30"/>
      <c r="AU1223" s="30"/>
      <c r="AV1223" s="30"/>
      <c r="AW1223" s="30"/>
      <c r="AX1223" s="30"/>
      <c r="AY1223" s="30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30"/>
      <c r="BK1223" s="30"/>
      <c r="BL1223" s="30"/>
      <c r="BM1223" s="30"/>
      <c r="BN1223" s="30"/>
      <c r="BO1223" s="30"/>
      <c r="BP1223" s="30"/>
      <c r="BQ1223" s="30"/>
      <c r="BR1223" s="30"/>
      <c r="BS1223" s="30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30"/>
      <c r="CE1223" s="30"/>
      <c r="CF1223" s="30"/>
      <c r="CG1223" s="30"/>
      <c r="CH1223" s="30"/>
      <c r="CI1223" s="30"/>
      <c r="CJ1223" s="30"/>
      <c r="CK1223" s="30"/>
      <c r="CL1223" s="30"/>
      <c r="CM1223" s="30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</row>
    <row r="1224" spans="2:101" ht="15" hidden="1" customHeight="1" x14ac:dyDescent="0.25"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30"/>
      <c r="AQ1224" s="30"/>
      <c r="AR1224" s="30"/>
      <c r="AS1224" s="30"/>
      <c r="AT1224" s="30"/>
      <c r="AU1224" s="30"/>
      <c r="AV1224" s="30"/>
      <c r="AW1224" s="30"/>
      <c r="AX1224" s="30"/>
      <c r="AY1224" s="30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30"/>
      <c r="BK1224" s="30"/>
      <c r="BL1224" s="30"/>
      <c r="BM1224" s="30"/>
      <c r="BN1224" s="30"/>
      <c r="BO1224" s="30"/>
      <c r="BP1224" s="30"/>
      <c r="BQ1224" s="30"/>
      <c r="BR1224" s="30"/>
      <c r="BS1224" s="30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30"/>
      <c r="CE1224" s="30"/>
      <c r="CF1224" s="30"/>
      <c r="CG1224" s="30"/>
      <c r="CH1224" s="30"/>
      <c r="CI1224" s="30"/>
      <c r="CJ1224" s="30"/>
      <c r="CK1224" s="30"/>
      <c r="CL1224" s="30"/>
      <c r="CM1224" s="30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</row>
    <row r="1225" spans="2:101" ht="15" hidden="1" customHeight="1" x14ac:dyDescent="0.25"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30"/>
      <c r="AQ1225" s="30"/>
      <c r="AR1225" s="30"/>
      <c r="AS1225" s="30"/>
      <c r="AT1225" s="30"/>
      <c r="AU1225" s="30"/>
      <c r="AV1225" s="30"/>
      <c r="AW1225" s="30"/>
      <c r="AX1225" s="30"/>
      <c r="AY1225" s="30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30"/>
      <c r="BK1225" s="30"/>
      <c r="BL1225" s="30"/>
      <c r="BM1225" s="30"/>
      <c r="BN1225" s="30"/>
      <c r="BO1225" s="30"/>
      <c r="BP1225" s="30"/>
      <c r="BQ1225" s="30"/>
      <c r="BR1225" s="30"/>
      <c r="BS1225" s="30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30"/>
      <c r="CE1225" s="30"/>
      <c r="CF1225" s="30"/>
      <c r="CG1225" s="30"/>
      <c r="CH1225" s="30"/>
      <c r="CI1225" s="30"/>
      <c r="CJ1225" s="30"/>
      <c r="CK1225" s="30"/>
      <c r="CL1225" s="30"/>
      <c r="CM1225" s="30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</row>
    <row r="1226" spans="2:101" ht="15" hidden="1" customHeight="1" x14ac:dyDescent="0.25"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30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30"/>
      <c r="AQ1226" s="30"/>
      <c r="AR1226" s="30"/>
      <c r="AS1226" s="30"/>
      <c r="AT1226" s="30"/>
      <c r="AU1226" s="30"/>
      <c r="AV1226" s="30"/>
      <c r="AW1226" s="30"/>
      <c r="AX1226" s="30"/>
      <c r="AY1226" s="30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30"/>
      <c r="BK1226" s="30"/>
      <c r="BL1226" s="30"/>
      <c r="BM1226" s="30"/>
      <c r="BN1226" s="30"/>
      <c r="BO1226" s="30"/>
      <c r="BP1226" s="30"/>
      <c r="BQ1226" s="30"/>
      <c r="BR1226" s="30"/>
      <c r="BS1226" s="30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30"/>
      <c r="CE1226" s="30"/>
      <c r="CF1226" s="30"/>
      <c r="CG1226" s="30"/>
      <c r="CH1226" s="30"/>
      <c r="CI1226" s="30"/>
      <c r="CJ1226" s="30"/>
      <c r="CK1226" s="30"/>
      <c r="CL1226" s="30"/>
      <c r="CM1226" s="30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</row>
    <row r="1227" spans="2:101" ht="15" hidden="1" customHeight="1" x14ac:dyDescent="0.25"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30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30"/>
      <c r="AQ1227" s="30"/>
      <c r="AR1227" s="30"/>
      <c r="AS1227" s="30"/>
      <c r="AT1227" s="30"/>
      <c r="AU1227" s="30"/>
      <c r="AV1227" s="30"/>
      <c r="AW1227" s="30"/>
      <c r="AX1227" s="30"/>
      <c r="AY1227" s="30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30"/>
      <c r="BK1227" s="30"/>
      <c r="BL1227" s="30"/>
      <c r="BM1227" s="30"/>
      <c r="BN1227" s="30"/>
      <c r="BO1227" s="30"/>
      <c r="BP1227" s="30"/>
      <c r="BQ1227" s="30"/>
      <c r="BR1227" s="30"/>
      <c r="BS1227" s="30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30"/>
      <c r="CE1227" s="30"/>
      <c r="CF1227" s="30"/>
      <c r="CG1227" s="30"/>
      <c r="CH1227" s="30"/>
      <c r="CI1227" s="30"/>
      <c r="CJ1227" s="30"/>
      <c r="CK1227" s="30"/>
      <c r="CL1227" s="30"/>
      <c r="CM1227" s="30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</row>
    <row r="1228" spans="2:101" ht="15" hidden="1" customHeight="1" x14ac:dyDescent="0.25"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30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30"/>
      <c r="AQ1228" s="30"/>
      <c r="AR1228" s="30"/>
      <c r="AS1228" s="30"/>
      <c r="AT1228" s="30"/>
      <c r="AU1228" s="30"/>
      <c r="AV1228" s="30"/>
      <c r="AW1228" s="30"/>
      <c r="AX1228" s="30"/>
      <c r="AY1228" s="30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30"/>
      <c r="BK1228" s="30"/>
      <c r="BL1228" s="30"/>
      <c r="BM1228" s="30"/>
      <c r="BN1228" s="30"/>
      <c r="BO1228" s="30"/>
      <c r="BP1228" s="30"/>
      <c r="BQ1228" s="30"/>
      <c r="BR1228" s="30"/>
      <c r="BS1228" s="30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30"/>
      <c r="CE1228" s="30"/>
      <c r="CF1228" s="30"/>
      <c r="CG1228" s="30"/>
      <c r="CH1228" s="30"/>
      <c r="CI1228" s="30"/>
      <c r="CJ1228" s="30"/>
      <c r="CK1228" s="30"/>
      <c r="CL1228" s="30"/>
      <c r="CM1228" s="30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</row>
    <row r="1229" spans="2:101" ht="15" hidden="1" customHeight="1" x14ac:dyDescent="0.25"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30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30"/>
      <c r="AQ1229" s="30"/>
      <c r="AR1229" s="30"/>
      <c r="AS1229" s="30"/>
      <c r="AT1229" s="30"/>
      <c r="AU1229" s="30"/>
      <c r="AV1229" s="30"/>
      <c r="AW1229" s="30"/>
      <c r="AX1229" s="30"/>
      <c r="AY1229" s="30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30"/>
      <c r="BK1229" s="30"/>
      <c r="BL1229" s="30"/>
      <c r="BM1229" s="30"/>
      <c r="BN1229" s="30"/>
      <c r="BO1229" s="30"/>
      <c r="BP1229" s="30"/>
      <c r="BQ1229" s="30"/>
      <c r="BR1229" s="30"/>
      <c r="BS1229" s="30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30"/>
      <c r="CE1229" s="30"/>
      <c r="CF1229" s="30"/>
      <c r="CG1229" s="30"/>
      <c r="CH1229" s="30"/>
      <c r="CI1229" s="30"/>
      <c r="CJ1229" s="30"/>
      <c r="CK1229" s="30"/>
      <c r="CL1229" s="30"/>
      <c r="CM1229" s="30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</row>
    <row r="1230" spans="2:101" ht="15" hidden="1" customHeight="1" x14ac:dyDescent="0.25"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30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30"/>
      <c r="AQ1230" s="30"/>
      <c r="AR1230" s="30"/>
      <c r="AS1230" s="30"/>
      <c r="AT1230" s="30"/>
      <c r="AU1230" s="30"/>
      <c r="AV1230" s="30"/>
      <c r="AW1230" s="30"/>
      <c r="AX1230" s="30"/>
      <c r="AY1230" s="30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30"/>
      <c r="BK1230" s="30"/>
      <c r="BL1230" s="30"/>
      <c r="BM1230" s="30"/>
      <c r="BN1230" s="30"/>
      <c r="BO1230" s="30"/>
      <c r="BP1230" s="30"/>
      <c r="BQ1230" s="30"/>
      <c r="BR1230" s="30"/>
      <c r="BS1230" s="30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30"/>
      <c r="CE1230" s="30"/>
      <c r="CF1230" s="30"/>
      <c r="CG1230" s="30"/>
      <c r="CH1230" s="30"/>
      <c r="CI1230" s="30"/>
      <c r="CJ1230" s="30"/>
      <c r="CK1230" s="30"/>
      <c r="CL1230" s="30"/>
      <c r="CM1230" s="30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</row>
    <row r="1231" spans="2:101" ht="15" hidden="1" customHeight="1" x14ac:dyDescent="0.25"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30"/>
      <c r="W1231" s="30"/>
      <c r="X1231" s="30"/>
      <c r="Y1231" s="30"/>
      <c r="Z1231" s="30"/>
      <c r="AA1231" s="30"/>
      <c r="AB1231" s="30"/>
      <c r="AC1231" s="30"/>
      <c r="AD1231" s="30"/>
      <c r="AE1231" s="30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30"/>
      <c r="AQ1231" s="30"/>
      <c r="AR1231" s="30"/>
      <c r="AS1231" s="30"/>
      <c r="AT1231" s="30"/>
      <c r="AU1231" s="30"/>
      <c r="AV1231" s="30"/>
      <c r="AW1231" s="30"/>
      <c r="AX1231" s="30"/>
      <c r="AY1231" s="30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30"/>
      <c r="BK1231" s="30"/>
      <c r="BL1231" s="30"/>
      <c r="BM1231" s="30"/>
      <c r="BN1231" s="30"/>
      <c r="BO1231" s="30"/>
      <c r="BP1231" s="30"/>
      <c r="BQ1231" s="30"/>
      <c r="BR1231" s="30"/>
      <c r="BS1231" s="30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30"/>
      <c r="CE1231" s="30"/>
      <c r="CF1231" s="30"/>
      <c r="CG1231" s="30"/>
      <c r="CH1231" s="30"/>
      <c r="CI1231" s="30"/>
      <c r="CJ1231" s="30"/>
      <c r="CK1231" s="30"/>
      <c r="CL1231" s="30"/>
      <c r="CM1231" s="30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</row>
    <row r="1232" spans="2:101" ht="15" hidden="1" customHeight="1" x14ac:dyDescent="0.25"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30"/>
      <c r="W1232" s="30"/>
      <c r="X1232" s="30"/>
      <c r="Y1232" s="30"/>
      <c r="Z1232" s="30"/>
      <c r="AA1232" s="30"/>
      <c r="AB1232" s="30"/>
      <c r="AC1232" s="30"/>
      <c r="AD1232" s="30"/>
      <c r="AE1232" s="30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30"/>
      <c r="AQ1232" s="30"/>
      <c r="AR1232" s="30"/>
      <c r="AS1232" s="30"/>
      <c r="AT1232" s="30"/>
      <c r="AU1232" s="30"/>
      <c r="AV1232" s="30"/>
      <c r="AW1232" s="30"/>
      <c r="AX1232" s="30"/>
      <c r="AY1232" s="30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30"/>
      <c r="BK1232" s="30"/>
      <c r="BL1232" s="30"/>
      <c r="BM1232" s="30"/>
      <c r="BN1232" s="30"/>
      <c r="BO1232" s="30"/>
      <c r="BP1232" s="30"/>
      <c r="BQ1232" s="30"/>
      <c r="BR1232" s="30"/>
      <c r="BS1232" s="30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30"/>
      <c r="CE1232" s="30"/>
      <c r="CF1232" s="30"/>
      <c r="CG1232" s="30"/>
      <c r="CH1232" s="30"/>
      <c r="CI1232" s="30"/>
      <c r="CJ1232" s="30"/>
      <c r="CK1232" s="30"/>
      <c r="CL1232" s="30"/>
      <c r="CM1232" s="30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</row>
    <row r="1233" spans="2:101" ht="15" hidden="1" customHeight="1" x14ac:dyDescent="0.25"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30"/>
      <c r="W1233" s="30"/>
      <c r="X1233" s="30"/>
      <c r="Y1233" s="30"/>
      <c r="Z1233" s="30"/>
      <c r="AA1233" s="30"/>
      <c r="AB1233" s="30"/>
      <c r="AC1233" s="30"/>
      <c r="AD1233" s="30"/>
      <c r="AE1233" s="30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30"/>
      <c r="AQ1233" s="30"/>
      <c r="AR1233" s="30"/>
      <c r="AS1233" s="30"/>
      <c r="AT1233" s="30"/>
      <c r="AU1233" s="30"/>
      <c r="AV1233" s="30"/>
      <c r="AW1233" s="30"/>
      <c r="AX1233" s="30"/>
      <c r="AY1233" s="30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30"/>
      <c r="BK1233" s="30"/>
      <c r="BL1233" s="30"/>
      <c r="BM1233" s="30"/>
      <c r="BN1233" s="30"/>
      <c r="BO1233" s="30"/>
      <c r="BP1233" s="30"/>
      <c r="BQ1233" s="30"/>
      <c r="BR1233" s="30"/>
      <c r="BS1233" s="30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30"/>
      <c r="CE1233" s="30"/>
      <c r="CF1233" s="30"/>
      <c r="CG1233" s="30"/>
      <c r="CH1233" s="30"/>
      <c r="CI1233" s="30"/>
      <c r="CJ1233" s="30"/>
      <c r="CK1233" s="30"/>
      <c r="CL1233" s="30"/>
      <c r="CM1233" s="30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</row>
    <row r="1234" spans="2:101" ht="15" hidden="1" customHeight="1" x14ac:dyDescent="0.25"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30"/>
      <c r="W1234" s="30"/>
      <c r="X1234" s="30"/>
      <c r="Y1234" s="30"/>
      <c r="Z1234" s="30"/>
      <c r="AA1234" s="30"/>
      <c r="AB1234" s="30"/>
      <c r="AC1234" s="30"/>
      <c r="AD1234" s="30"/>
      <c r="AE1234" s="30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30"/>
      <c r="AQ1234" s="30"/>
      <c r="AR1234" s="30"/>
      <c r="AS1234" s="30"/>
      <c r="AT1234" s="30"/>
      <c r="AU1234" s="30"/>
      <c r="AV1234" s="30"/>
      <c r="AW1234" s="30"/>
      <c r="AX1234" s="30"/>
      <c r="AY1234" s="30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30"/>
      <c r="BK1234" s="30"/>
      <c r="BL1234" s="30"/>
      <c r="BM1234" s="30"/>
      <c r="BN1234" s="30"/>
      <c r="BO1234" s="30"/>
      <c r="BP1234" s="30"/>
      <c r="BQ1234" s="30"/>
      <c r="BR1234" s="30"/>
      <c r="BS1234" s="30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30"/>
      <c r="CE1234" s="30"/>
      <c r="CF1234" s="30"/>
      <c r="CG1234" s="30"/>
      <c r="CH1234" s="30"/>
      <c r="CI1234" s="30"/>
      <c r="CJ1234" s="30"/>
      <c r="CK1234" s="30"/>
      <c r="CL1234" s="30"/>
      <c r="CM1234" s="30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</row>
    <row r="1235" spans="2:101" ht="15" hidden="1" customHeight="1" x14ac:dyDescent="0.25"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30"/>
      <c r="W1235" s="30"/>
      <c r="X1235" s="30"/>
      <c r="Y1235" s="30"/>
      <c r="Z1235" s="30"/>
      <c r="AA1235" s="30"/>
      <c r="AB1235" s="30"/>
      <c r="AC1235" s="30"/>
      <c r="AD1235" s="30"/>
      <c r="AE1235" s="30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30"/>
      <c r="AQ1235" s="30"/>
      <c r="AR1235" s="30"/>
      <c r="AS1235" s="30"/>
      <c r="AT1235" s="30"/>
      <c r="AU1235" s="30"/>
      <c r="AV1235" s="30"/>
      <c r="AW1235" s="30"/>
      <c r="AX1235" s="30"/>
      <c r="AY1235" s="30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30"/>
      <c r="BK1235" s="30"/>
      <c r="BL1235" s="30"/>
      <c r="BM1235" s="30"/>
      <c r="BN1235" s="30"/>
      <c r="BO1235" s="30"/>
      <c r="BP1235" s="30"/>
      <c r="BQ1235" s="30"/>
      <c r="BR1235" s="30"/>
      <c r="BS1235" s="30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30"/>
      <c r="CE1235" s="30"/>
      <c r="CF1235" s="30"/>
      <c r="CG1235" s="30"/>
      <c r="CH1235" s="30"/>
      <c r="CI1235" s="30"/>
      <c r="CJ1235" s="30"/>
      <c r="CK1235" s="30"/>
      <c r="CL1235" s="30"/>
      <c r="CM1235" s="30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</row>
    <row r="1236" spans="2:101" ht="15" hidden="1" customHeight="1" x14ac:dyDescent="0.25"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30"/>
      <c r="W1236" s="30"/>
      <c r="X1236" s="30"/>
      <c r="Y1236" s="30"/>
      <c r="Z1236" s="30"/>
      <c r="AA1236" s="30"/>
      <c r="AB1236" s="30"/>
      <c r="AC1236" s="30"/>
      <c r="AD1236" s="30"/>
      <c r="AE1236" s="30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30"/>
      <c r="AQ1236" s="30"/>
      <c r="AR1236" s="30"/>
      <c r="AS1236" s="30"/>
      <c r="AT1236" s="30"/>
      <c r="AU1236" s="30"/>
      <c r="AV1236" s="30"/>
      <c r="AW1236" s="30"/>
      <c r="AX1236" s="30"/>
      <c r="AY1236" s="30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30"/>
      <c r="BK1236" s="30"/>
      <c r="BL1236" s="30"/>
      <c r="BM1236" s="30"/>
      <c r="BN1236" s="30"/>
      <c r="BO1236" s="30"/>
      <c r="BP1236" s="30"/>
      <c r="BQ1236" s="30"/>
      <c r="BR1236" s="30"/>
      <c r="BS1236" s="30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30"/>
      <c r="CE1236" s="30"/>
      <c r="CF1236" s="30"/>
      <c r="CG1236" s="30"/>
      <c r="CH1236" s="30"/>
      <c r="CI1236" s="30"/>
      <c r="CJ1236" s="30"/>
      <c r="CK1236" s="30"/>
      <c r="CL1236" s="30"/>
      <c r="CM1236" s="30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</row>
    <row r="1237" spans="2:101" ht="15" hidden="1" customHeight="1" x14ac:dyDescent="0.25"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30"/>
      <c r="W1237" s="30"/>
      <c r="X1237" s="30"/>
      <c r="Y1237" s="30"/>
      <c r="Z1237" s="30"/>
      <c r="AA1237" s="30"/>
      <c r="AB1237" s="30"/>
      <c r="AC1237" s="30"/>
      <c r="AD1237" s="30"/>
      <c r="AE1237" s="30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30"/>
      <c r="AQ1237" s="30"/>
      <c r="AR1237" s="30"/>
      <c r="AS1237" s="30"/>
      <c r="AT1237" s="30"/>
      <c r="AU1237" s="30"/>
      <c r="AV1237" s="30"/>
      <c r="AW1237" s="30"/>
      <c r="AX1237" s="30"/>
      <c r="AY1237" s="30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30"/>
      <c r="BK1237" s="30"/>
      <c r="BL1237" s="30"/>
      <c r="BM1237" s="30"/>
      <c r="BN1237" s="30"/>
      <c r="BO1237" s="30"/>
      <c r="BP1237" s="30"/>
      <c r="BQ1237" s="30"/>
      <c r="BR1237" s="30"/>
      <c r="BS1237" s="30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30"/>
      <c r="CE1237" s="30"/>
      <c r="CF1237" s="30"/>
      <c r="CG1237" s="30"/>
      <c r="CH1237" s="30"/>
      <c r="CI1237" s="30"/>
      <c r="CJ1237" s="30"/>
      <c r="CK1237" s="30"/>
      <c r="CL1237" s="30"/>
      <c r="CM1237" s="30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</row>
    <row r="1238" spans="2:101" ht="15" hidden="1" customHeight="1" x14ac:dyDescent="0.25"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30"/>
      <c r="W1238" s="30"/>
      <c r="X1238" s="30"/>
      <c r="Y1238" s="30"/>
      <c r="Z1238" s="30"/>
      <c r="AA1238" s="30"/>
      <c r="AB1238" s="30"/>
      <c r="AC1238" s="30"/>
      <c r="AD1238" s="30"/>
      <c r="AE1238" s="30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30"/>
      <c r="AQ1238" s="30"/>
      <c r="AR1238" s="30"/>
      <c r="AS1238" s="30"/>
      <c r="AT1238" s="30"/>
      <c r="AU1238" s="30"/>
      <c r="AV1238" s="30"/>
      <c r="AW1238" s="30"/>
      <c r="AX1238" s="30"/>
      <c r="AY1238" s="30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30"/>
      <c r="BK1238" s="30"/>
      <c r="BL1238" s="30"/>
      <c r="BM1238" s="30"/>
      <c r="BN1238" s="30"/>
      <c r="BO1238" s="30"/>
      <c r="BP1238" s="30"/>
      <c r="BQ1238" s="30"/>
      <c r="BR1238" s="30"/>
      <c r="BS1238" s="30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30"/>
      <c r="CE1238" s="30"/>
      <c r="CF1238" s="30"/>
      <c r="CG1238" s="30"/>
      <c r="CH1238" s="30"/>
      <c r="CI1238" s="30"/>
      <c r="CJ1238" s="30"/>
      <c r="CK1238" s="30"/>
      <c r="CL1238" s="30"/>
      <c r="CM1238" s="30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</row>
    <row r="1239" spans="2:101" ht="15" hidden="1" customHeight="1" x14ac:dyDescent="0.25"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30"/>
      <c r="W1239" s="30"/>
      <c r="X1239" s="30"/>
      <c r="Y1239" s="30"/>
      <c r="Z1239" s="30"/>
      <c r="AA1239" s="30"/>
      <c r="AB1239" s="30"/>
      <c r="AC1239" s="30"/>
      <c r="AD1239" s="30"/>
      <c r="AE1239" s="30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30"/>
      <c r="AQ1239" s="30"/>
      <c r="AR1239" s="30"/>
      <c r="AS1239" s="30"/>
      <c r="AT1239" s="30"/>
      <c r="AU1239" s="30"/>
      <c r="AV1239" s="30"/>
      <c r="AW1239" s="30"/>
      <c r="AX1239" s="30"/>
      <c r="AY1239" s="30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30"/>
      <c r="BK1239" s="30"/>
      <c r="BL1239" s="30"/>
      <c r="BM1239" s="30"/>
      <c r="BN1239" s="30"/>
      <c r="BO1239" s="30"/>
      <c r="BP1239" s="30"/>
      <c r="BQ1239" s="30"/>
      <c r="BR1239" s="30"/>
      <c r="BS1239" s="30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30"/>
      <c r="CE1239" s="30"/>
      <c r="CF1239" s="30"/>
      <c r="CG1239" s="30"/>
      <c r="CH1239" s="30"/>
      <c r="CI1239" s="30"/>
      <c r="CJ1239" s="30"/>
      <c r="CK1239" s="30"/>
      <c r="CL1239" s="30"/>
      <c r="CM1239" s="30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</row>
    <row r="1240" spans="2:101" ht="15" hidden="1" customHeight="1" x14ac:dyDescent="0.25"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30"/>
      <c r="W1240" s="30"/>
      <c r="X1240" s="30"/>
      <c r="Y1240" s="30"/>
      <c r="Z1240" s="30"/>
      <c r="AA1240" s="30"/>
      <c r="AB1240" s="30"/>
      <c r="AC1240" s="30"/>
      <c r="AD1240" s="30"/>
      <c r="AE1240" s="30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30"/>
      <c r="AQ1240" s="30"/>
      <c r="AR1240" s="30"/>
      <c r="AS1240" s="30"/>
      <c r="AT1240" s="30"/>
      <c r="AU1240" s="30"/>
      <c r="AV1240" s="30"/>
      <c r="AW1240" s="30"/>
      <c r="AX1240" s="30"/>
      <c r="AY1240" s="30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30"/>
      <c r="BK1240" s="30"/>
      <c r="BL1240" s="30"/>
      <c r="BM1240" s="30"/>
      <c r="BN1240" s="30"/>
      <c r="BO1240" s="30"/>
      <c r="BP1240" s="30"/>
      <c r="BQ1240" s="30"/>
      <c r="BR1240" s="30"/>
      <c r="BS1240" s="30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30"/>
      <c r="CE1240" s="30"/>
      <c r="CF1240" s="30"/>
      <c r="CG1240" s="30"/>
      <c r="CH1240" s="30"/>
      <c r="CI1240" s="30"/>
      <c r="CJ1240" s="30"/>
      <c r="CK1240" s="30"/>
      <c r="CL1240" s="30"/>
      <c r="CM1240" s="30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</row>
    <row r="1241" spans="2:101" ht="15" hidden="1" customHeight="1" x14ac:dyDescent="0.25"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30"/>
      <c r="W1241" s="30"/>
      <c r="X1241" s="30"/>
      <c r="Y1241" s="30"/>
      <c r="Z1241" s="30"/>
      <c r="AA1241" s="30"/>
      <c r="AB1241" s="30"/>
      <c r="AC1241" s="30"/>
      <c r="AD1241" s="30"/>
      <c r="AE1241" s="30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30"/>
      <c r="AQ1241" s="30"/>
      <c r="AR1241" s="30"/>
      <c r="AS1241" s="30"/>
      <c r="AT1241" s="30"/>
      <c r="AU1241" s="30"/>
      <c r="AV1241" s="30"/>
      <c r="AW1241" s="30"/>
      <c r="AX1241" s="30"/>
      <c r="AY1241" s="30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30"/>
      <c r="BK1241" s="30"/>
      <c r="BL1241" s="30"/>
      <c r="BM1241" s="30"/>
      <c r="BN1241" s="30"/>
      <c r="BO1241" s="30"/>
      <c r="BP1241" s="30"/>
      <c r="BQ1241" s="30"/>
      <c r="BR1241" s="30"/>
      <c r="BS1241" s="30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30"/>
      <c r="CE1241" s="30"/>
      <c r="CF1241" s="30"/>
      <c r="CG1241" s="30"/>
      <c r="CH1241" s="30"/>
      <c r="CI1241" s="30"/>
      <c r="CJ1241" s="30"/>
      <c r="CK1241" s="30"/>
      <c r="CL1241" s="30"/>
      <c r="CM1241" s="30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</row>
    <row r="1242" spans="2:101" ht="15" hidden="1" customHeight="1" x14ac:dyDescent="0.25"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30"/>
      <c r="W1242" s="30"/>
      <c r="X1242" s="30"/>
      <c r="Y1242" s="30"/>
      <c r="Z1242" s="30"/>
      <c r="AA1242" s="30"/>
      <c r="AB1242" s="30"/>
      <c r="AC1242" s="30"/>
      <c r="AD1242" s="30"/>
      <c r="AE1242" s="30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30"/>
      <c r="AQ1242" s="30"/>
      <c r="AR1242" s="30"/>
      <c r="AS1242" s="30"/>
      <c r="AT1242" s="30"/>
      <c r="AU1242" s="30"/>
      <c r="AV1242" s="30"/>
      <c r="AW1242" s="30"/>
      <c r="AX1242" s="30"/>
      <c r="AY1242" s="30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30"/>
      <c r="BK1242" s="30"/>
      <c r="BL1242" s="30"/>
      <c r="BM1242" s="30"/>
      <c r="BN1242" s="30"/>
      <c r="BO1242" s="30"/>
      <c r="BP1242" s="30"/>
      <c r="BQ1242" s="30"/>
      <c r="BR1242" s="30"/>
      <c r="BS1242" s="30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30"/>
      <c r="CE1242" s="30"/>
      <c r="CF1242" s="30"/>
      <c r="CG1242" s="30"/>
      <c r="CH1242" s="30"/>
      <c r="CI1242" s="30"/>
      <c r="CJ1242" s="30"/>
      <c r="CK1242" s="30"/>
      <c r="CL1242" s="30"/>
      <c r="CM1242" s="30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</row>
    <row r="1243" spans="2:101" ht="15" hidden="1" customHeight="1" x14ac:dyDescent="0.25"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30"/>
      <c r="W1243" s="30"/>
      <c r="X1243" s="30"/>
      <c r="Y1243" s="30"/>
      <c r="Z1243" s="30"/>
      <c r="AA1243" s="30"/>
      <c r="AB1243" s="30"/>
      <c r="AC1243" s="30"/>
      <c r="AD1243" s="30"/>
      <c r="AE1243" s="30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30"/>
      <c r="AQ1243" s="30"/>
      <c r="AR1243" s="30"/>
      <c r="AS1243" s="30"/>
      <c r="AT1243" s="30"/>
      <c r="AU1243" s="30"/>
      <c r="AV1243" s="30"/>
      <c r="AW1243" s="30"/>
      <c r="AX1243" s="30"/>
      <c r="AY1243" s="30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30"/>
      <c r="BK1243" s="30"/>
      <c r="BL1243" s="30"/>
      <c r="BM1243" s="30"/>
      <c r="BN1243" s="30"/>
      <c r="BO1243" s="30"/>
      <c r="BP1243" s="30"/>
      <c r="BQ1243" s="30"/>
      <c r="BR1243" s="30"/>
      <c r="BS1243" s="30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30"/>
      <c r="CE1243" s="30"/>
      <c r="CF1243" s="30"/>
      <c r="CG1243" s="30"/>
      <c r="CH1243" s="30"/>
      <c r="CI1243" s="30"/>
      <c r="CJ1243" s="30"/>
      <c r="CK1243" s="30"/>
      <c r="CL1243" s="30"/>
      <c r="CM1243" s="30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</row>
    <row r="1244" spans="2:101" ht="15" hidden="1" customHeight="1" x14ac:dyDescent="0.25"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30"/>
      <c r="W1244" s="30"/>
      <c r="X1244" s="30"/>
      <c r="Y1244" s="30"/>
      <c r="Z1244" s="30"/>
      <c r="AA1244" s="30"/>
      <c r="AB1244" s="30"/>
      <c r="AC1244" s="30"/>
      <c r="AD1244" s="30"/>
      <c r="AE1244" s="30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30"/>
      <c r="AQ1244" s="30"/>
      <c r="AR1244" s="30"/>
      <c r="AS1244" s="30"/>
      <c r="AT1244" s="30"/>
      <c r="AU1244" s="30"/>
      <c r="AV1244" s="30"/>
      <c r="AW1244" s="30"/>
      <c r="AX1244" s="30"/>
      <c r="AY1244" s="30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30"/>
      <c r="BK1244" s="30"/>
      <c r="BL1244" s="30"/>
      <c r="BM1244" s="30"/>
      <c r="BN1244" s="30"/>
      <c r="BO1244" s="30"/>
      <c r="BP1244" s="30"/>
      <c r="BQ1244" s="30"/>
      <c r="BR1244" s="30"/>
      <c r="BS1244" s="30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30"/>
      <c r="CE1244" s="30"/>
      <c r="CF1244" s="30"/>
      <c r="CG1244" s="30"/>
      <c r="CH1244" s="30"/>
      <c r="CI1244" s="30"/>
      <c r="CJ1244" s="30"/>
      <c r="CK1244" s="30"/>
      <c r="CL1244" s="30"/>
      <c r="CM1244" s="30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</row>
    <row r="1245" spans="2:101" ht="15" hidden="1" customHeight="1" x14ac:dyDescent="0.25"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30"/>
      <c r="W1245" s="30"/>
      <c r="X1245" s="30"/>
      <c r="Y1245" s="30"/>
      <c r="Z1245" s="30"/>
      <c r="AA1245" s="30"/>
      <c r="AB1245" s="30"/>
      <c r="AC1245" s="30"/>
      <c r="AD1245" s="30"/>
      <c r="AE1245" s="30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30"/>
      <c r="AQ1245" s="30"/>
      <c r="AR1245" s="30"/>
      <c r="AS1245" s="30"/>
      <c r="AT1245" s="30"/>
      <c r="AU1245" s="30"/>
      <c r="AV1245" s="30"/>
      <c r="AW1245" s="30"/>
      <c r="AX1245" s="30"/>
      <c r="AY1245" s="30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30"/>
      <c r="BK1245" s="30"/>
      <c r="BL1245" s="30"/>
      <c r="BM1245" s="30"/>
      <c r="BN1245" s="30"/>
      <c r="BO1245" s="30"/>
      <c r="BP1245" s="30"/>
      <c r="BQ1245" s="30"/>
      <c r="BR1245" s="30"/>
      <c r="BS1245" s="30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30"/>
      <c r="CE1245" s="30"/>
      <c r="CF1245" s="30"/>
      <c r="CG1245" s="30"/>
      <c r="CH1245" s="30"/>
      <c r="CI1245" s="30"/>
      <c r="CJ1245" s="30"/>
      <c r="CK1245" s="30"/>
      <c r="CL1245" s="30"/>
      <c r="CM1245" s="30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</row>
    <row r="1246" spans="2:101" ht="15" hidden="1" customHeight="1" x14ac:dyDescent="0.25"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30"/>
      <c r="W1246" s="30"/>
      <c r="X1246" s="30"/>
      <c r="Y1246" s="30"/>
      <c r="Z1246" s="30"/>
      <c r="AA1246" s="30"/>
      <c r="AB1246" s="30"/>
      <c r="AC1246" s="30"/>
      <c r="AD1246" s="30"/>
      <c r="AE1246" s="30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30"/>
      <c r="AQ1246" s="30"/>
      <c r="AR1246" s="30"/>
      <c r="AS1246" s="30"/>
      <c r="AT1246" s="30"/>
      <c r="AU1246" s="30"/>
      <c r="AV1246" s="30"/>
      <c r="AW1246" s="30"/>
      <c r="AX1246" s="30"/>
      <c r="AY1246" s="30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30"/>
      <c r="BK1246" s="30"/>
      <c r="BL1246" s="30"/>
      <c r="BM1246" s="30"/>
      <c r="BN1246" s="30"/>
      <c r="BO1246" s="30"/>
      <c r="BP1246" s="30"/>
      <c r="BQ1246" s="30"/>
      <c r="BR1246" s="30"/>
      <c r="BS1246" s="30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30"/>
      <c r="CE1246" s="30"/>
      <c r="CF1246" s="30"/>
      <c r="CG1246" s="30"/>
      <c r="CH1246" s="30"/>
      <c r="CI1246" s="30"/>
      <c r="CJ1246" s="30"/>
      <c r="CK1246" s="30"/>
      <c r="CL1246" s="30"/>
      <c r="CM1246" s="30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</row>
    <row r="1247" spans="2:101" ht="15" hidden="1" customHeight="1" x14ac:dyDescent="0.25"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30"/>
      <c r="W1247" s="30"/>
      <c r="X1247" s="30"/>
      <c r="Y1247" s="30"/>
      <c r="Z1247" s="30"/>
      <c r="AA1247" s="30"/>
      <c r="AB1247" s="30"/>
      <c r="AC1247" s="30"/>
      <c r="AD1247" s="30"/>
      <c r="AE1247" s="30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30"/>
      <c r="AQ1247" s="30"/>
      <c r="AR1247" s="30"/>
      <c r="AS1247" s="30"/>
      <c r="AT1247" s="30"/>
      <c r="AU1247" s="30"/>
      <c r="AV1247" s="30"/>
      <c r="AW1247" s="30"/>
      <c r="AX1247" s="30"/>
      <c r="AY1247" s="30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30"/>
      <c r="BK1247" s="30"/>
      <c r="BL1247" s="30"/>
      <c r="BM1247" s="30"/>
      <c r="BN1247" s="30"/>
      <c r="BO1247" s="30"/>
      <c r="BP1247" s="30"/>
      <c r="BQ1247" s="30"/>
      <c r="BR1247" s="30"/>
      <c r="BS1247" s="30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30"/>
      <c r="CE1247" s="30"/>
      <c r="CF1247" s="30"/>
      <c r="CG1247" s="30"/>
      <c r="CH1247" s="30"/>
      <c r="CI1247" s="30"/>
      <c r="CJ1247" s="30"/>
      <c r="CK1247" s="30"/>
      <c r="CL1247" s="30"/>
      <c r="CM1247" s="30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</row>
    <row r="1248" spans="2:101" ht="15" hidden="1" customHeight="1" x14ac:dyDescent="0.25"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30"/>
      <c r="W1248" s="30"/>
      <c r="X1248" s="30"/>
      <c r="Y1248" s="30"/>
      <c r="Z1248" s="30"/>
      <c r="AA1248" s="30"/>
      <c r="AB1248" s="30"/>
      <c r="AC1248" s="30"/>
      <c r="AD1248" s="30"/>
      <c r="AE1248" s="30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30"/>
      <c r="AQ1248" s="30"/>
      <c r="AR1248" s="30"/>
      <c r="AS1248" s="30"/>
      <c r="AT1248" s="30"/>
      <c r="AU1248" s="30"/>
      <c r="AV1248" s="30"/>
      <c r="AW1248" s="30"/>
      <c r="AX1248" s="30"/>
      <c r="AY1248" s="30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30"/>
      <c r="BK1248" s="30"/>
      <c r="BL1248" s="30"/>
      <c r="BM1248" s="30"/>
      <c r="BN1248" s="30"/>
      <c r="BO1248" s="30"/>
      <c r="BP1248" s="30"/>
      <c r="BQ1248" s="30"/>
      <c r="BR1248" s="30"/>
      <c r="BS1248" s="30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30"/>
      <c r="CE1248" s="30"/>
      <c r="CF1248" s="30"/>
      <c r="CG1248" s="30"/>
      <c r="CH1248" s="30"/>
      <c r="CI1248" s="30"/>
      <c r="CJ1248" s="30"/>
      <c r="CK1248" s="30"/>
      <c r="CL1248" s="30"/>
      <c r="CM1248" s="30"/>
      <c r="CN1248" s="1"/>
      <c r="CO1248" s="1"/>
      <c r="CP1248" s="1"/>
      <c r="CQ1248" s="1"/>
      <c r="CR1248" s="1"/>
      <c r="CS1248" s="1"/>
      <c r="CT1248" s="1"/>
      <c r="CU1248" s="1"/>
      <c r="CV1248" s="1"/>
      <c r="CW1248" s="1"/>
    </row>
    <row r="1249" spans="2:101" ht="15" hidden="1" customHeight="1" x14ac:dyDescent="0.25"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30"/>
      <c r="W1249" s="30"/>
      <c r="X1249" s="30"/>
      <c r="Y1249" s="30"/>
      <c r="Z1249" s="30"/>
      <c r="AA1249" s="30"/>
      <c r="AB1249" s="30"/>
      <c r="AC1249" s="30"/>
      <c r="AD1249" s="30"/>
      <c r="AE1249" s="30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30"/>
      <c r="AQ1249" s="30"/>
      <c r="AR1249" s="30"/>
      <c r="AS1249" s="30"/>
      <c r="AT1249" s="30"/>
      <c r="AU1249" s="30"/>
      <c r="AV1249" s="30"/>
      <c r="AW1249" s="30"/>
      <c r="AX1249" s="30"/>
      <c r="AY1249" s="30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30"/>
      <c r="BK1249" s="30"/>
      <c r="BL1249" s="30"/>
      <c r="BM1249" s="30"/>
      <c r="BN1249" s="30"/>
      <c r="BO1249" s="30"/>
      <c r="BP1249" s="30"/>
      <c r="BQ1249" s="30"/>
      <c r="BR1249" s="30"/>
      <c r="BS1249" s="30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30"/>
      <c r="CE1249" s="30"/>
      <c r="CF1249" s="30"/>
      <c r="CG1249" s="30"/>
      <c r="CH1249" s="30"/>
      <c r="CI1249" s="30"/>
      <c r="CJ1249" s="30"/>
      <c r="CK1249" s="30"/>
      <c r="CL1249" s="30"/>
      <c r="CM1249" s="30"/>
      <c r="CN1249" s="1"/>
      <c r="CO1249" s="1"/>
      <c r="CP1249" s="1"/>
      <c r="CQ1249" s="1"/>
      <c r="CR1249" s="1"/>
      <c r="CS1249" s="1"/>
      <c r="CT1249" s="1"/>
      <c r="CU1249" s="1"/>
      <c r="CV1249" s="1"/>
      <c r="CW1249" s="1"/>
    </row>
    <row r="1250" spans="2:101" ht="15" hidden="1" customHeight="1" x14ac:dyDescent="0.25"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30"/>
      <c r="W1250" s="30"/>
      <c r="X1250" s="30"/>
      <c r="Y1250" s="30"/>
      <c r="Z1250" s="30"/>
      <c r="AA1250" s="30"/>
      <c r="AB1250" s="30"/>
      <c r="AC1250" s="30"/>
      <c r="AD1250" s="30"/>
      <c r="AE1250" s="30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30"/>
      <c r="AQ1250" s="30"/>
      <c r="AR1250" s="30"/>
      <c r="AS1250" s="30"/>
      <c r="AT1250" s="30"/>
      <c r="AU1250" s="30"/>
      <c r="AV1250" s="30"/>
      <c r="AW1250" s="30"/>
      <c r="AX1250" s="30"/>
      <c r="AY1250" s="30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30"/>
      <c r="BK1250" s="30"/>
      <c r="BL1250" s="30"/>
      <c r="BM1250" s="30"/>
      <c r="BN1250" s="30"/>
      <c r="BO1250" s="30"/>
      <c r="BP1250" s="30"/>
      <c r="BQ1250" s="30"/>
      <c r="BR1250" s="30"/>
      <c r="BS1250" s="30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30"/>
      <c r="CE1250" s="30"/>
      <c r="CF1250" s="30"/>
      <c r="CG1250" s="30"/>
      <c r="CH1250" s="30"/>
      <c r="CI1250" s="30"/>
      <c r="CJ1250" s="30"/>
      <c r="CK1250" s="30"/>
      <c r="CL1250" s="30"/>
      <c r="CM1250" s="30"/>
      <c r="CN1250" s="1"/>
      <c r="CO1250" s="1"/>
      <c r="CP1250" s="1"/>
      <c r="CQ1250" s="1"/>
      <c r="CR1250" s="1"/>
      <c r="CS1250" s="1"/>
      <c r="CT1250" s="1"/>
      <c r="CU1250" s="1"/>
      <c r="CV1250" s="1"/>
      <c r="CW1250" s="1"/>
    </row>
    <row r="1251" spans="2:101" ht="15" hidden="1" customHeight="1" x14ac:dyDescent="0.25"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30"/>
      <c r="W1251" s="30"/>
      <c r="X1251" s="30"/>
      <c r="Y1251" s="30"/>
      <c r="Z1251" s="30"/>
      <c r="AA1251" s="30"/>
      <c r="AB1251" s="30"/>
      <c r="AC1251" s="30"/>
      <c r="AD1251" s="30"/>
      <c r="AE1251" s="30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30"/>
      <c r="AQ1251" s="30"/>
      <c r="AR1251" s="30"/>
      <c r="AS1251" s="30"/>
      <c r="AT1251" s="30"/>
      <c r="AU1251" s="30"/>
      <c r="AV1251" s="30"/>
      <c r="AW1251" s="30"/>
      <c r="AX1251" s="30"/>
      <c r="AY1251" s="30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30"/>
      <c r="BK1251" s="30"/>
      <c r="BL1251" s="30"/>
      <c r="BM1251" s="30"/>
      <c r="BN1251" s="30"/>
      <c r="BO1251" s="30"/>
      <c r="BP1251" s="30"/>
      <c r="BQ1251" s="30"/>
      <c r="BR1251" s="30"/>
      <c r="BS1251" s="30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30"/>
      <c r="CE1251" s="30"/>
      <c r="CF1251" s="30"/>
      <c r="CG1251" s="30"/>
      <c r="CH1251" s="30"/>
      <c r="CI1251" s="30"/>
      <c r="CJ1251" s="30"/>
      <c r="CK1251" s="30"/>
      <c r="CL1251" s="30"/>
      <c r="CM1251" s="30"/>
      <c r="CN1251" s="1"/>
      <c r="CO1251" s="1"/>
      <c r="CP1251" s="1"/>
      <c r="CQ1251" s="1"/>
      <c r="CR1251" s="1"/>
      <c r="CS1251" s="1"/>
      <c r="CT1251" s="1"/>
      <c r="CU1251" s="1"/>
      <c r="CV1251" s="1"/>
      <c r="CW1251" s="1"/>
    </row>
    <row r="1252" spans="2:101" ht="15" hidden="1" customHeight="1" x14ac:dyDescent="0.25"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30"/>
      <c r="W1252" s="30"/>
      <c r="X1252" s="30"/>
      <c r="Y1252" s="30"/>
      <c r="Z1252" s="30"/>
      <c r="AA1252" s="30"/>
      <c r="AB1252" s="30"/>
      <c r="AC1252" s="30"/>
      <c r="AD1252" s="30"/>
      <c r="AE1252" s="30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30"/>
      <c r="AQ1252" s="30"/>
      <c r="AR1252" s="30"/>
      <c r="AS1252" s="30"/>
      <c r="AT1252" s="30"/>
      <c r="AU1252" s="30"/>
      <c r="AV1252" s="30"/>
      <c r="AW1252" s="30"/>
      <c r="AX1252" s="30"/>
      <c r="AY1252" s="30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30"/>
      <c r="BK1252" s="30"/>
      <c r="BL1252" s="30"/>
      <c r="BM1252" s="30"/>
      <c r="BN1252" s="30"/>
      <c r="BO1252" s="30"/>
      <c r="BP1252" s="30"/>
      <c r="BQ1252" s="30"/>
      <c r="BR1252" s="30"/>
      <c r="BS1252" s="30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30"/>
      <c r="CE1252" s="30"/>
      <c r="CF1252" s="30"/>
      <c r="CG1252" s="30"/>
      <c r="CH1252" s="30"/>
      <c r="CI1252" s="30"/>
      <c r="CJ1252" s="30"/>
      <c r="CK1252" s="30"/>
      <c r="CL1252" s="30"/>
      <c r="CM1252" s="30"/>
      <c r="CN1252" s="1"/>
      <c r="CO1252" s="1"/>
      <c r="CP1252" s="1"/>
      <c r="CQ1252" s="1"/>
      <c r="CR1252" s="1"/>
      <c r="CS1252" s="1"/>
      <c r="CT1252" s="1"/>
      <c r="CU1252" s="1"/>
      <c r="CV1252" s="1"/>
      <c r="CW1252" s="1"/>
    </row>
    <row r="1253" spans="2:101" ht="15" hidden="1" customHeight="1" x14ac:dyDescent="0.25"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30"/>
      <c r="W1253" s="30"/>
      <c r="X1253" s="30"/>
      <c r="Y1253" s="30"/>
      <c r="Z1253" s="30"/>
      <c r="AA1253" s="30"/>
      <c r="AB1253" s="30"/>
      <c r="AC1253" s="30"/>
      <c r="AD1253" s="30"/>
      <c r="AE1253" s="30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30"/>
      <c r="AQ1253" s="30"/>
      <c r="AR1253" s="30"/>
      <c r="AS1253" s="30"/>
      <c r="AT1253" s="30"/>
      <c r="AU1253" s="30"/>
      <c r="AV1253" s="30"/>
      <c r="AW1253" s="30"/>
      <c r="AX1253" s="30"/>
      <c r="AY1253" s="30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30"/>
      <c r="BK1253" s="30"/>
      <c r="BL1253" s="30"/>
      <c r="BM1253" s="30"/>
      <c r="BN1253" s="30"/>
      <c r="BO1253" s="30"/>
      <c r="BP1253" s="30"/>
      <c r="BQ1253" s="30"/>
      <c r="BR1253" s="30"/>
      <c r="BS1253" s="30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30"/>
      <c r="CE1253" s="30"/>
      <c r="CF1253" s="30"/>
      <c r="CG1253" s="30"/>
      <c r="CH1253" s="30"/>
      <c r="CI1253" s="30"/>
      <c r="CJ1253" s="30"/>
      <c r="CK1253" s="30"/>
      <c r="CL1253" s="30"/>
      <c r="CM1253" s="30"/>
      <c r="CN1253" s="1"/>
      <c r="CO1253" s="1"/>
      <c r="CP1253" s="1"/>
      <c r="CQ1253" s="1"/>
      <c r="CR1253" s="1"/>
      <c r="CS1253" s="1"/>
      <c r="CT1253" s="1"/>
      <c r="CU1253" s="1"/>
      <c r="CV1253" s="1"/>
      <c r="CW1253" s="1"/>
    </row>
    <row r="1254" spans="2:101" ht="15" hidden="1" customHeight="1" x14ac:dyDescent="0.25"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30"/>
      <c r="W1254" s="30"/>
      <c r="X1254" s="30"/>
      <c r="Y1254" s="30"/>
      <c r="Z1254" s="30"/>
      <c r="AA1254" s="30"/>
      <c r="AB1254" s="30"/>
      <c r="AC1254" s="30"/>
      <c r="AD1254" s="30"/>
      <c r="AE1254" s="30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30"/>
      <c r="AQ1254" s="30"/>
      <c r="AR1254" s="30"/>
      <c r="AS1254" s="30"/>
      <c r="AT1254" s="30"/>
      <c r="AU1254" s="30"/>
      <c r="AV1254" s="30"/>
      <c r="AW1254" s="30"/>
      <c r="AX1254" s="30"/>
      <c r="AY1254" s="30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30"/>
      <c r="BK1254" s="30"/>
      <c r="BL1254" s="30"/>
      <c r="BM1254" s="30"/>
      <c r="BN1254" s="30"/>
      <c r="BO1254" s="30"/>
      <c r="BP1254" s="30"/>
      <c r="BQ1254" s="30"/>
      <c r="BR1254" s="30"/>
      <c r="BS1254" s="30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30"/>
      <c r="CE1254" s="30"/>
      <c r="CF1254" s="30"/>
      <c r="CG1254" s="30"/>
      <c r="CH1254" s="30"/>
      <c r="CI1254" s="30"/>
      <c r="CJ1254" s="30"/>
      <c r="CK1254" s="30"/>
      <c r="CL1254" s="30"/>
      <c r="CM1254" s="30"/>
      <c r="CN1254" s="1"/>
      <c r="CO1254" s="1"/>
      <c r="CP1254" s="1"/>
      <c r="CQ1254" s="1"/>
      <c r="CR1254" s="1"/>
      <c r="CS1254" s="1"/>
      <c r="CT1254" s="1"/>
      <c r="CU1254" s="1"/>
      <c r="CV1254" s="1"/>
      <c r="CW1254" s="1"/>
    </row>
    <row r="1255" spans="2:101" ht="15" hidden="1" customHeight="1" x14ac:dyDescent="0.25"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30"/>
      <c r="W1255" s="30"/>
      <c r="X1255" s="30"/>
      <c r="Y1255" s="30"/>
      <c r="Z1255" s="30"/>
      <c r="AA1255" s="30"/>
      <c r="AB1255" s="30"/>
      <c r="AC1255" s="30"/>
      <c r="AD1255" s="30"/>
      <c r="AE1255" s="30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30"/>
      <c r="AQ1255" s="30"/>
      <c r="AR1255" s="30"/>
      <c r="AS1255" s="30"/>
      <c r="AT1255" s="30"/>
      <c r="AU1255" s="30"/>
      <c r="AV1255" s="30"/>
      <c r="AW1255" s="30"/>
      <c r="AX1255" s="30"/>
      <c r="AY1255" s="30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30"/>
      <c r="BK1255" s="30"/>
      <c r="BL1255" s="30"/>
      <c r="BM1255" s="30"/>
      <c r="BN1255" s="30"/>
      <c r="BO1255" s="30"/>
      <c r="BP1255" s="30"/>
      <c r="BQ1255" s="30"/>
      <c r="BR1255" s="30"/>
      <c r="BS1255" s="30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30"/>
      <c r="CE1255" s="30"/>
      <c r="CF1255" s="30"/>
      <c r="CG1255" s="30"/>
      <c r="CH1255" s="30"/>
      <c r="CI1255" s="30"/>
      <c r="CJ1255" s="30"/>
      <c r="CK1255" s="30"/>
      <c r="CL1255" s="30"/>
      <c r="CM1255" s="30"/>
      <c r="CN1255" s="1"/>
      <c r="CO1255" s="1"/>
      <c r="CP1255" s="1"/>
      <c r="CQ1255" s="1"/>
      <c r="CR1255" s="1"/>
      <c r="CS1255" s="1"/>
      <c r="CT1255" s="1"/>
      <c r="CU1255" s="1"/>
      <c r="CV1255" s="1"/>
      <c r="CW1255" s="1"/>
    </row>
    <row r="1256" spans="2:101" ht="15" hidden="1" customHeight="1" x14ac:dyDescent="0.25"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30"/>
      <c r="W1256" s="30"/>
      <c r="X1256" s="30"/>
      <c r="Y1256" s="30"/>
      <c r="Z1256" s="30"/>
      <c r="AA1256" s="30"/>
      <c r="AB1256" s="30"/>
      <c r="AC1256" s="30"/>
      <c r="AD1256" s="30"/>
      <c r="AE1256" s="30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30"/>
      <c r="AQ1256" s="30"/>
      <c r="AR1256" s="30"/>
      <c r="AS1256" s="30"/>
      <c r="AT1256" s="30"/>
      <c r="AU1256" s="30"/>
      <c r="AV1256" s="30"/>
      <c r="AW1256" s="30"/>
      <c r="AX1256" s="30"/>
      <c r="AY1256" s="30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30"/>
      <c r="BK1256" s="30"/>
      <c r="BL1256" s="30"/>
      <c r="BM1256" s="30"/>
      <c r="BN1256" s="30"/>
      <c r="BO1256" s="30"/>
      <c r="BP1256" s="30"/>
      <c r="BQ1256" s="30"/>
      <c r="BR1256" s="30"/>
      <c r="BS1256" s="30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30"/>
      <c r="CE1256" s="30"/>
      <c r="CF1256" s="30"/>
      <c r="CG1256" s="30"/>
      <c r="CH1256" s="30"/>
      <c r="CI1256" s="30"/>
      <c r="CJ1256" s="30"/>
      <c r="CK1256" s="30"/>
      <c r="CL1256" s="30"/>
      <c r="CM1256" s="30"/>
      <c r="CN1256" s="1"/>
      <c r="CO1256" s="1"/>
      <c r="CP1256" s="1"/>
      <c r="CQ1256" s="1"/>
      <c r="CR1256" s="1"/>
      <c r="CS1256" s="1"/>
      <c r="CT1256" s="1"/>
      <c r="CU1256" s="1"/>
      <c r="CV1256" s="1"/>
      <c r="CW1256" s="1"/>
    </row>
    <row r="1257" spans="2:101" ht="15" hidden="1" customHeight="1" x14ac:dyDescent="0.25"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30"/>
      <c r="W1257" s="30"/>
      <c r="X1257" s="30"/>
      <c r="Y1257" s="30"/>
      <c r="Z1257" s="30"/>
      <c r="AA1257" s="30"/>
      <c r="AB1257" s="30"/>
      <c r="AC1257" s="30"/>
      <c r="AD1257" s="30"/>
      <c r="AE1257" s="30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30"/>
      <c r="AQ1257" s="30"/>
      <c r="AR1257" s="30"/>
      <c r="AS1257" s="30"/>
      <c r="AT1257" s="30"/>
      <c r="AU1257" s="30"/>
      <c r="AV1257" s="30"/>
      <c r="AW1257" s="30"/>
      <c r="AX1257" s="30"/>
      <c r="AY1257" s="30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30"/>
      <c r="BK1257" s="30"/>
      <c r="BL1257" s="30"/>
      <c r="BM1257" s="30"/>
      <c r="BN1257" s="30"/>
      <c r="BO1257" s="30"/>
      <c r="BP1257" s="30"/>
      <c r="BQ1257" s="30"/>
      <c r="BR1257" s="30"/>
      <c r="BS1257" s="30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30"/>
      <c r="CE1257" s="30"/>
      <c r="CF1257" s="30"/>
      <c r="CG1257" s="30"/>
      <c r="CH1257" s="30"/>
      <c r="CI1257" s="30"/>
      <c r="CJ1257" s="30"/>
      <c r="CK1257" s="30"/>
      <c r="CL1257" s="30"/>
      <c r="CM1257" s="30"/>
      <c r="CN1257" s="1"/>
      <c r="CO1257" s="1"/>
      <c r="CP1257" s="1"/>
      <c r="CQ1257" s="1"/>
      <c r="CR1257" s="1"/>
      <c r="CS1257" s="1"/>
      <c r="CT1257" s="1"/>
      <c r="CU1257" s="1"/>
      <c r="CV1257" s="1"/>
      <c r="CW1257" s="1"/>
    </row>
    <row r="1258" spans="2:101" ht="15" hidden="1" customHeight="1" x14ac:dyDescent="0.25"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30"/>
      <c r="W1258" s="30"/>
      <c r="X1258" s="30"/>
      <c r="Y1258" s="30"/>
      <c r="Z1258" s="30"/>
      <c r="AA1258" s="30"/>
      <c r="AB1258" s="30"/>
      <c r="AC1258" s="30"/>
      <c r="AD1258" s="30"/>
      <c r="AE1258" s="30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30"/>
      <c r="AQ1258" s="30"/>
      <c r="AR1258" s="30"/>
      <c r="AS1258" s="30"/>
      <c r="AT1258" s="30"/>
      <c r="AU1258" s="30"/>
      <c r="AV1258" s="30"/>
      <c r="AW1258" s="30"/>
      <c r="AX1258" s="30"/>
      <c r="AY1258" s="30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30"/>
      <c r="BK1258" s="30"/>
      <c r="BL1258" s="30"/>
      <c r="BM1258" s="30"/>
      <c r="BN1258" s="30"/>
      <c r="BO1258" s="30"/>
      <c r="BP1258" s="30"/>
      <c r="BQ1258" s="30"/>
      <c r="BR1258" s="30"/>
      <c r="BS1258" s="30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30"/>
      <c r="CE1258" s="30"/>
      <c r="CF1258" s="30"/>
      <c r="CG1258" s="30"/>
      <c r="CH1258" s="30"/>
      <c r="CI1258" s="30"/>
      <c r="CJ1258" s="30"/>
      <c r="CK1258" s="30"/>
      <c r="CL1258" s="30"/>
      <c r="CM1258" s="30"/>
      <c r="CN1258" s="1"/>
      <c r="CO1258" s="1"/>
      <c r="CP1258" s="1"/>
      <c r="CQ1258" s="1"/>
      <c r="CR1258" s="1"/>
      <c r="CS1258" s="1"/>
      <c r="CT1258" s="1"/>
      <c r="CU1258" s="1"/>
      <c r="CV1258" s="1"/>
      <c r="CW1258" s="1"/>
    </row>
    <row r="1259" spans="2:101" ht="15" hidden="1" customHeight="1" x14ac:dyDescent="0.25"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30"/>
      <c r="W1259" s="30"/>
      <c r="X1259" s="30"/>
      <c r="Y1259" s="30"/>
      <c r="Z1259" s="30"/>
      <c r="AA1259" s="30"/>
      <c r="AB1259" s="30"/>
      <c r="AC1259" s="30"/>
      <c r="AD1259" s="30"/>
      <c r="AE1259" s="30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30"/>
      <c r="AQ1259" s="30"/>
      <c r="AR1259" s="30"/>
      <c r="AS1259" s="30"/>
      <c r="AT1259" s="30"/>
      <c r="AU1259" s="30"/>
      <c r="AV1259" s="30"/>
      <c r="AW1259" s="30"/>
      <c r="AX1259" s="30"/>
      <c r="AY1259" s="30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30"/>
      <c r="BK1259" s="30"/>
      <c r="BL1259" s="30"/>
      <c r="BM1259" s="30"/>
      <c r="BN1259" s="30"/>
      <c r="BO1259" s="30"/>
      <c r="BP1259" s="30"/>
      <c r="BQ1259" s="30"/>
      <c r="BR1259" s="30"/>
      <c r="BS1259" s="30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30"/>
      <c r="CE1259" s="30"/>
      <c r="CF1259" s="30"/>
      <c r="CG1259" s="30"/>
      <c r="CH1259" s="30"/>
      <c r="CI1259" s="30"/>
      <c r="CJ1259" s="30"/>
      <c r="CK1259" s="30"/>
      <c r="CL1259" s="30"/>
      <c r="CM1259" s="30"/>
      <c r="CN1259" s="1"/>
      <c r="CO1259" s="1"/>
      <c r="CP1259" s="1"/>
      <c r="CQ1259" s="1"/>
      <c r="CR1259" s="1"/>
      <c r="CS1259" s="1"/>
      <c r="CT1259" s="1"/>
      <c r="CU1259" s="1"/>
      <c r="CV1259" s="1"/>
      <c r="CW1259" s="1"/>
    </row>
    <row r="1260" spans="2:101" ht="15" hidden="1" customHeight="1" x14ac:dyDescent="0.25"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30"/>
      <c r="W1260" s="30"/>
      <c r="X1260" s="30"/>
      <c r="Y1260" s="30"/>
      <c r="Z1260" s="30"/>
      <c r="AA1260" s="30"/>
      <c r="AB1260" s="30"/>
      <c r="AC1260" s="30"/>
      <c r="AD1260" s="30"/>
      <c r="AE1260" s="30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30"/>
      <c r="AQ1260" s="30"/>
      <c r="AR1260" s="30"/>
      <c r="AS1260" s="30"/>
      <c r="AT1260" s="30"/>
      <c r="AU1260" s="30"/>
      <c r="AV1260" s="30"/>
      <c r="AW1260" s="30"/>
      <c r="AX1260" s="30"/>
      <c r="AY1260" s="30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30"/>
      <c r="BK1260" s="30"/>
      <c r="BL1260" s="30"/>
      <c r="BM1260" s="30"/>
      <c r="BN1260" s="30"/>
      <c r="BO1260" s="30"/>
      <c r="BP1260" s="30"/>
      <c r="BQ1260" s="30"/>
      <c r="BR1260" s="30"/>
      <c r="BS1260" s="30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30"/>
      <c r="CE1260" s="30"/>
      <c r="CF1260" s="30"/>
      <c r="CG1260" s="30"/>
      <c r="CH1260" s="30"/>
      <c r="CI1260" s="30"/>
      <c r="CJ1260" s="30"/>
      <c r="CK1260" s="30"/>
      <c r="CL1260" s="30"/>
      <c r="CM1260" s="30"/>
      <c r="CN1260" s="1"/>
      <c r="CO1260" s="1"/>
      <c r="CP1260" s="1"/>
      <c r="CQ1260" s="1"/>
      <c r="CR1260" s="1"/>
      <c r="CS1260" s="1"/>
      <c r="CT1260" s="1"/>
      <c r="CU1260" s="1"/>
      <c r="CV1260" s="1"/>
      <c r="CW1260" s="1"/>
    </row>
    <row r="1261" spans="2:101" ht="15" hidden="1" customHeight="1" x14ac:dyDescent="0.25"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30"/>
      <c r="W1261" s="30"/>
      <c r="X1261" s="30"/>
      <c r="Y1261" s="30"/>
      <c r="Z1261" s="30"/>
      <c r="AA1261" s="30"/>
      <c r="AB1261" s="30"/>
      <c r="AC1261" s="30"/>
      <c r="AD1261" s="30"/>
      <c r="AE1261" s="30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30"/>
      <c r="AQ1261" s="30"/>
      <c r="AR1261" s="30"/>
      <c r="AS1261" s="30"/>
      <c r="AT1261" s="30"/>
      <c r="AU1261" s="30"/>
      <c r="AV1261" s="30"/>
      <c r="AW1261" s="30"/>
      <c r="AX1261" s="30"/>
      <c r="AY1261" s="30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30"/>
      <c r="BK1261" s="30"/>
      <c r="BL1261" s="30"/>
      <c r="BM1261" s="30"/>
      <c r="BN1261" s="30"/>
      <c r="BO1261" s="30"/>
      <c r="BP1261" s="30"/>
      <c r="BQ1261" s="30"/>
      <c r="BR1261" s="30"/>
      <c r="BS1261" s="30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30"/>
      <c r="CE1261" s="30"/>
      <c r="CF1261" s="30"/>
      <c r="CG1261" s="30"/>
      <c r="CH1261" s="30"/>
      <c r="CI1261" s="30"/>
      <c r="CJ1261" s="30"/>
      <c r="CK1261" s="30"/>
      <c r="CL1261" s="30"/>
      <c r="CM1261" s="30"/>
      <c r="CN1261" s="1"/>
      <c r="CO1261" s="1"/>
      <c r="CP1261" s="1"/>
      <c r="CQ1261" s="1"/>
      <c r="CR1261" s="1"/>
      <c r="CS1261" s="1"/>
      <c r="CT1261" s="1"/>
      <c r="CU1261" s="1"/>
      <c r="CV1261" s="1"/>
      <c r="CW1261" s="1"/>
    </row>
    <row r="1262" spans="2:101" ht="15" hidden="1" customHeight="1" x14ac:dyDescent="0.25"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30"/>
      <c r="W1262" s="30"/>
      <c r="X1262" s="30"/>
      <c r="Y1262" s="30"/>
      <c r="Z1262" s="30"/>
      <c r="AA1262" s="30"/>
      <c r="AB1262" s="30"/>
      <c r="AC1262" s="30"/>
      <c r="AD1262" s="30"/>
      <c r="AE1262" s="30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30"/>
      <c r="AQ1262" s="30"/>
      <c r="AR1262" s="30"/>
      <c r="AS1262" s="30"/>
      <c r="AT1262" s="30"/>
      <c r="AU1262" s="30"/>
      <c r="AV1262" s="30"/>
      <c r="AW1262" s="30"/>
      <c r="AX1262" s="30"/>
      <c r="AY1262" s="30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30"/>
      <c r="BK1262" s="30"/>
      <c r="BL1262" s="30"/>
      <c r="BM1262" s="30"/>
      <c r="BN1262" s="30"/>
      <c r="BO1262" s="30"/>
      <c r="BP1262" s="30"/>
      <c r="BQ1262" s="30"/>
      <c r="BR1262" s="30"/>
      <c r="BS1262" s="30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30"/>
      <c r="CE1262" s="30"/>
      <c r="CF1262" s="30"/>
      <c r="CG1262" s="30"/>
      <c r="CH1262" s="30"/>
      <c r="CI1262" s="30"/>
      <c r="CJ1262" s="30"/>
      <c r="CK1262" s="30"/>
      <c r="CL1262" s="30"/>
      <c r="CM1262" s="30"/>
      <c r="CN1262" s="1"/>
      <c r="CO1262" s="1"/>
      <c r="CP1262" s="1"/>
      <c r="CQ1262" s="1"/>
      <c r="CR1262" s="1"/>
      <c r="CS1262" s="1"/>
      <c r="CT1262" s="1"/>
      <c r="CU1262" s="1"/>
      <c r="CV1262" s="1"/>
      <c r="CW1262" s="1"/>
    </row>
    <row r="1263" spans="2:101" ht="15" hidden="1" customHeight="1" x14ac:dyDescent="0.25"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30"/>
      <c r="W1263" s="30"/>
      <c r="X1263" s="30"/>
      <c r="Y1263" s="30"/>
      <c r="Z1263" s="30"/>
      <c r="AA1263" s="30"/>
      <c r="AB1263" s="30"/>
      <c r="AC1263" s="30"/>
      <c r="AD1263" s="30"/>
      <c r="AE1263" s="30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30"/>
      <c r="AQ1263" s="30"/>
      <c r="AR1263" s="30"/>
      <c r="AS1263" s="30"/>
      <c r="AT1263" s="30"/>
      <c r="AU1263" s="30"/>
      <c r="AV1263" s="30"/>
      <c r="AW1263" s="30"/>
      <c r="AX1263" s="30"/>
      <c r="AY1263" s="30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30"/>
      <c r="BK1263" s="30"/>
      <c r="BL1263" s="30"/>
      <c r="BM1263" s="30"/>
      <c r="BN1263" s="30"/>
      <c r="BO1263" s="30"/>
      <c r="BP1263" s="30"/>
      <c r="BQ1263" s="30"/>
      <c r="BR1263" s="30"/>
      <c r="BS1263" s="30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30"/>
      <c r="CE1263" s="30"/>
      <c r="CF1263" s="30"/>
      <c r="CG1263" s="30"/>
      <c r="CH1263" s="30"/>
      <c r="CI1263" s="30"/>
      <c r="CJ1263" s="30"/>
      <c r="CK1263" s="30"/>
      <c r="CL1263" s="30"/>
      <c r="CM1263" s="30"/>
      <c r="CN1263" s="1"/>
      <c r="CO1263" s="1"/>
      <c r="CP1263" s="1"/>
      <c r="CQ1263" s="1"/>
      <c r="CR1263" s="1"/>
      <c r="CS1263" s="1"/>
      <c r="CT1263" s="1"/>
      <c r="CU1263" s="1"/>
      <c r="CV1263" s="1"/>
      <c r="CW1263" s="1"/>
    </row>
    <row r="1264" spans="2:101" ht="15" hidden="1" customHeight="1" x14ac:dyDescent="0.25"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30"/>
      <c r="W1264" s="30"/>
      <c r="X1264" s="30"/>
      <c r="Y1264" s="30"/>
      <c r="Z1264" s="30"/>
      <c r="AA1264" s="30"/>
      <c r="AB1264" s="30"/>
      <c r="AC1264" s="30"/>
      <c r="AD1264" s="30"/>
      <c r="AE1264" s="30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30"/>
      <c r="AQ1264" s="30"/>
      <c r="AR1264" s="30"/>
      <c r="AS1264" s="30"/>
      <c r="AT1264" s="30"/>
      <c r="AU1264" s="30"/>
      <c r="AV1264" s="30"/>
      <c r="AW1264" s="30"/>
      <c r="AX1264" s="30"/>
      <c r="AY1264" s="30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30"/>
      <c r="BK1264" s="30"/>
      <c r="BL1264" s="30"/>
      <c r="BM1264" s="30"/>
      <c r="BN1264" s="30"/>
      <c r="BO1264" s="30"/>
      <c r="BP1264" s="30"/>
      <c r="BQ1264" s="30"/>
      <c r="BR1264" s="30"/>
      <c r="BS1264" s="30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30"/>
      <c r="CE1264" s="30"/>
      <c r="CF1264" s="30"/>
      <c r="CG1264" s="30"/>
      <c r="CH1264" s="30"/>
      <c r="CI1264" s="30"/>
      <c r="CJ1264" s="30"/>
      <c r="CK1264" s="30"/>
      <c r="CL1264" s="30"/>
      <c r="CM1264" s="30"/>
      <c r="CN1264" s="1"/>
      <c r="CO1264" s="1"/>
      <c r="CP1264" s="1"/>
      <c r="CQ1264" s="1"/>
      <c r="CR1264" s="1"/>
      <c r="CS1264" s="1"/>
      <c r="CT1264" s="1"/>
      <c r="CU1264" s="1"/>
      <c r="CV1264" s="1"/>
      <c r="CW1264" s="1"/>
    </row>
    <row r="1265" spans="2:101" ht="15" hidden="1" customHeight="1" x14ac:dyDescent="0.25"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30"/>
      <c r="W1265" s="30"/>
      <c r="X1265" s="30"/>
      <c r="Y1265" s="30"/>
      <c r="Z1265" s="30"/>
      <c r="AA1265" s="30"/>
      <c r="AB1265" s="30"/>
      <c r="AC1265" s="30"/>
      <c r="AD1265" s="30"/>
      <c r="AE1265" s="30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30"/>
      <c r="AQ1265" s="30"/>
      <c r="AR1265" s="30"/>
      <c r="AS1265" s="30"/>
      <c r="AT1265" s="30"/>
      <c r="AU1265" s="30"/>
      <c r="AV1265" s="30"/>
      <c r="AW1265" s="30"/>
      <c r="AX1265" s="30"/>
      <c r="AY1265" s="30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30"/>
      <c r="BK1265" s="30"/>
      <c r="BL1265" s="30"/>
      <c r="BM1265" s="30"/>
      <c r="BN1265" s="30"/>
      <c r="BO1265" s="30"/>
      <c r="BP1265" s="30"/>
      <c r="BQ1265" s="30"/>
      <c r="BR1265" s="30"/>
      <c r="BS1265" s="30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30"/>
      <c r="CE1265" s="30"/>
      <c r="CF1265" s="30"/>
      <c r="CG1265" s="30"/>
      <c r="CH1265" s="30"/>
      <c r="CI1265" s="30"/>
      <c r="CJ1265" s="30"/>
      <c r="CK1265" s="30"/>
      <c r="CL1265" s="30"/>
      <c r="CM1265" s="30"/>
      <c r="CN1265" s="1"/>
      <c r="CO1265" s="1"/>
      <c r="CP1265" s="1"/>
      <c r="CQ1265" s="1"/>
      <c r="CR1265" s="1"/>
      <c r="CS1265" s="1"/>
      <c r="CT1265" s="1"/>
      <c r="CU1265" s="1"/>
      <c r="CV1265" s="1"/>
      <c r="CW1265" s="1"/>
    </row>
    <row r="1266" spans="2:101" ht="15" hidden="1" customHeight="1" x14ac:dyDescent="0.25"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30"/>
      <c r="W1266" s="30"/>
      <c r="X1266" s="30"/>
      <c r="Y1266" s="30"/>
      <c r="Z1266" s="30"/>
      <c r="AA1266" s="30"/>
      <c r="AB1266" s="30"/>
      <c r="AC1266" s="30"/>
      <c r="AD1266" s="30"/>
      <c r="AE1266" s="30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30"/>
      <c r="AQ1266" s="30"/>
      <c r="AR1266" s="30"/>
      <c r="AS1266" s="30"/>
      <c r="AT1266" s="30"/>
      <c r="AU1266" s="30"/>
      <c r="AV1266" s="30"/>
      <c r="AW1266" s="30"/>
      <c r="AX1266" s="30"/>
      <c r="AY1266" s="30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30"/>
      <c r="BK1266" s="30"/>
      <c r="BL1266" s="30"/>
      <c r="BM1266" s="30"/>
      <c r="BN1266" s="30"/>
      <c r="BO1266" s="30"/>
      <c r="BP1266" s="30"/>
      <c r="BQ1266" s="30"/>
      <c r="BR1266" s="30"/>
      <c r="BS1266" s="30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30"/>
      <c r="CE1266" s="30"/>
      <c r="CF1266" s="30"/>
      <c r="CG1266" s="30"/>
      <c r="CH1266" s="30"/>
      <c r="CI1266" s="30"/>
      <c r="CJ1266" s="30"/>
      <c r="CK1266" s="30"/>
      <c r="CL1266" s="30"/>
      <c r="CM1266" s="30"/>
      <c r="CN1266" s="1"/>
      <c r="CO1266" s="1"/>
      <c r="CP1266" s="1"/>
      <c r="CQ1266" s="1"/>
      <c r="CR1266" s="1"/>
      <c r="CS1266" s="1"/>
      <c r="CT1266" s="1"/>
      <c r="CU1266" s="1"/>
      <c r="CV1266" s="1"/>
      <c r="CW1266" s="1"/>
    </row>
    <row r="1267" spans="2:101" ht="15" hidden="1" customHeight="1" x14ac:dyDescent="0.25"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30"/>
      <c r="W1267" s="30"/>
      <c r="X1267" s="30"/>
      <c r="Y1267" s="30"/>
      <c r="Z1267" s="30"/>
      <c r="AA1267" s="30"/>
      <c r="AB1267" s="30"/>
      <c r="AC1267" s="30"/>
      <c r="AD1267" s="30"/>
      <c r="AE1267" s="30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30"/>
      <c r="AQ1267" s="30"/>
      <c r="AR1267" s="30"/>
      <c r="AS1267" s="30"/>
      <c r="AT1267" s="30"/>
      <c r="AU1267" s="30"/>
      <c r="AV1267" s="30"/>
      <c r="AW1267" s="30"/>
      <c r="AX1267" s="30"/>
      <c r="AY1267" s="30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30"/>
      <c r="BK1267" s="30"/>
      <c r="BL1267" s="30"/>
      <c r="BM1267" s="30"/>
      <c r="BN1267" s="30"/>
      <c r="BO1267" s="30"/>
      <c r="BP1267" s="30"/>
      <c r="BQ1267" s="30"/>
      <c r="BR1267" s="30"/>
      <c r="BS1267" s="30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30"/>
      <c r="CE1267" s="30"/>
      <c r="CF1267" s="30"/>
      <c r="CG1267" s="30"/>
      <c r="CH1267" s="30"/>
      <c r="CI1267" s="30"/>
      <c r="CJ1267" s="30"/>
      <c r="CK1267" s="30"/>
      <c r="CL1267" s="30"/>
      <c r="CM1267" s="30"/>
      <c r="CN1267" s="1"/>
      <c r="CO1267" s="1"/>
      <c r="CP1267" s="1"/>
      <c r="CQ1267" s="1"/>
      <c r="CR1267" s="1"/>
      <c r="CS1267" s="1"/>
      <c r="CT1267" s="1"/>
      <c r="CU1267" s="1"/>
      <c r="CV1267" s="1"/>
      <c r="CW1267" s="1"/>
    </row>
    <row r="1268" spans="2:101" ht="15" hidden="1" customHeight="1" x14ac:dyDescent="0.25"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30"/>
      <c r="W1268" s="30"/>
      <c r="X1268" s="30"/>
      <c r="Y1268" s="30"/>
      <c r="Z1268" s="30"/>
      <c r="AA1268" s="30"/>
      <c r="AB1268" s="30"/>
      <c r="AC1268" s="30"/>
      <c r="AD1268" s="30"/>
      <c r="AE1268" s="30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30"/>
      <c r="AQ1268" s="30"/>
      <c r="AR1268" s="30"/>
      <c r="AS1268" s="30"/>
      <c r="AT1268" s="30"/>
      <c r="AU1268" s="30"/>
      <c r="AV1268" s="30"/>
      <c r="AW1268" s="30"/>
      <c r="AX1268" s="30"/>
      <c r="AY1268" s="30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30"/>
      <c r="BK1268" s="30"/>
      <c r="BL1268" s="30"/>
      <c r="BM1268" s="30"/>
      <c r="BN1268" s="30"/>
      <c r="BO1268" s="30"/>
      <c r="BP1268" s="30"/>
      <c r="BQ1268" s="30"/>
      <c r="BR1268" s="30"/>
      <c r="BS1268" s="30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30"/>
      <c r="CE1268" s="30"/>
      <c r="CF1268" s="30"/>
      <c r="CG1268" s="30"/>
      <c r="CH1268" s="30"/>
      <c r="CI1268" s="30"/>
      <c r="CJ1268" s="30"/>
      <c r="CK1268" s="30"/>
      <c r="CL1268" s="30"/>
      <c r="CM1268" s="30"/>
      <c r="CN1268" s="1"/>
      <c r="CO1268" s="1"/>
      <c r="CP1268" s="1"/>
      <c r="CQ1268" s="1"/>
      <c r="CR1268" s="1"/>
      <c r="CS1268" s="1"/>
      <c r="CT1268" s="1"/>
      <c r="CU1268" s="1"/>
      <c r="CV1268" s="1"/>
      <c r="CW1268" s="1"/>
    </row>
    <row r="1269" spans="2:101" ht="15" hidden="1" customHeight="1" x14ac:dyDescent="0.25"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30"/>
      <c r="W1269" s="30"/>
      <c r="X1269" s="30"/>
      <c r="Y1269" s="30"/>
      <c r="Z1269" s="30"/>
      <c r="AA1269" s="30"/>
      <c r="AB1269" s="30"/>
      <c r="AC1269" s="30"/>
      <c r="AD1269" s="30"/>
      <c r="AE1269" s="30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30"/>
      <c r="AQ1269" s="30"/>
      <c r="AR1269" s="30"/>
      <c r="AS1269" s="30"/>
      <c r="AT1269" s="30"/>
      <c r="AU1269" s="30"/>
      <c r="AV1269" s="30"/>
      <c r="AW1269" s="30"/>
      <c r="AX1269" s="30"/>
      <c r="AY1269" s="30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30"/>
      <c r="BK1269" s="30"/>
      <c r="BL1269" s="30"/>
      <c r="BM1269" s="30"/>
      <c r="BN1269" s="30"/>
      <c r="BO1269" s="30"/>
      <c r="BP1269" s="30"/>
      <c r="BQ1269" s="30"/>
      <c r="BR1269" s="30"/>
      <c r="BS1269" s="30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30"/>
      <c r="CE1269" s="30"/>
      <c r="CF1269" s="30"/>
      <c r="CG1269" s="30"/>
      <c r="CH1269" s="30"/>
      <c r="CI1269" s="30"/>
      <c r="CJ1269" s="30"/>
      <c r="CK1269" s="30"/>
      <c r="CL1269" s="30"/>
      <c r="CM1269" s="30"/>
      <c r="CN1269" s="1"/>
      <c r="CO1269" s="1"/>
      <c r="CP1269" s="1"/>
      <c r="CQ1269" s="1"/>
      <c r="CR1269" s="1"/>
      <c r="CS1269" s="1"/>
      <c r="CT1269" s="1"/>
      <c r="CU1269" s="1"/>
      <c r="CV1269" s="1"/>
      <c r="CW1269" s="1"/>
    </row>
    <row r="1270" spans="2:101" ht="15" hidden="1" customHeight="1" x14ac:dyDescent="0.25"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30"/>
      <c r="W1270" s="30"/>
      <c r="X1270" s="30"/>
      <c r="Y1270" s="30"/>
      <c r="Z1270" s="30"/>
      <c r="AA1270" s="30"/>
      <c r="AB1270" s="30"/>
      <c r="AC1270" s="30"/>
      <c r="AD1270" s="30"/>
      <c r="AE1270" s="30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30"/>
      <c r="AQ1270" s="30"/>
      <c r="AR1270" s="30"/>
      <c r="AS1270" s="30"/>
      <c r="AT1270" s="30"/>
      <c r="AU1270" s="30"/>
      <c r="AV1270" s="30"/>
      <c r="AW1270" s="30"/>
      <c r="AX1270" s="30"/>
      <c r="AY1270" s="30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30"/>
      <c r="BK1270" s="30"/>
      <c r="BL1270" s="30"/>
      <c r="BM1270" s="30"/>
      <c r="BN1270" s="30"/>
      <c r="BO1270" s="30"/>
      <c r="BP1270" s="30"/>
      <c r="BQ1270" s="30"/>
      <c r="BR1270" s="30"/>
      <c r="BS1270" s="30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30"/>
      <c r="CE1270" s="30"/>
      <c r="CF1270" s="30"/>
      <c r="CG1270" s="30"/>
      <c r="CH1270" s="30"/>
      <c r="CI1270" s="30"/>
      <c r="CJ1270" s="30"/>
      <c r="CK1270" s="30"/>
      <c r="CL1270" s="30"/>
      <c r="CM1270" s="30"/>
      <c r="CN1270" s="1"/>
      <c r="CO1270" s="1"/>
      <c r="CP1270" s="1"/>
      <c r="CQ1270" s="1"/>
      <c r="CR1270" s="1"/>
      <c r="CS1270" s="1"/>
      <c r="CT1270" s="1"/>
      <c r="CU1270" s="1"/>
      <c r="CV1270" s="1"/>
      <c r="CW1270" s="1"/>
    </row>
    <row r="1271" spans="2:101" ht="15" hidden="1" customHeight="1" x14ac:dyDescent="0.25"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30"/>
      <c r="W1271" s="30"/>
      <c r="X1271" s="30"/>
      <c r="Y1271" s="30"/>
      <c r="Z1271" s="30"/>
      <c r="AA1271" s="30"/>
      <c r="AB1271" s="30"/>
      <c r="AC1271" s="30"/>
      <c r="AD1271" s="30"/>
      <c r="AE1271" s="30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30"/>
      <c r="AQ1271" s="30"/>
      <c r="AR1271" s="30"/>
      <c r="AS1271" s="30"/>
      <c r="AT1271" s="30"/>
      <c r="AU1271" s="30"/>
      <c r="AV1271" s="30"/>
      <c r="AW1271" s="30"/>
      <c r="AX1271" s="30"/>
      <c r="AY1271" s="30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30"/>
      <c r="BK1271" s="30"/>
      <c r="BL1271" s="30"/>
      <c r="BM1271" s="30"/>
      <c r="BN1271" s="30"/>
      <c r="BO1271" s="30"/>
      <c r="BP1271" s="30"/>
      <c r="BQ1271" s="30"/>
      <c r="BR1271" s="30"/>
      <c r="BS1271" s="30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30"/>
      <c r="CE1271" s="30"/>
      <c r="CF1271" s="30"/>
      <c r="CG1271" s="30"/>
      <c r="CH1271" s="30"/>
      <c r="CI1271" s="30"/>
      <c r="CJ1271" s="30"/>
      <c r="CK1271" s="30"/>
      <c r="CL1271" s="30"/>
      <c r="CM1271" s="30"/>
      <c r="CN1271" s="1"/>
      <c r="CO1271" s="1"/>
      <c r="CP1271" s="1"/>
      <c r="CQ1271" s="1"/>
      <c r="CR1271" s="1"/>
      <c r="CS1271" s="1"/>
      <c r="CT1271" s="1"/>
      <c r="CU1271" s="1"/>
      <c r="CV1271" s="1"/>
      <c r="CW1271" s="1"/>
    </row>
    <row r="1272" spans="2:101" ht="15" hidden="1" customHeight="1" x14ac:dyDescent="0.25"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30"/>
      <c r="W1272" s="30"/>
      <c r="X1272" s="30"/>
      <c r="Y1272" s="30"/>
      <c r="Z1272" s="30"/>
      <c r="AA1272" s="30"/>
      <c r="AB1272" s="30"/>
      <c r="AC1272" s="30"/>
      <c r="AD1272" s="30"/>
      <c r="AE1272" s="30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30"/>
      <c r="AQ1272" s="30"/>
      <c r="AR1272" s="30"/>
      <c r="AS1272" s="30"/>
      <c r="AT1272" s="30"/>
      <c r="AU1272" s="30"/>
      <c r="AV1272" s="30"/>
      <c r="AW1272" s="30"/>
      <c r="AX1272" s="30"/>
      <c r="AY1272" s="30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30"/>
      <c r="BK1272" s="30"/>
      <c r="BL1272" s="30"/>
      <c r="BM1272" s="30"/>
      <c r="BN1272" s="30"/>
      <c r="BO1272" s="30"/>
      <c r="BP1272" s="30"/>
      <c r="BQ1272" s="30"/>
      <c r="BR1272" s="30"/>
      <c r="BS1272" s="30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30"/>
      <c r="CE1272" s="30"/>
      <c r="CF1272" s="30"/>
      <c r="CG1272" s="30"/>
      <c r="CH1272" s="30"/>
      <c r="CI1272" s="30"/>
      <c r="CJ1272" s="30"/>
      <c r="CK1272" s="30"/>
      <c r="CL1272" s="30"/>
      <c r="CM1272" s="30"/>
      <c r="CN1272" s="1"/>
      <c r="CO1272" s="1"/>
      <c r="CP1272" s="1"/>
      <c r="CQ1272" s="1"/>
      <c r="CR1272" s="1"/>
      <c r="CS1272" s="1"/>
      <c r="CT1272" s="1"/>
      <c r="CU1272" s="1"/>
      <c r="CV1272" s="1"/>
      <c r="CW1272" s="1"/>
    </row>
    <row r="1273" spans="2:101" ht="15" hidden="1" customHeight="1" x14ac:dyDescent="0.25"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30"/>
      <c r="W1273" s="30"/>
      <c r="X1273" s="30"/>
      <c r="Y1273" s="30"/>
      <c r="Z1273" s="30"/>
      <c r="AA1273" s="30"/>
      <c r="AB1273" s="30"/>
      <c r="AC1273" s="30"/>
      <c r="AD1273" s="30"/>
      <c r="AE1273" s="30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30"/>
      <c r="AQ1273" s="30"/>
      <c r="AR1273" s="30"/>
      <c r="AS1273" s="30"/>
      <c r="AT1273" s="30"/>
      <c r="AU1273" s="30"/>
      <c r="AV1273" s="30"/>
      <c r="AW1273" s="30"/>
      <c r="AX1273" s="30"/>
      <c r="AY1273" s="30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30"/>
      <c r="BK1273" s="30"/>
      <c r="BL1273" s="30"/>
      <c r="BM1273" s="30"/>
      <c r="BN1273" s="30"/>
      <c r="BO1273" s="30"/>
      <c r="BP1273" s="30"/>
      <c r="BQ1273" s="30"/>
      <c r="BR1273" s="30"/>
      <c r="BS1273" s="30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30"/>
      <c r="CE1273" s="30"/>
      <c r="CF1273" s="30"/>
      <c r="CG1273" s="30"/>
      <c r="CH1273" s="30"/>
      <c r="CI1273" s="30"/>
      <c r="CJ1273" s="30"/>
      <c r="CK1273" s="30"/>
      <c r="CL1273" s="30"/>
      <c r="CM1273" s="30"/>
      <c r="CN1273" s="1"/>
      <c r="CO1273" s="1"/>
      <c r="CP1273" s="1"/>
      <c r="CQ1273" s="1"/>
      <c r="CR1273" s="1"/>
      <c r="CS1273" s="1"/>
      <c r="CT1273" s="1"/>
      <c r="CU1273" s="1"/>
      <c r="CV1273" s="1"/>
      <c r="CW1273" s="1"/>
    </row>
    <row r="1274" spans="2:101" ht="15" hidden="1" customHeight="1" x14ac:dyDescent="0.25"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30"/>
      <c r="W1274" s="30"/>
      <c r="X1274" s="30"/>
      <c r="Y1274" s="30"/>
      <c r="Z1274" s="30"/>
      <c r="AA1274" s="30"/>
      <c r="AB1274" s="30"/>
      <c r="AC1274" s="30"/>
      <c r="AD1274" s="30"/>
      <c r="AE1274" s="30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30"/>
      <c r="AQ1274" s="30"/>
      <c r="AR1274" s="30"/>
      <c r="AS1274" s="30"/>
      <c r="AT1274" s="30"/>
      <c r="AU1274" s="30"/>
      <c r="AV1274" s="30"/>
      <c r="AW1274" s="30"/>
      <c r="AX1274" s="30"/>
      <c r="AY1274" s="30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30"/>
      <c r="BK1274" s="30"/>
      <c r="BL1274" s="30"/>
      <c r="BM1274" s="30"/>
      <c r="BN1274" s="30"/>
      <c r="BO1274" s="30"/>
      <c r="BP1274" s="30"/>
      <c r="BQ1274" s="30"/>
      <c r="BR1274" s="30"/>
      <c r="BS1274" s="30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30"/>
      <c r="CE1274" s="30"/>
      <c r="CF1274" s="30"/>
      <c r="CG1274" s="30"/>
      <c r="CH1274" s="30"/>
      <c r="CI1274" s="30"/>
      <c r="CJ1274" s="30"/>
      <c r="CK1274" s="30"/>
      <c r="CL1274" s="30"/>
      <c r="CM1274" s="30"/>
      <c r="CN1274" s="1"/>
      <c r="CO1274" s="1"/>
      <c r="CP1274" s="1"/>
      <c r="CQ1274" s="1"/>
      <c r="CR1274" s="1"/>
      <c r="CS1274" s="1"/>
      <c r="CT1274" s="1"/>
      <c r="CU1274" s="1"/>
      <c r="CV1274" s="1"/>
      <c r="CW1274" s="1"/>
    </row>
    <row r="1275" spans="2:101" ht="15" hidden="1" customHeight="1" x14ac:dyDescent="0.25"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30"/>
      <c r="W1275" s="30"/>
      <c r="X1275" s="30"/>
      <c r="Y1275" s="30"/>
      <c r="Z1275" s="30"/>
      <c r="AA1275" s="30"/>
      <c r="AB1275" s="30"/>
      <c r="AC1275" s="30"/>
      <c r="AD1275" s="30"/>
      <c r="AE1275" s="30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30"/>
      <c r="AQ1275" s="30"/>
      <c r="AR1275" s="30"/>
      <c r="AS1275" s="30"/>
      <c r="AT1275" s="30"/>
      <c r="AU1275" s="30"/>
      <c r="AV1275" s="30"/>
      <c r="AW1275" s="30"/>
      <c r="AX1275" s="30"/>
      <c r="AY1275" s="30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30"/>
      <c r="BK1275" s="30"/>
      <c r="BL1275" s="30"/>
      <c r="BM1275" s="30"/>
      <c r="BN1275" s="30"/>
      <c r="BO1275" s="30"/>
      <c r="BP1275" s="30"/>
      <c r="BQ1275" s="30"/>
      <c r="BR1275" s="30"/>
      <c r="BS1275" s="30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30"/>
      <c r="CE1275" s="30"/>
      <c r="CF1275" s="30"/>
      <c r="CG1275" s="30"/>
      <c r="CH1275" s="30"/>
      <c r="CI1275" s="30"/>
      <c r="CJ1275" s="30"/>
      <c r="CK1275" s="30"/>
      <c r="CL1275" s="30"/>
      <c r="CM1275" s="30"/>
      <c r="CN1275" s="1"/>
      <c r="CO1275" s="1"/>
      <c r="CP1275" s="1"/>
      <c r="CQ1275" s="1"/>
      <c r="CR1275" s="1"/>
      <c r="CS1275" s="1"/>
      <c r="CT1275" s="1"/>
      <c r="CU1275" s="1"/>
      <c r="CV1275" s="1"/>
      <c r="CW1275" s="1"/>
    </row>
    <row r="1276" spans="2:101" ht="15" hidden="1" customHeight="1" x14ac:dyDescent="0.25"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30"/>
      <c r="W1276" s="30"/>
      <c r="X1276" s="30"/>
      <c r="Y1276" s="30"/>
      <c r="Z1276" s="30"/>
      <c r="AA1276" s="30"/>
      <c r="AB1276" s="30"/>
      <c r="AC1276" s="30"/>
      <c r="AD1276" s="30"/>
      <c r="AE1276" s="30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30"/>
      <c r="AQ1276" s="30"/>
      <c r="AR1276" s="30"/>
      <c r="AS1276" s="30"/>
      <c r="AT1276" s="30"/>
      <c r="AU1276" s="30"/>
      <c r="AV1276" s="30"/>
      <c r="AW1276" s="30"/>
      <c r="AX1276" s="30"/>
      <c r="AY1276" s="30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30"/>
      <c r="BK1276" s="30"/>
      <c r="BL1276" s="30"/>
      <c r="BM1276" s="30"/>
      <c r="BN1276" s="30"/>
      <c r="BO1276" s="30"/>
      <c r="BP1276" s="30"/>
      <c r="BQ1276" s="30"/>
      <c r="BR1276" s="30"/>
      <c r="BS1276" s="30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30"/>
      <c r="CE1276" s="30"/>
      <c r="CF1276" s="30"/>
      <c r="CG1276" s="30"/>
      <c r="CH1276" s="30"/>
      <c r="CI1276" s="30"/>
      <c r="CJ1276" s="30"/>
      <c r="CK1276" s="30"/>
      <c r="CL1276" s="30"/>
      <c r="CM1276" s="30"/>
      <c r="CN1276" s="1"/>
      <c r="CO1276" s="1"/>
      <c r="CP1276" s="1"/>
      <c r="CQ1276" s="1"/>
      <c r="CR1276" s="1"/>
      <c r="CS1276" s="1"/>
      <c r="CT1276" s="1"/>
      <c r="CU1276" s="1"/>
      <c r="CV1276" s="1"/>
      <c r="CW1276" s="1"/>
    </row>
    <row r="1277" spans="2:101" ht="15" hidden="1" customHeight="1" x14ac:dyDescent="0.25"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30"/>
      <c r="W1277" s="30"/>
      <c r="X1277" s="30"/>
      <c r="Y1277" s="30"/>
      <c r="Z1277" s="30"/>
      <c r="AA1277" s="30"/>
      <c r="AB1277" s="30"/>
      <c r="AC1277" s="30"/>
      <c r="AD1277" s="30"/>
      <c r="AE1277" s="30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30"/>
      <c r="AQ1277" s="30"/>
      <c r="AR1277" s="30"/>
      <c r="AS1277" s="30"/>
      <c r="AT1277" s="30"/>
      <c r="AU1277" s="30"/>
      <c r="AV1277" s="30"/>
      <c r="AW1277" s="30"/>
      <c r="AX1277" s="30"/>
      <c r="AY1277" s="30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30"/>
      <c r="BK1277" s="30"/>
      <c r="BL1277" s="30"/>
      <c r="BM1277" s="30"/>
      <c r="BN1277" s="30"/>
      <c r="BO1277" s="30"/>
      <c r="BP1277" s="30"/>
      <c r="BQ1277" s="30"/>
      <c r="BR1277" s="30"/>
      <c r="BS1277" s="30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30"/>
      <c r="CE1277" s="30"/>
      <c r="CF1277" s="30"/>
      <c r="CG1277" s="30"/>
      <c r="CH1277" s="30"/>
      <c r="CI1277" s="30"/>
      <c r="CJ1277" s="30"/>
      <c r="CK1277" s="30"/>
      <c r="CL1277" s="30"/>
      <c r="CM1277" s="30"/>
      <c r="CN1277" s="1"/>
      <c r="CO1277" s="1"/>
      <c r="CP1277" s="1"/>
      <c r="CQ1277" s="1"/>
      <c r="CR1277" s="1"/>
      <c r="CS1277" s="1"/>
      <c r="CT1277" s="1"/>
      <c r="CU1277" s="1"/>
      <c r="CV1277" s="1"/>
      <c r="CW1277" s="1"/>
    </row>
    <row r="1278" spans="2:101" ht="15" hidden="1" customHeight="1" x14ac:dyDescent="0.25"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30"/>
      <c r="W1278" s="30"/>
      <c r="X1278" s="30"/>
      <c r="Y1278" s="30"/>
      <c r="Z1278" s="30"/>
      <c r="AA1278" s="30"/>
      <c r="AB1278" s="30"/>
      <c r="AC1278" s="30"/>
      <c r="AD1278" s="30"/>
      <c r="AE1278" s="30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30"/>
      <c r="AQ1278" s="30"/>
      <c r="AR1278" s="30"/>
      <c r="AS1278" s="30"/>
      <c r="AT1278" s="30"/>
      <c r="AU1278" s="30"/>
      <c r="AV1278" s="30"/>
      <c r="AW1278" s="30"/>
      <c r="AX1278" s="30"/>
      <c r="AY1278" s="30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30"/>
      <c r="BK1278" s="30"/>
      <c r="BL1278" s="30"/>
      <c r="BM1278" s="30"/>
      <c r="BN1278" s="30"/>
      <c r="BO1278" s="30"/>
      <c r="BP1278" s="30"/>
      <c r="BQ1278" s="30"/>
      <c r="BR1278" s="30"/>
      <c r="BS1278" s="30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30"/>
      <c r="CE1278" s="30"/>
      <c r="CF1278" s="30"/>
      <c r="CG1278" s="30"/>
      <c r="CH1278" s="30"/>
      <c r="CI1278" s="30"/>
      <c r="CJ1278" s="30"/>
      <c r="CK1278" s="30"/>
      <c r="CL1278" s="30"/>
      <c r="CM1278" s="30"/>
      <c r="CN1278" s="1"/>
      <c r="CO1278" s="1"/>
      <c r="CP1278" s="1"/>
      <c r="CQ1278" s="1"/>
      <c r="CR1278" s="1"/>
      <c r="CS1278" s="1"/>
      <c r="CT1278" s="1"/>
      <c r="CU1278" s="1"/>
      <c r="CV1278" s="1"/>
      <c r="CW1278" s="1"/>
    </row>
    <row r="1279" spans="2:101" ht="15" hidden="1" customHeight="1" x14ac:dyDescent="0.25"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30"/>
      <c r="W1279" s="30"/>
      <c r="X1279" s="30"/>
      <c r="Y1279" s="30"/>
      <c r="Z1279" s="30"/>
      <c r="AA1279" s="30"/>
      <c r="AB1279" s="30"/>
      <c r="AC1279" s="30"/>
      <c r="AD1279" s="30"/>
      <c r="AE1279" s="30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30"/>
      <c r="AQ1279" s="30"/>
      <c r="AR1279" s="30"/>
      <c r="AS1279" s="30"/>
      <c r="AT1279" s="30"/>
      <c r="AU1279" s="30"/>
      <c r="AV1279" s="30"/>
      <c r="AW1279" s="30"/>
      <c r="AX1279" s="30"/>
      <c r="AY1279" s="30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30"/>
      <c r="BK1279" s="30"/>
      <c r="BL1279" s="30"/>
      <c r="BM1279" s="30"/>
      <c r="BN1279" s="30"/>
      <c r="BO1279" s="30"/>
      <c r="BP1279" s="30"/>
      <c r="BQ1279" s="30"/>
      <c r="BR1279" s="30"/>
      <c r="BS1279" s="30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30"/>
      <c r="CE1279" s="30"/>
      <c r="CF1279" s="30"/>
      <c r="CG1279" s="30"/>
      <c r="CH1279" s="30"/>
      <c r="CI1279" s="30"/>
      <c r="CJ1279" s="30"/>
      <c r="CK1279" s="30"/>
      <c r="CL1279" s="30"/>
      <c r="CM1279" s="30"/>
      <c r="CN1279" s="1"/>
      <c r="CO1279" s="1"/>
      <c r="CP1279" s="1"/>
      <c r="CQ1279" s="1"/>
      <c r="CR1279" s="1"/>
      <c r="CS1279" s="1"/>
      <c r="CT1279" s="1"/>
      <c r="CU1279" s="1"/>
      <c r="CV1279" s="1"/>
      <c r="CW1279" s="1"/>
    </row>
    <row r="1280" spans="2:101" ht="15" hidden="1" customHeight="1" x14ac:dyDescent="0.25"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30"/>
      <c r="W1280" s="30"/>
      <c r="X1280" s="30"/>
      <c r="Y1280" s="30"/>
      <c r="Z1280" s="30"/>
      <c r="AA1280" s="30"/>
      <c r="AB1280" s="30"/>
      <c r="AC1280" s="30"/>
      <c r="AD1280" s="30"/>
      <c r="AE1280" s="30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30"/>
      <c r="AQ1280" s="30"/>
      <c r="AR1280" s="30"/>
      <c r="AS1280" s="30"/>
      <c r="AT1280" s="30"/>
      <c r="AU1280" s="30"/>
      <c r="AV1280" s="30"/>
      <c r="AW1280" s="30"/>
      <c r="AX1280" s="30"/>
      <c r="AY1280" s="30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30"/>
      <c r="BK1280" s="30"/>
      <c r="BL1280" s="30"/>
      <c r="BM1280" s="30"/>
      <c r="BN1280" s="30"/>
      <c r="BO1280" s="30"/>
      <c r="BP1280" s="30"/>
      <c r="BQ1280" s="30"/>
      <c r="BR1280" s="30"/>
      <c r="BS1280" s="30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30"/>
      <c r="CE1280" s="30"/>
      <c r="CF1280" s="30"/>
      <c r="CG1280" s="30"/>
      <c r="CH1280" s="30"/>
      <c r="CI1280" s="30"/>
      <c r="CJ1280" s="30"/>
      <c r="CK1280" s="30"/>
      <c r="CL1280" s="30"/>
      <c r="CM1280" s="30"/>
      <c r="CN1280" s="1"/>
      <c r="CO1280" s="1"/>
      <c r="CP1280" s="1"/>
      <c r="CQ1280" s="1"/>
      <c r="CR1280" s="1"/>
      <c r="CS1280" s="1"/>
      <c r="CT1280" s="1"/>
      <c r="CU1280" s="1"/>
      <c r="CV1280" s="1"/>
      <c r="CW1280" s="1"/>
    </row>
    <row r="1281" spans="2:101" ht="15" hidden="1" customHeight="1" x14ac:dyDescent="0.25"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30"/>
      <c r="W1281" s="30"/>
      <c r="X1281" s="30"/>
      <c r="Y1281" s="30"/>
      <c r="Z1281" s="30"/>
      <c r="AA1281" s="30"/>
      <c r="AB1281" s="30"/>
      <c r="AC1281" s="30"/>
      <c r="AD1281" s="30"/>
      <c r="AE1281" s="30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30"/>
      <c r="AQ1281" s="30"/>
      <c r="AR1281" s="30"/>
      <c r="AS1281" s="30"/>
      <c r="AT1281" s="30"/>
      <c r="AU1281" s="30"/>
      <c r="AV1281" s="30"/>
      <c r="AW1281" s="30"/>
      <c r="AX1281" s="30"/>
      <c r="AY1281" s="30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30"/>
      <c r="BK1281" s="30"/>
      <c r="BL1281" s="30"/>
      <c r="BM1281" s="30"/>
      <c r="BN1281" s="30"/>
      <c r="BO1281" s="30"/>
      <c r="BP1281" s="30"/>
      <c r="BQ1281" s="30"/>
      <c r="BR1281" s="30"/>
      <c r="BS1281" s="30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30"/>
      <c r="CE1281" s="30"/>
      <c r="CF1281" s="30"/>
      <c r="CG1281" s="30"/>
      <c r="CH1281" s="30"/>
      <c r="CI1281" s="30"/>
      <c r="CJ1281" s="30"/>
      <c r="CK1281" s="30"/>
      <c r="CL1281" s="30"/>
      <c r="CM1281" s="30"/>
      <c r="CN1281" s="1"/>
      <c r="CO1281" s="1"/>
      <c r="CP1281" s="1"/>
      <c r="CQ1281" s="1"/>
      <c r="CR1281" s="1"/>
      <c r="CS1281" s="1"/>
      <c r="CT1281" s="1"/>
      <c r="CU1281" s="1"/>
      <c r="CV1281" s="1"/>
      <c r="CW1281" s="1"/>
    </row>
    <row r="1282" spans="2:101" ht="15" hidden="1" customHeight="1" x14ac:dyDescent="0.25"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30"/>
      <c r="W1282" s="30"/>
      <c r="X1282" s="30"/>
      <c r="Y1282" s="30"/>
      <c r="Z1282" s="30"/>
      <c r="AA1282" s="30"/>
      <c r="AB1282" s="30"/>
      <c r="AC1282" s="30"/>
      <c r="AD1282" s="30"/>
      <c r="AE1282" s="30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30"/>
      <c r="AQ1282" s="30"/>
      <c r="AR1282" s="30"/>
      <c r="AS1282" s="30"/>
      <c r="AT1282" s="30"/>
      <c r="AU1282" s="30"/>
      <c r="AV1282" s="30"/>
      <c r="AW1282" s="30"/>
      <c r="AX1282" s="30"/>
      <c r="AY1282" s="30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30"/>
      <c r="BK1282" s="30"/>
      <c r="BL1282" s="30"/>
      <c r="BM1282" s="30"/>
      <c r="BN1282" s="30"/>
      <c r="BO1282" s="30"/>
      <c r="BP1282" s="30"/>
      <c r="BQ1282" s="30"/>
      <c r="BR1282" s="30"/>
      <c r="BS1282" s="30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30"/>
      <c r="CE1282" s="30"/>
      <c r="CF1282" s="30"/>
      <c r="CG1282" s="30"/>
      <c r="CH1282" s="30"/>
      <c r="CI1282" s="30"/>
      <c r="CJ1282" s="30"/>
      <c r="CK1282" s="30"/>
      <c r="CL1282" s="30"/>
      <c r="CM1282" s="30"/>
      <c r="CN1282" s="1"/>
      <c r="CO1282" s="1"/>
      <c r="CP1282" s="1"/>
      <c r="CQ1282" s="1"/>
      <c r="CR1282" s="1"/>
      <c r="CS1282" s="1"/>
      <c r="CT1282" s="1"/>
      <c r="CU1282" s="1"/>
      <c r="CV1282" s="1"/>
      <c r="CW1282" s="1"/>
    </row>
    <row r="1283" spans="2:101" ht="15" hidden="1" customHeight="1" x14ac:dyDescent="0.25"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30"/>
      <c r="W1283" s="30"/>
      <c r="X1283" s="30"/>
      <c r="Y1283" s="30"/>
      <c r="Z1283" s="30"/>
      <c r="AA1283" s="30"/>
      <c r="AB1283" s="30"/>
      <c r="AC1283" s="30"/>
      <c r="AD1283" s="30"/>
      <c r="AE1283" s="30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30"/>
      <c r="AQ1283" s="30"/>
      <c r="AR1283" s="30"/>
      <c r="AS1283" s="30"/>
      <c r="AT1283" s="30"/>
      <c r="AU1283" s="30"/>
      <c r="AV1283" s="30"/>
      <c r="AW1283" s="30"/>
      <c r="AX1283" s="30"/>
      <c r="AY1283" s="30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30"/>
      <c r="BK1283" s="30"/>
      <c r="BL1283" s="30"/>
      <c r="BM1283" s="30"/>
      <c r="BN1283" s="30"/>
      <c r="BO1283" s="30"/>
      <c r="BP1283" s="30"/>
      <c r="BQ1283" s="30"/>
      <c r="BR1283" s="30"/>
      <c r="BS1283" s="30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30"/>
      <c r="CE1283" s="30"/>
      <c r="CF1283" s="30"/>
      <c r="CG1283" s="30"/>
      <c r="CH1283" s="30"/>
      <c r="CI1283" s="30"/>
      <c r="CJ1283" s="30"/>
      <c r="CK1283" s="30"/>
      <c r="CL1283" s="30"/>
      <c r="CM1283" s="30"/>
      <c r="CN1283" s="1"/>
      <c r="CO1283" s="1"/>
      <c r="CP1283" s="1"/>
      <c r="CQ1283" s="1"/>
      <c r="CR1283" s="1"/>
      <c r="CS1283" s="1"/>
      <c r="CT1283" s="1"/>
      <c r="CU1283" s="1"/>
      <c r="CV1283" s="1"/>
      <c r="CW1283" s="1"/>
    </row>
    <row r="1284" spans="2:101" ht="15" hidden="1" customHeight="1" x14ac:dyDescent="0.25"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30"/>
      <c r="W1284" s="30"/>
      <c r="X1284" s="30"/>
      <c r="Y1284" s="30"/>
      <c r="Z1284" s="30"/>
      <c r="AA1284" s="30"/>
      <c r="AB1284" s="30"/>
      <c r="AC1284" s="30"/>
      <c r="AD1284" s="30"/>
      <c r="AE1284" s="30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30"/>
      <c r="AQ1284" s="30"/>
      <c r="AR1284" s="30"/>
      <c r="AS1284" s="30"/>
      <c r="AT1284" s="30"/>
      <c r="AU1284" s="30"/>
      <c r="AV1284" s="30"/>
      <c r="AW1284" s="30"/>
      <c r="AX1284" s="30"/>
      <c r="AY1284" s="30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30"/>
      <c r="BK1284" s="30"/>
      <c r="BL1284" s="30"/>
      <c r="BM1284" s="30"/>
      <c r="BN1284" s="30"/>
      <c r="BO1284" s="30"/>
      <c r="BP1284" s="30"/>
      <c r="BQ1284" s="30"/>
      <c r="BR1284" s="30"/>
      <c r="BS1284" s="30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30"/>
      <c r="CE1284" s="30"/>
      <c r="CF1284" s="30"/>
      <c r="CG1284" s="30"/>
      <c r="CH1284" s="30"/>
      <c r="CI1284" s="30"/>
      <c r="CJ1284" s="30"/>
      <c r="CK1284" s="30"/>
      <c r="CL1284" s="30"/>
      <c r="CM1284" s="30"/>
      <c r="CN1284" s="1"/>
      <c r="CO1284" s="1"/>
      <c r="CP1284" s="1"/>
      <c r="CQ1284" s="1"/>
      <c r="CR1284" s="1"/>
      <c r="CS1284" s="1"/>
      <c r="CT1284" s="1"/>
      <c r="CU1284" s="1"/>
      <c r="CV1284" s="1"/>
      <c r="CW1284" s="1"/>
    </row>
    <row r="1285" spans="2:101" ht="15" hidden="1" customHeight="1" x14ac:dyDescent="0.25"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30"/>
      <c r="W1285" s="30"/>
      <c r="X1285" s="30"/>
      <c r="Y1285" s="30"/>
      <c r="Z1285" s="30"/>
      <c r="AA1285" s="30"/>
      <c r="AB1285" s="30"/>
      <c r="AC1285" s="30"/>
      <c r="AD1285" s="30"/>
      <c r="AE1285" s="30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30"/>
      <c r="AQ1285" s="30"/>
      <c r="AR1285" s="30"/>
      <c r="AS1285" s="30"/>
      <c r="AT1285" s="30"/>
      <c r="AU1285" s="30"/>
      <c r="AV1285" s="30"/>
      <c r="AW1285" s="30"/>
      <c r="AX1285" s="30"/>
      <c r="AY1285" s="30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30"/>
      <c r="BK1285" s="30"/>
      <c r="BL1285" s="30"/>
      <c r="BM1285" s="30"/>
      <c r="BN1285" s="30"/>
      <c r="BO1285" s="30"/>
      <c r="BP1285" s="30"/>
      <c r="BQ1285" s="30"/>
      <c r="BR1285" s="30"/>
      <c r="BS1285" s="30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30"/>
      <c r="CE1285" s="30"/>
      <c r="CF1285" s="30"/>
      <c r="CG1285" s="30"/>
      <c r="CH1285" s="30"/>
      <c r="CI1285" s="30"/>
      <c r="CJ1285" s="30"/>
      <c r="CK1285" s="30"/>
      <c r="CL1285" s="30"/>
      <c r="CM1285" s="30"/>
      <c r="CN1285" s="1"/>
      <c r="CO1285" s="1"/>
      <c r="CP1285" s="1"/>
      <c r="CQ1285" s="1"/>
      <c r="CR1285" s="1"/>
      <c r="CS1285" s="1"/>
      <c r="CT1285" s="1"/>
      <c r="CU1285" s="1"/>
      <c r="CV1285" s="1"/>
      <c r="CW1285" s="1"/>
    </row>
    <row r="1286" spans="2:101" ht="15" hidden="1" customHeight="1" x14ac:dyDescent="0.25"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30"/>
      <c r="W1286" s="30"/>
      <c r="X1286" s="30"/>
      <c r="Y1286" s="30"/>
      <c r="Z1286" s="30"/>
      <c r="AA1286" s="30"/>
      <c r="AB1286" s="30"/>
      <c r="AC1286" s="30"/>
      <c r="AD1286" s="30"/>
      <c r="AE1286" s="30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30"/>
      <c r="AQ1286" s="30"/>
      <c r="AR1286" s="30"/>
      <c r="AS1286" s="30"/>
      <c r="AT1286" s="30"/>
      <c r="AU1286" s="30"/>
      <c r="AV1286" s="30"/>
      <c r="AW1286" s="30"/>
      <c r="AX1286" s="30"/>
      <c r="AY1286" s="30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30"/>
      <c r="BK1286" s="30"/>
      <c r="BL1286" s="30"/>
      <c r="BM1286" s="30"/>
      <c r="BN1286" s="30"/>
      <c r="BO1286" s="30"/>
      <c r="BP1286" s="30"/>
      <c r="BQ1286" s="30"/>
      <c r="BR1286" s="30"/>
      <c r="BS1286" s="30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30"/>
      <c r="CE1286" s="30"/>
      <c r="CF1286" s="30"/>
      <c r="CG1286" s="30"/>
      <c r="CH1286" s="30"/>
      <c r="CI1286" s="30"/>
      <c r="CJ1286" s="30"/>
      <c r="CK1286" s="30"/>
      <c r="CL1286" s="30"/>
      <c r="CM1286" s="30"/>
      <c r="CN1286" s="1"/>
      <c r="CO1286" s="1"/>
      <c r="CP1286" s="1"/>
      <c r="CQ1286" s="1"/>
      <c r="CR1286" s="1"/>
      <c r="CS1286" s="1"/>
      <c r="CT1286" s="1"/>
      <c r="CU1286" s="1"/>
      <c r="CV1286" s="1"/>
      <c r="CW1286" s="1"/>
    </row>
    <row r="1287" spans="2:101" ht="15" hidden="1" customHeight="1" x14ac:dyDescent="0.25"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30"/>
      <c r="W1287" s="30"/>
      <c r="X1287" s="30"/>
      <c r="Y1287" s="30"/>
      <c r="Z1287" s="30"/>
      <c r="AA1287" s="30"/>
      <c r="AB1287" s="30"/>
      <c r="AC1287" s="30"/>
      <c r="AD1287" s="30"/>
      <c r="AE1287" s="30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30"/>
      <c r="BK1287" s="30"/>
      <c r="BL1287" s="30"/>
      <c r="BM1287" s="30"/>
      <c r="BN1287" s="30"/>
      <c r="BO1287" s="30"/>
      <c r="BP1287" s="30"/>
      <c r="BQ1287" s="30"/>
      <c r="BR1287" s="30"/>
      <c r="BS1287" s="30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30"/>
      <c r="CE1287" s="30"/>
      <c r="CF1287" s="30"/>
      <c r="CG1287" s="30"/>
      <c r="CH1287" s="30"/>
      <c r="CI1287" s="30"/>
      <c r="CJ1287" s="30"/>
      <c r="CK1287" s="30"/>
      <c r="CL1287" s="30"/>
      <c r="CM1287" s="30"/>
      <c r="CN1287" s="1"/>
      <c r="CO1287" s="1"/>
      <c r="CP1287" s="1"/>
      <c r="CQ1287" s="1"/>
      <c r="CR1287" s="1"/>
      <c r="CS1287" s="1"/>
      <c r="CT1287" s="1"/>
      <c r="CU1287" s="1"/>
      <c r="CV1287" s="1"/>
      <c r="CW1287" s="1"/>
    </row>
    <row r="1288" spans="2:101" ht="15" hidden="1" customHeight="1" x14ac:dyDescent="0.25"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30"/>
      <c r="AQ1288" s="30"/>
      <c r="AR1288" s="30"/>
      <c r="AS1288" s="30"/>
      <c r="AT1288" s="30"/>
      <c r="AU1288" s="30"/>
      <c r="AV1288" s="30"/>
      <c r="AW1288" s="30"/>
      <c r="AX1288" s="30"/>
      <c r="AY1288" s="30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30"/>
      <c r="BK1288" s="30"/>
      <c r="BL1288" s="30"/>
      <c r="BM1288" s="30"/>
      <c r="BN1288" s="30"/>
      <c r="BO1288" s="30"/>
      <c r="BP1288" s="30"/>
      <c r="BQ1288" s="30"/>
      <c r="BR1288" s="30"/>
      <c r="BS1288" s="30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30"/>
      <c r="CE1288" s="30"/>
      <c r="CF1288" s="30"/>
      <c r="CG1288" s="30"/>
      <c r="CH1288" s="30"/>
      <c r="CI1288" s="30"/>
      <c r="CJ1288" s="30"/>
      <c r="CK1288" s="30"/>
      <c r="CL1288" s="30"/>
      <c r="CM1288" s="30"/>
      <c r="CN1288" s="1"/>
      <c r="CO1288" s="1"/>
      <c r="CP1288" s="1"/>
      <c r="CQ1288" s="1"/>
      <c r="CR1288" s="1"/>
      <c r="CS1288" s="1"/>
      <c r="CT1288" s="1"/>
      <c r="CU1288" s="1"/>
      <c r="CV1288" s="1"/>
      <c r="CW1288" s="1"/>
    </row>
    <row r="1289" spans="2:101" ht="15" hidden="1" customHeight="1" x14ac:dyDescent="0.25"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30"/>
      <c r="W1289" s="30"/>
      <c r="X1289" s="30"/>
      <c r="Y1289" s="30"/>
      <c r="Z1289" s="30"/>
      <c r="AA1289" s="30"/>
      <c r="AB1289" s="30"/>
      <c r="AC1289" s="30"/>
      <c r="AD1289" s="30"/>
      <c r="AE1289" s="30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30"/>
      <c r="AQ1289" s="30"/>
      <c r="AR1289" s="30"/>
      <c r="AS1289" s="30"/>
      <c r="AT1289" s="30"/>
      <c r="AU1289" s="30"/>
      <c r="AV1289" s="30"/>
      <c r="AW1289" s="30"/>
      <c r="AX1289" s="30"/>
      <c r="AY1289" s="30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30"/>
      <c r="BK1289" s="30"/>
      <c r="BL1289" s="30"/>
      <c r="BM1289" s="30"/>
      <c r="BN1289" s="30"/>
      <c r="BO1289" s="30"/>
      <c r="BP1289" s="30"/>
      <c r="BQ1289" s="30"/>
      <c r="BR1289" s="30"/>
      <c r="BS1289" s="30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30"/>
      <c r="CE1289" s="30"/>
      <c r="CF1289" s="30"/>
      <c r="CG1289" s="30"/>
      <c r="CH1289" s="30"/>
      <c r="CI1289" s="30"/>
      <c r="CJ1289" s="30"/>
      <c r="CK1289" s="30"/>
      <c r="CL1289" s="30"/>
      <c r="CM1289" s="30"/>
      <c r="CN1289" s="1"/>
      <c r="CO1289" s="1"/>
      <c r="CP1289" s="1"/>
      <c r="CQ1289" s="1"/>
      <c r="CR1289" s="1"/>
      <c r="CS1289" s="1"/>
      <c r="CT1289" s="1"/>
      <c r="CU1289" s="1"/>
      <c r="CV1289" s="1"/>
      <c r="CW1289" s="1"/>
    </row>
    <row r="1290" spans="2:101" ht="15" hidden="1" customHeight="1" x14ac:dyDescent="0.25"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30"/>
      <c r="W1290" s="30"/>
      <c r="X1290" s="30"/>
      <c r="Y1290" s="30"/>
      <c r="Z1290" s="30"/>
      <c r="AA1290" s="30"/>
      <c r="AB1290" s="30"/>
      <c r="AC1290" s="30"/>
      <c r="AD1290" s="30"/>
      <c r="AE1290" s="30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30"/>
      <c r="AQ1290" s="30"/>
      <c r="AR1290" s="30"/>
      <c r="AS1290" s="30"/>
      <c r="AT1290" s="30"/>
      <c r="AU1290" s="30"/>
      <c r="AV1290" s="30"/>
      <c r="AW1290" s="30"/>
      <c r="AX1290" s="30"/>
      <c r="AY1290" s="30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30"/>
      <c r="BK1290" s="30"/>
      <c r="BL1290" s="30"/>
      <c r="BM1290" s="30"/>
      <c r="BN1290" s="30"/>
      <c r="BO1290" s="30"/>
      <c r="BP1290" s="30"/>
      <c r="BQ1290" s="30"/>
      <c r="BR1290" s="30"/>
      <c r="BS1290" s="30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30"/>
      <c r="CE1290" s="30"/>
      <c r="CF1290" s="30"/>
      <c r="CG1290" s="30"/>
      <c r="CH1290" s="30"/>
      <c r="CI1290" s="30"/>
      <c r="CJ1290" s="30"/>
      <c r="CK1290" s="30"/>
      <c r="CL1290" s="30"/>
      <c r="CM1290" s="30"/>
      <c r="CN1290" s="1"/>
      <c r="CO1290" s="1"/>
      <c r="CP1290" s="1"/>
      <c r="CQ1290" s="1"/>
      <c r="CR1290" s="1"/>
      <c r="CS1290" s="1"/>
      <c r="CT1290" s="1"/>
      <c r="CU1290" s="1"/>
      <c r="CV1290" s="1"/>
      <c r="CW1290" s="1"/>
    </row>
    <row r="1291" spans="2:101" ht="15" hidden="1" customHeight="1" x14ac:dyDescent="0.25"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30"/>
      <c r="AQ1291" s="30"/>
      <c r="AR1291" s="30"/>
      <c r="AS1291" s="30"/>
      <c r="AT1291" s="30"/>
      <c r="AU1291" s="30"/>
      <c r="AV1291" s="30"/>
      <c r="AW1291" s="30"/>
      <c r="AX1291" s="30"/>
      <c r="AY1291" s="30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30"/>
      <c r="BK1291" s="30"/>
      <c r="BL1291" s="30"/>
      <c r="BM1291" s="30"/>
      <c r="BN1291" s="30"/>
      <c r="BO1291" s="30"/>
      <c r="BP1291" s="30"/>
      <c r="BQ1291" s="30"/>
      <c r="BR1291" s="30"/>
      <c r="BS1291" s="30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30"/>
      <c r="CE1291" s="30"/>
      <c r="CF1291" s="30"/>
      <c r="CG1291" s="30"/>
      <c r="CH1291" s="30"/>
      <c r="CI1291" s="30"/>
      <c r="CJ1291" s="30"/>
      <c r="CK1291" s="30"/>
      <c r="CL1291" s="30"/>
      <c r="CM1291" s="30"/>
      <c r="CN1291" s="1"/>
      <c r="CO1291" s="1"/>
      <c r="CP1291" s="1"/>
      <c r="CQ1291" s="1"/>
      <c r="CR1291" s="1"/>
      <c r="CS1291" s="1"/>
      <c r="CT1291" s="1"/>
      <c r="CU1291" s="1"/>
      <c r="CV1291" s="1"/>
      <c r="CW1291" s="1"/>
    </row>
    <row r="1292" spans="2:101" ht="15" hidden="1" customHeight="1" x14ac:dyDescent="0.25"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30"/>
      <c r="W1292" s="30"/>
      <c r="X1292" s="30"/>
      <c r="Y1292" s="30"/>
      <c r="Z1292" s="30"/>
      <c r="AA1292" s="30"/>
      <c r="AB1292" s="30"/>
      <c r="AC1292" s="30"/>
      <c r="AD1292" s="30"/>
      <c r="AE1292" s="30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30"/>
      <c r="AQ1292" s="30"/>
      <c r="AR1292" s="30"/>
      <c r="AS1292" s="30"/>
      <c r="AT1292" s="30"/>
      <c r="AU1292" s="30"/>
      <c r="AV1292" s="30"/>
      <c r="AW1292" s="30"/>
      <c r="AX1292" s="30"/>
      <c r="AY1292" s="30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30"/>
      <c r="BK1292" s="30"/>
      <c r="BL1292" s="30"/>
      <c r="BM1292" s="30"/>
      <c r="BN1292" s="30"/>
      <c r="BO1292" s="30"/>
      <c r="BP1292" s="30"/>
      <c r="BQ1292" s="30"/>
      <c r="BR1292" s="30"/>
      <c r="BS1292" s="30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30"/>
      <c r="CE1292" s="30"/>
      <c r="CF1292" s="30"/>
      <c r="CG1292" s="30"/>
      <c r="CH1292" s="30"/>
      <c r="CI1292" s="30"/>
      <c r="CJ1292" s="30"/>
      <c r="CK1292" s="30"/>
      <c r="CL1292" s="30"/>
      <c r="CM1292" s="30"/>
      <c r="CN1292" s="1"/>
      <c r="CO1292" s="1"/>
      <c r="CP1292" s="1"/>
      <c r="CQ1292" s="1"/>
      <c r="CR1292" s="1"/>
      <c r="CS1292" s="1"/>
      <c r="CT1292" s="1"/>
      <c r="CU1292" s="1"/>
      <c r="CV1292" s="1"/>
      <c r="CW1292" s="1"/>
    </row>
    <row r="1293" spans="2:101" ht="15" hidden="1" customHeight="1" x14ac:dyDescent="0.25"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30"/>
      <c r="W1293" s="30"/>
      <c r="X1293" s="30"/>
      <c r="Y1293" s="30"/>
      <c r="Z1293" s="30"/>
      <c r="AA1293" s="30"/>
      <c r="AB1293" s="30"/>
      <c r="AC1293" s="30"/>
      <c r="AD1293" s="30"/>
      <c r="AE1293" s="30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30"/>
      <c r="AQ1293" s="30"/>
      <c r="AR1293" s="30"/>
      <c r="AS1293" s="30"/>
      <c r="AT1293" s="30"/>
      <c r="AU1293" s="30"/>
      <c r="AV1293" s="30"/>
      <c r="AW1293" s="30"/>
      <c r="AX1293" s="30"/>
      <c r="AY1293" s="30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30"/>
      <c r="BK1293" s="30"/>
      <c r="BL1293" s="30"/>
      <c r="BM1293" s="30"/>
      <c r="BN1293" s="30"/>
      <c r="BO1293" s="30"/>
      <c r="BP1293" s="30"/>
      <c r="BQ1293" s="30"/>
      <c r="BR1293" s="30"/>
      <c r="BS1293" s="30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30"/>
      <c r="CE1293" s="30"/>
      <c r="CF1293" s="30"/>
      <c r="CG1293" s="30"/>
      <c r="CH1293" s="30"/>
      <c r="CI1293" s="30"/>
      <c r="CJ1293" s="30"/>
      <c r="CK1293" s="30"/>
      <c r="CL1293" s="30"/>
      <c r="CM1293" s="30"/>
      <c r="CN1293" s="1"/>
      <c r="CO1293" s="1"/>
      <c r="CP1293" s="1"/>
      <c r="CQ1293" s="1"/>
      <c r="CR1293" s="1"/>
      <c r="CS1293" s="1"/>
      <c r="CT1293" s="1"/>
      <c r="CU1293" s="1"/>
      <c r="CV1293" s="1"/>
      <c r="CW1293" s="1"/>
    </row>
    <row r="1294" spans="2:101" ht="15" hidden="1" customHeight="1" x14ac:dyDescent="0.25"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30"/>
      <c r="W1294" s="30"/>
      <c r="X1294" s="30"/>
      <c r="Y1294" s="30"/>
      <c r="Z1294" s="30"/>
      <c r="AA1294" s="30"/>
      <c r="AB1294" s="30"/>
      <c r="AC1294" s="30"/>
      <c r="AD1294" s="30"/>
      <c r="AE1294" s="30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30"/>
      <c r="AQ1294" s="30"/>
      <c r="AR1294" s="30"/>
      <c r="AS1294" s="30"/>
      <c r="AT1294" s="30"/>
      <c r="AU1294" s="30"/>
      <c r="AV1294" s="30"/>
      <c r="AW1294" s="30"/>
      <c r="AX1294" s="30"/>
      <c r="AY1294" s="30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30"/>
      <c r="BK1294" s="30"/>
      <c r="BL1294" s="30"/>
      <c r="BM1294" s="30"/>
      <c r="BN1294" s="30"/>
      <c r="BO1294" s="30"/>
      <c r="BP1294" s="30"/>
      <c r="BQ1294" s="30"/>
      <c r="BR1294" s="30"/>
      <c r="BS1294" s="30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30"/>
      <c r="CE1294" s="30"/>
      <c r="CF1294" s="30"/>
      <c r="CG1294" s="30"/>
      <c r="CH1294" s="30"/>
      <c r="CI1294" s="30"/>
      <c r="CJ1294" s="30"/>
      <c r="CK1294" s="30"/>
      <c r="CL1294" s="30"/>
      <c r="CM1294" s="30"/>
      <c r="CN1294" s="1"/>
      <c r="CO1294" s="1"/>
      <c r="CP1294" s="1"/>
      <c r="CQ1294" s="1"/>
      <c r="CR1294" s="1"/>
      <c r="CS1294" s="1"/>
      <c r="CT1294" s="1"/>
      <c r="CU1294" s="1"/>
      <c r="CV1294" s="1"/>
      <c r="CW1294" s="1"/>
    </row>
    <row r="1295" spans="2:101" ht="15" hidden="1" customHeight="1" x14ac:dyDescent="0.25"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30"/>
      <c r="W1295" s="30"/>
      <c r="X1295" s="30"/>
      <c r="Y1295" s="30"/>
      <c r="Z1295" s="30"/>
      <c r="AA1295" s="30"/>
      <c r="AB1295" s="30"/>
      <c r="AC1295" s="30"/>
      <c r="AD1295" s="30"/>
      <c r="AE1295" s="30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30"/>
      <c r="AQ1295" s="30"/>
      <c r="AR1295" s="30"/>
      <c r="AS1295" s="30"/>
      <c r="AT1295" s="30"/>
      <c r="AU1295" s="30"/>
      <c r="AV1295" s="30"/>
      <c r="AW1295" s="30"/>
      <c r="AX1295" s="30"/>
      <c r="AY1295" s="30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30"/>
      <c r="BK1295" s="30"/>
      <c r="BL1295" s="30"/>
      <c r="BM1295" s="30"/>
      <c r="BN1295" s="30"/>
      <c r="BO1295" s="30"/>
      <c r="BP1295" s="30"/>
      <c r="BQ1295" s="30"/>
      <c r="BR1295" s="30"/>
      <c r="BS1295" s="30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30"/>
      <c r="CE1295" s="30"/>
      <c r="CF1295" s="30"/>
      <c r="CG1295" s="30"/>
      <c r="CH1295" s="30"/>
      <c r="CI1295" s="30"/>
      <c r="CJ1295" s="30"/>
      <c r="CK1295" s="30"/>
      <c r="CL1295" s="30"/>
      <c r="CM1295" s="30"/>
      <c r="CN1295" s="1"/>
      <c r="CO1295" s="1"/>
      <c r="CP1295" s="1"/>
      <c r="CQ1295" s="1"/>
      <c r="CR1295" s="1"/>
      <c r="CS1295" s="1"/>
      <c r="CT1295" s="1"/>
      <c r="CU1295" s="1"/>
      <c r="CV1295" s="1"/>
      <c r="CW1295" s="1"/>
    </row>
    <row r="1296" spans="2:101" ht="15" hidden="1" customHeight="1" x14ac:dyDescent="0.25"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30"/>
      <c r="W1296" s="30"/>
      <c r="X1296" s="30"/>
      <c r="Y1296" s="30"/>
      <c r="Z1296" s="30"/>
      <c r="AA1296" s="30"/>
      <c r="AB1296" s="30"/>
      <c r="AC1296" s="30"/>
      <c r="AD1296" s="30"/>
      <c r="AE1296" s="30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30"/>
      <c r="AQ1296" s="30"/>
      <c r="AR1296" s="30"/>
      <c r="AS1296" s="30"/>
      <c r="AT1296" s="30"/>
      <c r="AU1296" s="30"/>
      <c r="AV1296" s="30"/>
      <c r="AW1296" s="30"/>
      <c r="AX1296" s="30"/>
      <c r="AY1296" s="30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30"/>
      <c r="BK1296" s="30"/>
      <c r="BL1296" s="30"/>
      <c r="BM1296" s="30"/>
      <c r="BN1296" s="30"/>
      <c r="BO1296" s="30"/>
      <c r="BP1296" s="30"/>
      <c r="BQ1296" s="30"/>
      <c r="BR1296" s="30"/>
      <c r="BS1296" s="30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30"/>
      <c r="CE1296" s="30"/>
      <c r="CF1296" s="30"/>
      <c r="CG1296" s="30"/>
      <c r="CH1296" s="30"/>
      <c r="CI1296" s="30"/>
      <c r="CJ1296" s="30"/>
      <c r="CK1296" s="30"/>
      <c r="CL1296" s="30"/>
      <c r="CM1296" s="30"/>
      <c r="CN1296" s="1"/>
      <c r="CO1296" s="1"/>
      <c r="CP1296" s="1"/>
      <c r="CQ1296" s="1"/>
      <c r="CR1296" s="1"/>
      <c r="CS1296" s="1"/>
      <c r="CT1296" s="1"/>
      <c r="CU1296" s="1"/>
      <c r="CV1296" s="1"/>
      <c r="CW1296" s="1"/>
    </row>
    <row r="1297" spans="2:101" ht="15" hidden="1" customHeight="1" x14ac:dyDescent="0.25"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30"/>
      <c r="W1297" s="30"/>
      <c r="X1297" s="30"/>
      <c r="Y1297" s="30"/>
      <c r="Z1297" s="30"/>
      <c r="AA1297" s="30"/>
      <c r="AB1297" s="30"/>
      <c r="AC1297" s="30"/>
      <c r="AD1297" s="30"/>
      <c r="AE1297" s="30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30"/>
      <c r="AQ1297" s="30"/>
      <c r="AR1297" s="30"/>
      <c r="AS1297" s="30"/>
      <c r="AT1297" s="30"/>
      <c r="AU1297" s="30"/>
      <c r="AV1297" s="30"/>
      <c r="AW1297" s="30"/>
      <c r="AX1297" s="30"/>
      <c r="AY1297" s="30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30"/>
      <c r="BK1297" s="30"/>
      <c r="BL1297" s="30"/>
      <c r="BM1297" s="30"/>
      <c r="BN1297" s="30"/>
      <c r="BO1297" s="30"/>
      <c r="BP1297" s="30"/>
      <c r="BQ1297" s="30"/>
      <c r="BR1297" s="30"/>
      <c r="BS1297" s="30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30"/>
      <c r="CE1297" s="30"/>
      <c r="CF1297" s="30"/>
      <c r="CG1297" s="30"/>
      <c r="CH1297" s="30"/>
      <c r="CI1297" s="30"/>
      <c r="CJ1297" s="30"/>
      <c r="CK1297" s="30"/>
      <c r="CL1297" s="30"/>
      <c r="CM1297" s="30"/>
      <c r="CN1297" s="1"/>
      <c r="CO1297" s="1"/>
      <c r="CP1297" s="1"/>
      <c r="CQ1297" s="1"/>
      <c r="CR1297" s="1"/>
      <c r="CS1297" s="1"/>
      <c r="CT1297" s="1"/>
      <c r="CU1297" s="1"/>
      <c r="CV1297" s="1"/>
      <c r="CW1297" s="1"/>
    </row>
    <row r="1298" spans="2:101" ht="15" hidden="1" customHeight="1" x14ac:dyDescent="0.25"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30"/>
      <c r="W1298" s="30"/>
      <c r="X1298" s="30"/>
      <c r="Y1298" s="30"/>
      <c r="Z1298" s="30"/>
      <c r="AA1298" s="30"/>
      <c r="AB1298" s="30"/>
      <c r="AC1298" s="30"/>
      <c r="AD1298" s="30"/>
      <c r="AE1298" s="30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30"/>
      <c r="AQ1298" s="30"/>
      <c r="AR1298" s="30"/>
      <c r="AS1298" s="30"/>
      <c r="AT1298" s="30"/>
      <c r="AU1298" s="30"/>
      <c r="AV1298" s="30"/>
      <c r="AW1298" s="30"/>
      <c r="AX1298" s="30"/>
      <c r="AY1298" s="30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30"/>
      <c r="BK1298" s="30"/>
      <c r="BL1298" s="30"/>
      <c r="BM1298" s="30"/>
      <c r="BN1298" s="30"/>
      <c r="BO1298" s="30"/>
      <c r="BP1298" s="30"/>
      <c r="BQ1298" s="30"/>
      <c r="BR1298" s="30"/>
      <c r="BS1298" s="30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30"/>
      <c r="CE1298" s="30"/>
      <c r="CF1298" s="30"/>
      <c r="CG1298" s="30"/>
      <c r="CH1298" s="30"/>
      <c r="CI1298" s="30"/>
      <c r="CJ1298" s="30"/>
      <c r="CK1298" s="30"/>
      <c r="CL1298" s="30"/>
      <c r="CM1298" s="30"/>
      <c r="CN1298" s="1"/>
      <c r="CO1298" s="1"/>
      <c r="CP1298" s="1"/>
      <c r="CQ1298" s="1"/>
      <c r="CR1298" s="1"/>
      <c r="CS1298" s="1"/>
      <c r="CT1298" s="1"/>
      <c r="CU1298" s="1"/>
      <c r="CV1298" s="1"/>
      <c r="CW1298" s="1"/>
    </row>
    <row r="1299" spans="2:101" ht="15" hidden="1" customHeight="1" x14ac:dyDescent="0.25"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30"/>
      <c r="W1299" s="30"/>
      <c r="X1299" s="30"/>
      <c r="Y1299" s="30"/>
      <c r="Z1299" s="30"/>
      <c r="AA1299" s="30"/>
      <c r="AB1299" s="30"/>
      <c r="AC1299" s="30"/>
      <c r="AD1299" s="30"/>
      <c r="AE1299" s="30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30"/>
      <c r="AQ1299" s="30"/>
      <c r="AR1299" s="30"/>
      <c r="AS1299" s="30"/>
      <c r="AT1299" s="30"/>
      <c r="AU1299" s="30"/>
      <c r="AV1299" s="30"/>
      <c r="AW1299" s="30"/>
      <c r="AX1299" s="30"/>
      <c r="AY1299" s="30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30"/>
      <c r="BK1299" s="30"/>
      <c r="BL1299" s="30"/>
      <c r="BM1299" s="30"/>
      <c r="BN1299" s="30"/>
      <c r="BO1299" s="30"/>
      <c r="BP1299" s="30"/>
      <c r="BQ1299" s="30"/>
      <c r="BR1299" s="30"/>
      <c r="BS1299" s="30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30"/>
      <c r="CE1299" s="30"/>
      <c r="CF1299" s="30"/>
      <c r="CG1299" s="30"/>
      <c r="CH1299" s="30"/>
      <c r="CI1299" s="30"/>
      <c r="CJ1299" s="30"/>
      <c r="CK1299" s="30"/>
      <c r="CL1299" s="30"/>
      <c r="CM1299" s="30"/>
      <c r="CN1299" s="1"/>
      <c r="CO1299" s="1"/>
      <c r="CP1299" s="1"/>
      <c r="CQ1299" s="1"/>
      <c r="CR1299" s="1"/>
      <c r="CS1299" s="1"/>
      <c r="CT1299" s="1"/>
      <c r="CU1299" s="1"/>
      <c r="CV1299" s="1"/>
      <c r="CW1299" s="1"/>
    </row>
    <row r="1300" spans="2:101" ht="15" hidden="1" customHeight="1" x14ac:dyDescent="0.25"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30"/>
      <c r="W1300" s="30"/>
      <c r="X1300" s="30"/>
      <c r="Y1300" s="30"/>
      <c r="Z1300" s="30"/>
      <c r="AA1300" s="30"/>
      <c r="AB1300" s="30"/>
      <c r="AC1300" s="30"/>
      <c r="AD1300" s="30"/>
      <c r="AE1300" s="30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30"/>
      <c r="AQ1300" s="30"/>
      <c r="AR1300" s="30"/>
      <c r="AS1300" s="30"/>
      <c r="AT1300" s="30"/>
      <c r="AU1300" s="30"/>
      <c r="AV1300" s="30"/>
      <c r="AW1300" s="30"/>
      <c r="AX1300" s="30"/>
      <c r="AY1300" s="30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30"/>
      <c r="BK1300" s="30"/>
      <c r="BL1300" s="30"/>
      <c r="BM1300" s="30"/>
      <c r="BN1300" s="30"/>
      <c r="BO1300" s="30"/>
      <c r="BP1300" s="30"/>
      <c r="BQ1300" s="30"/>
      <c r="BR1300" s="30"/>
      <c r="BS1300" s="30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30"/>
      <c r="CE1300" s="30"/>
      <c r="CF1300" s="30"/>
      <c r="CG1300" s="30"/>
      <c r="CH1300" s="30"/>
      <c r="CI1300" s="30"/>
      <c r="CJ1300" s="30"/>
      <c r="CK1300" s="30"/>
      <c r="CL1300" s="30"/>
      <c r="CM1300" s="30"/>
      <c r="CN1300" s="1"/>
      <c r="CO1300" s="1"/>
      <c r="CP1300" s="1"/>
      <c r="CQ1300" s="1"/>
      <c r="CR1300" s="1"/>
      <c r="CS1300" s="1"/>
      <c r="CT1300" s="1"/>
      <c r="CU1300" s="1"/>
      <c r="CV1300" s="1"/>
      <c r="CW1300" s="1"/>
    </row>
    <row r="1301" spans="2:101" ht="15" hidden="1" customHeight="1" x14ac:dyDescent="0.25"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30"/>
      <c r="W1301" s="30"/>
      <c r="X1301" s="30"/>
      <c r="Y1301" s="30"/>
      <c r="Z1301" s="30"/>
      <c r="AA1301" s="30"/>
      <c r="AB1301" s="30"/>
      <c r="AC1301" s="30"/>
      <c r="AD1301" s="30"/>
      <c r="AE1301" s="30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30"/>
      <c r="AQ1301" s="30"/>
      <c r="AR1301" s="30"/>
      <c r="AS1301" s="30"/>
      <c r="AT1301" s="30"/>
      <c r="AU1301" s="30"/>
      <c r="AV1301" s="30"/>
      <c r="AW1301" s="30"/>
      <c r="AX1301" s="30"/>
      <c r="AY1301" s="30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30"/>
      <c r="BK1301" s="30"/>
      <c r="BL1301" s="30"/>
      <c r="BM1301" s="30"/>
      <c r="BN1301" s="30"/>
      <c r="BO1301" s="30"/>
      <c r="BP1301" s="30"/>
      <c r="BQ1301" s="30"/>
      <c r="BR1301" s="30"/>
      <c r="BS1301" s="30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30"/>
      <c r="CE1301" s="30"/>
      <c r="CF1301" s="30"/>
      <c r="CG1301" s="30"/>
      <c r="CH1301" s="30"/>
      <c r="CI1301" s="30"/>
      <c r="CJ1301" s="30"/>
      <c r="CK1301" s="30"/>
      <c r="CL1301" s="30"/>
      <c r="CM1301" s="30"/>
      <c r="CN1301" s="1"/>
      <c r="CO1301" s="1"/>
      <c r="CP1301" s="1"/>
      <c r="CQ1301" s="1"/>
      <c r="CR1301" s="1"/>
      <c r="CS1301" s="1"/>
      <c r="CT1301" s="1"/>
      <c r="CU1301" s="1"/>
      <c r="CV1301" s="1"/>
      <c r="CW1301" s="1"/>
    </row>
    <row r="1302" spans="2:101" ht="15" hidden="1" customHeight="1" x14ac:dyDescent="0.25"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30"/>
      <c r="W1302" s="30"/>
      <c r="X1302" s="30"/>
      <c r="Y1302" s="30"/>
      <c r="Z1302" s="30"/>
      <c r="AA1302" s="30"/>
      <c r="AB1302" s="30"/>
      <c r="AC1302" s="30"/>
      <c r="AD1302" s="30"/>
      <c r="AE1302" s="30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30"/>
      <c r="AQ1302" s="30"/>
      <c r="AR1302" s="30"/>
      <c r="AS1302" s="30"/>
      <c r="AT1302" s="30"/>
      <c r="AU1302" s="30"/>
      <c r="AV1302" s="30"/>
      <c r="AW1302" s="30"/>
      <c r="AX1302" s="30"/>
      <c r="AY1302" s="30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30"/>
      <c r="BK1302" s="30"/>
      <c r="BL1302" s="30"/>
      <c r="BM1302" s="30"/>
      <c r="BN1302" s="30"/>
      <c r="BO1302" s="30"/>
      <c r="BP1302" s="30"/>
      <c r="BQ1302" s="30"/>
      <c r="BR1302" s="30"/>
      <c r="BS1302" s="30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30"/>
      <c r="CE1302" s="30"/>
      <c r="CF1302" s="30"/>
      <c r="CG1302" s="30"/>
      <c r="CH1302" s="30"/>
      <c r="CI1302" s="30"/>
      <c r="CJ1302" s="30"/>
      <c r="CK1302" s="30"/>
      <c r="CL1302" s="30"/>
      <c r="CM1302" s="30"/>
      <c r="CN1302" s="1"/>
      <c r="CO1302" s="1"/>
      <c r="CP1302" s="1"/>
      <c r="CQ1302" s="1"/>
      <c r="CR1302" s="1"/>
      <c r="CS1302" s="1"/>
      <c r="CT1302" s="1"/>
      <c r="CU1302" s="1"/>
      <c r="CV1302" s="1"/>
      <c r="CW1302" s="1"/>
    </row>
    <row r="1303" spans="2:101" ht="15" hidden="1" customHeight="1" x14ac:dyDescent="0.25"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30"/>
      <c r="W1303" s="30"/>
      <c r="X1303" s="30"/>
      <c r="Y1303" s="30"/>
      <c r="Z1303" s="30"/>
      <c r="AA1303" s="30"/>
      <c r="AB1303" s="30"/>
      <c r="AC1303" s="30"/>
      <c r="AD1303" s="30"/>
      <c r="AE1303" s="30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30"/>
      <c r="AQ1303" s="30"/>
      <c r="AR1303" s="30"/>
      <c r="AS1303" s="30"/>
      <c r="AT1303" s="30"/>
      <c r="AU1303" s="30"/>
      <c r="AV1303" s="30"/>
      <c r="AW1303" s="30"/>
      <c r="AX1303" s="30"/>
      <c r="AY1303" s="30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30"/>
      <c r="BK1303" s="30"/>
      <c r="BL1303" s="30"/>
      <c r="BM1303" s="30"/>
      <c r="BN1303" s="30"/>
      <c r="BO1303" s="30"/>
      <c r="BP1303" s="30"/>
      <c r="BQ1303" s="30"/>
      <c r="BR1303" s="30"/>
      <c r="BS1303" s="30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30"/>
      <c r="CE1303" s="30"/>
      <c r="CF1303" s="30"/>
      <c r="CG1303" s="30"/>
      <c r="CH1303" s="30"/>
      <c r="CI1303" s="30"/>
      <c r="CJ1303" s="30"/>
      <c r="CK1303" s="30"/>
      <c r="CL1303" s="30"/>
      <c r="CM1303" s="30"/>
      <c r="CN1303" s="1"/>
      <c r="CO1303" s="1"/>
      <c r="CP1303" s="1"/>
      <c r="CQ1303" s="1"/>
      <c r="CR1303" s="1"/>
      <c r="CS1303" s="1"/>
      <c r="CT1303" s="1"/>
      <c r="CU1303" s="1"/>
      <c r="CV1303" s="1"/>
      <c r="CW1303" s="1"/>
    </row>
    <row r="1304" spans="2:101" ht="15" hidden="1" customHeight="1" x14ac:dyDescent="0.25"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30"/>
      <c r="W1304" s="30"/>
      <c r="X1304" s="30"/>
      <c r="Y1304" s="30"/>
      <c r="Z1304" s="30"/>
      <c r="AA1304" s="30"/>
      <c r="AB1304" s="30"/>
      <c r="AC1304" s="30"/>
      <c r="AD1304" s="30"/>
      <c r="AE1304" s="30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30"/>
      <c r="AQ1304" s="30"/>
      <c r="AR1304" s="30"/>
      <c r="AS1304" s="30"/>
      <c r="AT1304" s="30"/>
      <c r="AU1304" s="30"/>
      <c r="AV1304" s="30"/>
      <c r="AW1304" s="30"/>
      <c r="AX1304" s="30"/>
      <c r="AY1304" s="30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30"/>
      <c r="BK1304" s="30"/>
      <c r="BL1304" s="30"/>
      <c r="BM1304" s="30"/>
      <c r="BN1304" s="30"/>
      <c r="BO1304" s="30"/>
      <c r="BP1304" s="30"/>
      <c r="BQ1304" s="30"/>
      <c r="BR1304" s="30"/>
      <c r="BS1304" s="30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30"/>
      <c r="CE1304" s="30"/>
      <c r="CF1304" s="30"/>
      <c r="CG1304" s="30"/>
      <c r="CH1304" s="30"/>
      <c r="CI1304" s="30"/>
      <c r="CJ1304" s="30"/>
      <c r="CK1304" s="30"/>
      <c r="CL1304" s="30"/>
      <c r="CM1304" s="30"/>
      <c r="CN1304" s="1"/>
      <c r="CO1304" s="1"/>
      <c r="CP1304" s="1"/>
      <c r="CQ1304" s="1"/>
      <c r="CR1304" s="1"/>
      <c r="CS1304" s="1"/>
      <c r="CT1304" s="1"/>
      <c r="CU1304" s="1"/>
      <c r="CV1304" s="1"/>
      <c r="CW1304" s="1"/>
    </row>
    <row r="1305" spans="2:101" ht="15" hidden="1" customHeight="1" x14ac:dyDescent="0.25"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30"/>
      <c r="W1305" s="30"/>
      <c r="X1305" s="30"/>
      <c r="Y1305" s="30"/>
      <c r="Z1305" s="30"/>
      <c r="AA1305" s="30"/>
      <c r="AB1305" s="30"/>
      <c r="AC1305" s="30"/>
      <c r="AD1305" s="30"/>
      <c r="AE1305" s="30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30"/>
      <c r="AQ1305" s="30"/>
      <c r="AR1305" s="30"/>
      <c r="AS1305" s="30"/>
      <c r="AT1305" s="30"/>
      <c r="AU1305" s="30"/>
      <c r="AV1305" s="30"/>
      <c r="AW1305" s="30"/>
      <c r="AX1305" s="30"/>
      <c r="AY1305" s="30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30"/>
      <c r="BK1305" s="30"/>
      <c r="BL1305" s="30"/>
      <c r="BM1305" s="30"/>
      <c r="BN1305" s="30"/>
      <c r="BO1305" s="30"/>
      <c r="BP1305" s="30"/>
      <c r="BQ1305" s="30"/>
      <c r="BR1305" s="30"/>
      <c r="BS1305" s="30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30"/>
      <c r="CE1305" s="30"/>
      <c r="CF1305" s="30"/>
      <c r="CG1305" s="30"/>
      <c r="CH1305" s="30"/>
      <c r="CI1305" s="30"/>
      <c r="CJ1305" s="30"/>
      <c r="CK1305" s="30"/>
      <c r="CL1305" s="30"/>
      <c r="CM1305" s="30"/>
      <c r="CN1305" s="1"/>
      <c r="CO1305" s="1"/>
      <c r="CP1305" s="1"/>
      <c r="CQ1305" s="1"/>
      <c r="CR1305" s="1"/>
      <c r="CS1305" s="1"/>
      <c r="CT1305" s="1"/>
      <c r="CU1305" s="1"/>
      <c r="CV1305" s="1"/>
      <c r="CW1305" s="1"/>
    </row>
    <row r="1306" spans="2:101" ht="15" hidden="1" customHeight="1" x14ac:dyDescent="0.25"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30"/>
      <c r="W1306" s="30"/>
      <c r="X1306" s="30"/>
      <c r="Y1306" s="30"/>
      <c r="Z1306" s="30"/>
      <c r="AA1306" s="30"/>
      <c r="AB1306" s="30"/>
      <c r="AC1306" s="30"/>
      <c r="AD1306" s="30"/>
      <c r="AE1306" s="30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30"/>
      <c r="AQ1306" s="30"/>
      <c r="AR1306" s="30"/>
      <c r="AS1306" s="30"/>
      <c r="AT1306" s="30"/>
      <c r="AU1306" s="30"/>
      <c r="AV1306" s="30"/>
      <c r="AW1306" s="30"/>
      <c r="AX1306" s="30"/>
      <c r="AY1306" s="30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30"/>
      <c r="BK1306" s="30"/>
      <c r="BL1306" s="30"/>
      <c r="BM1306" s="30"/>
      <c r="BN1306" s="30"/>
      <c r="BO1306" s="30"/>
      <c r="BP1306" s="30"/>
      <c r="BQ1306" s="30"/>
      <c r="BR1306" s="30"/>
      <c r="BS1306" s="30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30"/>
      <c r="CE1306" s="30"/>
      <c r="CF1306" s="30"/>
      <c r="CG1306" s="30"/>
      <c r="CH1306" s="30"/>
      <c r="CI1306" s="30"/>
      <c r="CJ1306" s="30"/>
      <c r="CK1306" s="30"/>
      <c r="CL1306" s="30"/>
      <c r="CM1306" s="30"/>
      <c r="CN1306" s="1"/>
      <c r="CO1306" s="1"/>
      <c r="CP1306" s="1"/>
      <c r="CQ1306" s="1"/>
      <c r="CR1306" s="1"/>
      <c r="CS1306" s="1"/>
      <c r="CT1306" s="1"/>
      <c r="CU1306" s="1"/>
      <c r="CV1306" s="1"/>
      <c r="CW1306" s="1"/>
    </row>
    <row r="1307" spans="2:101" ht="15" hidden="1" customHeight="1" x14ac:dyDescent="0.25"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30"/>
      <c r="W1307" s="30"/>
      <c r="X1307" s="30"/>
      <c r="Y1307" s="30"/>
      <c r="Z1307" s="30"/>
      <c r="AA1307" s="30"/>
      <c r="AB1307" s="30"/>
      <c r="AC1307" s="30"/>
      <c r="AD1307" s="30"/>
      <c r="AE1307" s="30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30"/>
      <c r="AQ1307" s="30"/>
      <c r="AR1307" s="30"/>
      <c r="AS1307" s="30"/>
      <c r="AT1307" s="30"/>
      <c r="AU1307" s="30"/>
      <c r="AV1307" s="30"/>
      <c r="AW1307" s="30"/>
      <c r="AX1307" s="30"/>
      <c r="AY1307" s="30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30"/>
      <c r="BK1307" s="30"/>
      <c r="BL1307" s="30"/>
      <c r="BM1307" s="30"/>
      <c r="BN1307" s="30"/>
      <c r="BO1307" s="30"/>
      <c r="BP1307" s="30"/>
      <c r="BQ1307" s="30"/>
      <c r="BR1307" s="30"/>
      <c r="BS1307" s="30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30"/>
      <c r="CE1307" s="30"/>
      <c r="CF1307" s="30"/>
      <c r="CG1307" s="30"/>
      <c r="CH1307" s="30"/>
      <c r="CI1307" s="30"/>
      <c r="CJ1307" s="30"/>
      <c r="CK1307" s="30"/>
      <c r="CL1307" s="30"/>
      <c r="CM1307" s="30"/>
      <c r="CN1307" s="1"/>
      <c r="CO1307" s="1"/>
      <c r="CP1307" s="1"/>
      <c r="CQ1307" s="1"/>
      <c r="CR1307" s="1"/>
      <c r="CS1307" s="1"/>
      <c r="CT1307" s="1"/>
      <c r="CU1307" s="1"/>
      <c r="CV1307" s="1"/>
      <c r="CW1307" s="1"/>
    </row>
    <row r="1308" spans="2:101" ht="15" hidden="1" customHeight="1" x14ac:dyDescent="0.25"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30"/>
      <c r="W1308" s="30"/>
      <c r="X1308" s="30"/>
      <c r="Y1308" s="30"/>
      <c r="Z1308" s="30"/>
      <c r="AA1308" s="30"/>
      <c r="AB1308" s="30"/>
      <c r="AC1308" s="30"/>
      <c r="AD1308" s="30"/>
      <c r="AE1308" s="30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30"/>
      <c r="AQ1308" s="30"/>
      <c r="AR1308" s="30"/>
      <c r="AS1308" s="30"/>
      <c r="AT1308" s="30"/>
      <c r="AU1308" s="30"/>
      <c r="AV1308" s="30"/>
      <c r="AW1308" s="30"/>
      <c r="AX1308" s="30"/>
      <c r="AY1308" s="30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30"/>
      <c r="BK1308" s="30"/>
      <c r="BL1308" s="30"/>
      <c r="BM1308" s="30"/>
      <c r="BN1308" s="30"/>
      <c r="BO1308" s="30"/>
      <c r="BP1308" s="30"/>
      <c r="BQ1308" s="30"/>
      <c r="BR1308" s="30"/>
      <c r="BS1308" s="30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30"/>
      <c r="CE1308" s="30"/>
      <c r="CF1308" s="30"/>
      <c r="CG1308" s="30"/>
      <c r="CH1308" s="30"/>
      <c r="CI1308" s="30"/>
      <c r="CJ1308" s="30"/>
      <c r="CK1308" s="30"/>
      <c r="CL1308" s="30"/>
      <c r="CM1308" s="30"/>
      <c r="CN1308" s="1"/>
      <c r="CO1308" s="1"/>
      <c r="CP1308" s="1"/>
      <c r="CQ1308" s="1"/>
      <c r="CR1308" s="1"/>
      <c r="CS1308" s="1"/>
      <c r="CT1308" s="1"/>
      <c r="CU1308" s="1"/>
      <c r="CV1308" s="1"/>
      <c r="CW1308" s="1"/>
    </row>
    <row r="1309" spans="2:101" ht="15" hidden="1" customHeight="1" x14ac:dyDescent="0.25"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30"/>
      <c r="W1309" s="30"/>
      <c r="X1309" s="30"/>
      <c r="Y1309" s="30"/>
      <c r="Z1309" s="30"/>
      <c r="AA1309" s="30"/>
      <c r="AB1309" s="30"/>
      <c r="AC1309" s="30"/>
      <c r="AD1309" s="30"/>
      <c r="AE1309" s="30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30"/>
      <c r="AQ1309" s="30"/>
      <c r="AR1309" s="30"/>
      <c r="AS1309" s="30"/>
      <c r="AT1309" s="30"/>
      <c r="AU1309" s="30"/>
      <c r="AV1309" s="30"/>
      <c r="AW1309" s="30"/>
      <c r="AX1309" s="30"/>
      <c r="AY1309" s="30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30"/>
      <c r="BK1309" s="30"/>
      <c r="BL1309" s="30"/>
      <c r="BM1309" s="30"/>
      <c r="BN1309" s="30"/>
      <c r="BO1309" s="30"/>
      <c r="BP1309" s="30"/>
      <c r="BQ1309" s="30"/>
      <c r="BR1309" s="30"/>
      <c r="BS1309" s="30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30"/>
      <c r="CE1309" s="30"/>
      <c r="CF1309" s="30"/>
      <c r="CG1309" s="30"/>
      <c r="CH1309" s="30"/>
      <c r="CI1309" s="30"/>
      <c r="CJ1309" s="30"/>
      <c r="CK1309" s="30"/>
      <c r="CL1309" s="30"/>
      <c r="CM1309" s="30"/>
      <c r="CN1309" s="1"/>
      <c r="CO1309" s="1"/>
      <c r="CP1309" s="1"/>
      <c r="CQ1309" s="1"/>
      <c r="CR1309" s="1"/>
      <c r="CS1309" s="1"/>
      <c r="CT1309" s="1"/>
      <c r="CU1309" s="1"/>
      <c r="CV1309" s="1"/>
      <c r="CW1309" s="1"/>
    </row>
    <row r="1310" spans="2:101" ht="15" hidden="1" customHeight="1" x14ac:dyDescent="0.25"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30"/>
      <c r="W1310" s="30"/>
      <c r="X1310" s="30"/>
      <c r="Y1310" s="30"/>
      <c r="Z1310" s="30"/>
      <c r="AA1310" s="30"/>
      <c r="AB1310" s="30"/>
      <c r="AC1310" s="30"/>
      <c r="AD1310" s="30"/>
      <c r="AE1310" s="30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30"/>
      <c r="BK1310" s="30"/>
      <c r="BL1310" s="30"/>
      <c r="BM1310" s="30"/>
      <c r="BN1310" s="30"/>
      <c r="BO1310" s="30"/>
      <c r="BP1310" s="30"/>
      <c r="BQ1310" s="30"/>
      <c r="BR1310" s="30"/>
      <c r="BS1310" s="30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30"/>
      <c r="CE1310" s="30"/>
      <c r="CF1310" s="30"/>
      <c r="CG1310" s="30"/>
      <c r="CH1310" s="30"/>
      <c r="CI1310" s="30"/>
      <c r="CJ1310" s="30"/>
      <c r="CK1310" s="30"/>
      <c r="CL1310" s="30"/>
      <c r="CM1310" s="30"/>
      <c r="CN1310" s="1"/>
      <c r="CO1310" s="1"/>
      <c r="CP1310" s="1"/>
      <c r="CQ1310" s="1"/>
      <c r="CR1310" s="1"/>
      <c r="CS1310" s="1"/>
      <c r="CT1310" s="1"/>
      <c r="CU1310" s="1"/>
      <c r="CV1310" s="1"/>
      <c r="CW1310" s="1"/>
    </row>
    <row r="1311" spans="2:101" ht="15" hidden="1" customHeight="1" x14ac:dyDescent="0.25"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30"/>
      <c r="W1311" s="30"/>
      <c r="X1311" s="30"/>
      <c r="Y1311" s="30"/>
      <c r="Z1311" s="30"/>
      <c r="AA1311" s="30"/>
      <c r="AB1311" s="30"/>
      <c r="AC1311" s="30"/>
      <c r="AD1311" s="30"/>
      <c r="AE1311" s="30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30"/>
      <c r="AQ1311" s="30"/>
      <c r="AR1311" s="30"/>
      <c r="AS1311" s="30"/>
      <c r="AT1311" s="30"/>
      <c r="AU1311" s="30"/>
      <c r="AV1311" s="30"/>
      <c r="AW1311" s="30"/>
      <c r="AX1311" s="30"/>
      <c r="AY1311" s="30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30"/>
      <c r="BK1311" s="30"/>
      <c r="BL1311" s="30"/>
      <c r="BM1311" s="30"/>
      <c r="BN1311" s="30"/>
      <c r="BO1311" s="30"/>
      <c r="BP1311" s="30"/>
      <c r="BQ1311" s="30"/>
      <c r="BR1311" s="30"/>
      <c r="BS1311" s="30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30"/>
      <c r="CE1311" s="30"/>
      <c r="CF1311" s="30"/>
      <c r="CG1311" s="30"/>
      <c r="CH1311" s="30"/>
      <c r="CI1311" s="30"/>
      <c r="CJ1311" s="30"/>
      <c r="CK1311" s="30"/>
      <c r="CL1311" s="30"/>
      <c r="CM1311" s="30"/>
      <c r="CN1311" s="1"/>
      <c r="CO1311" s="1"/>
      <c r="CP1311" s="1"/>
      <c r="CQ1311" s="1"/>
      <c r="CR1311" s="1"/>
      <c r="CS1311" s="1"/>
      <c r="CT1311" s="1"/>
      <c r="CU1311" s="1"/>
      <c r="CV1311" s="1"/>
      <c r="CW1311" s="1"/>
    </row>
    <row r="1312" spans="2:101" ht="15" hidden="1" customHeight="1" x14ac:dyDescent="0.25"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30"/>
      <c r="W1312" s="30"/>
      <c r="X1312" s="30"/>
      <c r="Y1312" s="30"/>
      <c r="Z1312" s="30"/>
      <c r="AA1312" s="30"/>
      <c r="AB1312" s="30"/>
      <c r="AC1312" s="30"/>
      <c r="AD1312" s="30"/>
      <c r="AE1312" s="30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30"/>
      <c r="AQ1312" s="30"/>
      <c r="AR1312" s="30"/>
      <c r="AS1312" s="30"/>
      <c r="AT1312" s="30"/>
      <c r="AU1312" s="30"/>
      <c r="AV1312" s="30"/>
      <c r="AW1312" s="30"/>
      <c r="AX1312" s="30"/>
      <c r="AY1312" s="30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30"/>
      <c r="BK1312" s="30"/>
      <c r="BL1312" s="30"/>
      <c r="BM1312" s="30"/>
      <c r="BN1312" s="30"/>
      <c r="BO1312" s="30"/>
      <c r="BP1312" s="30"/>
      <c r="BQ1312" s="30"/>
      <c r="BR1312" s="30"/>
      <c r="BS1312" s="30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30"/>
      <c r="CE1312" s="30"/>
      <c r="CF1312" s="30"/>
      <c r="CG1312" s="30"/>
      <c r="CH1312" s="30"/>
      <c r="CI1312" s="30"/>
      <c r="CJ1312" s="30"/>
      <c r="CK1312" s="30"/>
      <c r="CL1312" s="30"/>
      <c r="CM1312" s="30"/>
      <c r="CN1312" s="1"/>
      <c r="CO1312" s="1"/>
      <c r="CP1312" s="1"/>
      <c r="CQ1312" s="1"/>
      <c r="CR1312" s="1"/>
      <c r="CS1312" s="1"/>
      <c r="CT1312" s="1"/>
      <c r="CU1312" s="1"/>
      <c r="CV1312" s="1"/>
      <c r="CW1312" s="1"/>
    </row>
    <row r="1313" spans="2:101" ht="15" hidden="1" customHeight="1" x14ac:dyDescent="0.25"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30"/>
      <c r="W1313" s="30"/>
      <c r="X1313" s="30"/>
      <c r="Y1313" s="30"/>
      <c r="Z1313" s="30"/>
      <c r="AA1313" s="30"/>
      <c r="AB1313" s="30"/>
      <c r="AC1313" s="30"/>
      <c r="AD1313" s="30"/>
      <c r="AE1313" s="30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30"/>
      <c r="AQ1313" s="30"/>
      <c r="AR1313" s="30"/>
      <c r="AS1313" s="30"/>
      <c r="AT1313" s="30"/>
      <c r="AU1313" s="30"/>
      <c r="AV1313" s="30"/>
      <c r="AW1313" s="30"/>
      <c r="AX1313" s="30"/>
      <c r="AY1313" s="30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30"/>
      <c r="BK1313" s="30"/>
      <c r="BL1313" s="30"/>
      <c r="BM1313" s="30"/>
      <c r="BN1313" s="30"/>
      <c r="BO1313" s="30"/>
      <c r="BP1313" s="30"/>
      <c r="BQ1313" s="30"/>
      <c r="BR1313" s="30"/>
      <c r="BS1313" s="30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30"/>
      <c r="CE1313" s="30"/>
      <c r="CF1313" s="30"/>
      <c r="CG1313" s="30"/>
      <c r="CH1313" s="30"/>
      <c r="CI1313" s="30"/>
      <c r="CJ1313" s="30"/>
      <c r="CK1313" s="30"/>
      <c r="CL1313" s="30"/>
      <c r="CM1313" s="30"/>
      <c r="CN1313" s="1"/>
      <c r="CO1313" s="1"/>
      <c r="CP1313" s="1"/>
      <c r="CQ1313" s="1"/>
      <c r="CR1313" s="1"/>
      <c r="CS1313" s="1"/>
      <c r="CT1313" s="1"/>
      <c r="CU1313" s="1"/>
      <c r="CV1313" s="1"/>
      <c r="CW1313" s="1"/>
    </row>
    <row r="1314" spans="2:101" ht="15" hidden="1" customHeight="1" x14ac:dyDescent="0.25"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30"/>
      <c r="W1314" s="30"/>
      <c r="X1314" s="30"/>
      <c r="Y1314" s="30"/>
      <c r="Z1314" s="30"/>
      <c r="AA1314" s="30"/>
      <c r="AB1314" s="30"/>
      <c r="AC1314" s="30"/>
      <c r="AD1314" s="30"/>
      <c r="AE1314" s="30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30"/>
      <c r="AQ1314" s="30"/>
      <c r="AR1314" s="30"/>
      <c r="AS1314" s="30"/>
      <c r="AT1314" s="30"/>
      <c r="AU1314" s="30"/>
      <c r="AV1314" s="30"/>
      <c r="AW1314" s="30"/>
      <c r="AX1314" s="30"/>
      <c r="AY1314" s="30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30"/>
      <c r="BK1314" s="30"/>
      <c r="BL1314" s="30"/>
      <c r="BM1314" s="30"/>
      <c r="BN1314" s="30"/>
      <c r="BO1314" s="30"/>
      <c r="BP1314" s="30"/>
      <c r="BQ1314" s="30"/>
      <c r="BR1314" s="30"/>
      <c r="BS1314" s="30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30"/>
      <c r="CE1314" s="30"/>
      <c r="CF1314" s="30"/>
      <c r="CG1314" s="30"/>
      <c r="CH1314" s="30"/>
      <c r="CI1314" s="30"/>
      <c r="CJ1314" s="30"/>
      <c r="CK1314" s="30"/>
      <c r="CL1314" s="30"/>
      <c r="CM1314" s="30"/>
      <c r="CN1314" s="1"/>
      <c r="CO1314" s="1"/>
      <c r="CP1314" s="1"/>
      <c r="CQ1314" s="1"/>
      <c r="CR1314" s="1"/>
      <c r="CS1314" s="1"/>
      <c r="CT1314" s="1"/>
      <c r="CU1314" s="1"/>
      <c r="CV1314" s="1"/>
      <c r="CW1314" s="1"/>
    </row>
    <row r="1315" spans="2:101" ht="15" hidden="1" customHeight="1" x14ac:dyDescent="0.25"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30"/>
      <c r="W1315" s="30"/>
      <c r="X1315" s="30"/>
      <c r="Y1315" s="30"/>
      <c r="Z1315" s="30"/>
      <c r="AA1315" s="30"/>
      <c r="AB1315" s="30"/>
      <c r="AC1315" s="30"/>
      <c r="AD1315" s="30"/>
      <c r="AE1315" s="30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30"/>
      <c r="AQ1315" s="30"/>
      <c r="AR1315" s="30"/>
      <c r="AS1315" s="30"/>
      <c r="AT1315" s="30"/>
      <c r="AU1315" s="30"/>
      <c r="AV1315" s="30"/>
      <c r="AW1315" s="30"/>
      <c r="AX1315" s="30"/>
      <c r="AY1315" s="30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30"/>
      <c r="BK1315" s="30"/>
      <c r="BL1315" s="30"/>
      <c r="BM1315" s="30"/>
      <c r="BN1315" s="30"/>
      <c r="BO1315" s="30"/>
      <c r="BP1315" s="30"/>
      <c r="BQ1315" s="30"/>
      <c r="BR1315" s="30"/>
      <c r="BS1315" s="30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30"/>
      <c r="CE1315" s="30"/>
      <c r="CF1315" s="30"/>
      <c r="CG1315" s="30"/>
      <c r="CH1315" s="30"/>
      <c r="CI1315" s="30"/>
      <c r="CJ1315" s="30"/>
      <c r="CK1315" s="30"/>
      <c r="CL1315" s="30"/>
      <c r="CM1315" s="30"/>
      <c r="CN1315" s="1"/>
      <c r="CO1315" s="1"/>
      <c r="CP1315" s="1"/>
      <c r="CQ1315" s="1"/>
      <c r="CR1315" s="1"/>
      <c r="CS1315" s="1"/>
      <c r="CT1315" s="1"/>
      <c r="CU1315" s="1"/>
      <c r="CV1315" s="1"/>
      <c r="CW1315" s="1"/>
    </row>
    <row r="1316" spans="2:101" ht="15" hidden="1" customHeight="1" x14ac:dyDescent="0.25"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30"/>
      <c r="W1316" s="30"/>
      <c r="X1316" s="30"/>
      <c r="Y1316" s="30"/>
      <c r="Z1316" s="30"/>
      <c r="AA1316" s="30"/>
      <c r="AB1316" s="30"/>
      <c r="AC1316" s="30"/>
      <c r="AD1316" s="30"/>
      <c r="AE1316" s="30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30"/>
      <c r="AQ1316" s="30"/>
      <c r="AR1316" s="30"/>
      <c r="AS1316" s="30"/>
      <c r="AT1316" s="30"/>
      <c r="AU1316" s="30"/>
      <c r="AV1316" s="30"/>
      <c r="AW1316" s="30"/>
      <c r="AX1316" s="30"/>
      <c r="AY1316" s="30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30"/>
      <c r="BK1316" s="30"/>
      <c r="BL1316" s="30"/>
      <c r="BM1316" s="30"/>
      <c r="BN1316" s="30"/>
      <c r="BO1316" s="30"/>
      <c r="BP1316" s="30"/>
      <c r="BQ1316" s="30"/>
      <c r="BR1316" s="30"/>
      <c r="BS1316" s="30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30"/>
      <c r="CE1316" s="30"/>
      <c r="CF1316" s="30"/>
      <c r="CG1316" s="30"/>
      <c r="CH1316" s="30"/>
      <c r="CI1316" s="30"/>
      <c r="CJ1316" s="30"/>
      <c r="CK1316" s="30"/>
      <c r="CL1316" s="30"/>
      <c r="CM1316" s="30"/>
      <c r="CN1316" s="1"/>
      <c r="CO1316" s="1"/>
      <c r="CP1316" s="1"/>
      <c r="CQ1316" s="1"/>
      <c r="CR1316" s="1"/>
      <c r="CS1316" s="1"/>
      <c r="CT1316" s="1"/>
      <c r="CU1316" s="1"/>
      <c r="CV1316" s="1"/>
      <c r="CW1316" s="1"/>
    </row>
    <row r="1317" spans="2:101" ht="15" hidden="1" customHeight="1" x14ac:dyDescent="0.25"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30"/>
      <c r="W1317" s="30"/>
      <c r="X1317" s="30"/>
      <c r="Y1317" s="30"/>
      <c r="Z1317" s="30"/>
      <c r="AA1317" s="30"/>
      <c r="AB1317" s="30"/>
      <c r="AC1317" s="30"/>
      <c r="AD1317" s="30"/>
      <c r="AE1317" s="30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30"/>
      <c r="AQ1317" s="30"/>
      <c r="AR1317" s="30"/>
      <c r="AS1317" s="30"/>
      <c r="AT1317" s="30"/>
      <c r="AU1317" s="30"/>
      <c r="AV1317" s="30"/>
      <c r="AW1317" s="30"/>
      <c r="AX1317" s="30"/>
      <c r="AY1317" s="30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30"/>
      <c r="BK1317" s="30"/>
      <c r="BL1317" s="30"/>
      <c r="BM1317" s="30"/>
      <c r="BN1317" s="30"/>
      <c r="BO1317" s="30"/>
      <c r="BP1317" s="30"/>
      <c r="BQ1317" s="30"/>
      <c r="BR1317" s="30"/>
      <c r="BS1317" s="30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30"/>
      <c r="CE1317" s="30"/>
      <c r="CF1317" s="30"/>
      <c r="CG1317" s="30"/>
      <c r="CH1317" s="30"/>
      <c r="CI1317" s="30"/>
      <c r="CJ1317" s="30"/>
      <c r="CK1317" s="30"/>
      <c r="CL1317" s="30"/>
      <c r="CM1317" s="30"/>
      <c r="CN1317" s="1"/>
      <c r="CO1317" s="1"/>
      <c r="CP1317" s="1"/>
      <c r="CQ1317" s="1"/>
      <c r="CR1317" s="1"/>
      <c r="CS1317" s="1"/>
      <c r="CT1317" s="1"/>
      <c r="CU1317" s="1"/>
      <c r="CV1317" s="1"/>
      <c r="CW1317" s="1"/>
    </row>
    <row r="1318" spans="2:101" ht="15" hidden="1" customHeight="1" x14ac:dyDescent="0.25"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30"/>
      <c r="W1318" s="30"/>
      <c r="X1318" s="30"/>
      <c r="Y1318" s="30"/>
      <c r="Z1318" s="30"/>
      <c r="AA1318" s="30"/>
      <c r="AB1318" s="30"/>
      <c r="AC1318" s="30"/>
      <c r="AD1318" s="30"/>
      <c r="AE1318" s="30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30"/>
      <c r="AQ1318" s="30"/>
      <c r="AR1318" s="30"/>
      <c r="AS1318" s="30"/>
      <c r="AT1318" s="30"/>
      <c r="AU1318" s="30"/>
      <c r="AV1318" s="30"/>
      <c r="AW1318" s="30"/>
      <c r="AX1318" s="30"/>
      <c r="AY1318" s="30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30"/>
      <c r="BK1318" s="30"/>
      <c r="BL1318" s="30"/>
      <c r="BM1318" s="30"/>
      <c r="BN1318" s="30"/>
      <c r="BO1318" s="30"/>
      <c r="BP1318" s="30"/>
      <c r="BQ1318" s="30"/>
      <c r="BR1318" s="30"/>
      <c r="BS1318" s="30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30"/>
      <c r="CE1318" s="30"/>
      <c r="CF1318" s="30"/>
      <c r="CG1318" s="30"/>
      <c r="CH1318" s="30"/>
      <c r="CI1318" s="30"/>
      <c r="CJ1318" s="30"/>
      <c r="CK1318" s="30"/>
      <c r="CL1318" s="30"/>
      <c r="CM1318" s="30"/>
      <c r="CN1318" s="1"/>
      <c r="CO1318" s="1"/>
      <c r="CP1318" s="1"/>
      <c r="CQ1318" s="1"/>
      <c r="CR1318" s="1"/>
      <c r="CS1318" s="1"/>
      <c r="CT1318" s="1"/>
      <c r="CU1318" s="1"/>
      <c r="CV1318" s="1"/>
      <c r="CW1318" s="1"/>
    </row>
    <row r="1319" spans="2:101" ht="15" hidden="1" customHeight="1" x14ac:dyDescent="0.25"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30"/>
      <c r="W1319" s="30"/>
      <c r="X1319" s="30"/>
      <c r="Y1319" s="30"/>
      <c r="Z1319" s="30"/>
      <c r="AA1319" s="30"/>
      <c r="AB1319" s="30"/>
      <c r="AC1319" s="30"/>
      <c r="AD1319" s="30"/>
      <c r="AE1319" s="30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30"/>
      <c r="AQ1319" s="30"/>
      <c r="AR1319" s="30"/>
      <c r="AS1319" s="30"/>
      <c r="AT1319" s="30"/>
      <c r="AU1319" s="30"/>
      <c r="AV1319" s="30"/>
      <c r="AW1319" s="30"/>
      <c r="AX1319" s="30"/>
      <c r="AY1319" s="30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30"/>
      <c r="BK1319" s="30"/>
      <c r="BL1319" s="30"/>
      <c r="BM1319" s="30"/>
      <c r="BN1319" s="30"/>
      <c r="BO1319" s="30"/>
      <c r="BP1319" s="30"/>
      <c r="BQ1319" s="30"/>
      <c r="BR1319" s="30"/>
      <c r="BS1319" s="30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30"/>
      <c r="CE1319" s="30"/>
      <c r="CF1319" s="30"/>
      <c r="CG1319" s="30"/>
      <c r="CH1319" s="30"/>
      <c r="CI1319" s="30"/>
      <c r="CJ1319" s="30"/>
      <c r="CK1319" s="30"/>
      <c r="CL1319" s="30"/>
      <c r="CM1319" s="30"/>
      <c r="CN1319" s="1"/>
      <c r="CO1319" s="1"/>
      <c r="CP1319" s="1"/>
      <c r="CQ1319" s="1"/>
      <c r="CR1319" s="1"/>
      <c r="CS1319" s="1"/>
      <c r="CT1319" s="1"/>
      <c r="CU1319" s="1"/>
      <c r="CV1319" s="1"/>
      <c r="CW1319" s="1"/>
    </row>
    <row r="1320" spans="2:101" ht="15" hidden="1" customHeight="1" x14ac:dyDescent="0.25"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30"/>
      <c r="W1320" s="30"/>
      <c r="X1320" s="30"/>
      <c r="Y1320" s="30"/>
      <c r="Z1320" s="30"/>
      <c r="AA1320" s="30"/>
      <c r="AB1320" s="30"/>
      <c r="AC1320" s="30"/>
      <c r="AD1320" s="30"/>
      <c r="AE1320" s="30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30"/>
      <c r="AQ1320" s="30"/>
      <c r="AR1320" s="30"/>
      <c r="AS1320" s="30"/>
      <c r="AT1320" s="30"/>
      <c r="AU1320" s="30"/>
      <c r="AV1320" s="30"/>
      <c r="AW1320" s="30"/>
      <c r="AX1320" s="30"/>
      <c r="AY1320" s="30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30"/>
      <c r="BK1320" s="30"/>
      <c r="BL1320" s="30"/>
      <c r="BM1320" s="30"/>
      <c r="BN1320" s="30"/>
      <c r="BO1320" s="30"/>
      <c r="BP1320" s="30"/>
      <c r="BQ1320" s="30"/>
      <c r="BR1320" s="30"/>
      <c r="BS1320" s="30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30"/>
      <c r="CE1320" s="30"/>
      <c r="CF1320" s="30"/>
      <c r="CG1320" s="30"/>
      <c r="CH1320" s="30"/>
      <c r="CI1320" s="30"/>
      <c r="CJ1320" s="30"/>
      <c r="CK1320" s="30"/>
      <c r="CL1320" s="30"/>
      <c r="CM1320" s="30"/>
      <c r="CN1320" s="1"/>
      <c r="CO1320" s="1"/>
      <c r="CP1320" s="1"/>
      <c r="CQ1320" s="1"/>
      <c r="CR1320" s="1"/>
      <c r="CS1320" s="1"/>
      <c r="CT1320" s="1"/>
      <c r="CU1320" s="1"/>
      <c r="CV1320" s="1"/>
      <c r="CW1320" s="1"/>
    </row>
    <row r="1321" spans="2:101" ht="15" hidden="1" customHeight="1" x14ac:dyDescent="0.25"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30"/>
      <c r="W1321" s="30"/>
      <c r="X1321" s="30"/>
      <c r="Y1321" s="30"/>
      <c r="Z1321" s="30"/>
      <c r="AA1321" s="30"/>
      <c r="AB1321" s="30"/>
      <c r="AC1321" s="30"/>
      <c r="AD1321" s="30"/>
      <c r="AE1321" s="30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30"/>
      <c r="AQ1321" s="30"/>
      <c r="AR1321" s="30"/>
      <c r="AS1321" s="30"/>
      <c r="AT1321" s="30"/>
      <c r="AU1321" s="30"/>
      <c r="AV1321" s="30"/>
      <c r="AW1321" s="30"/>
      <c r="AX1321" s="30"/>
      <c r="AY1321" s="30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30"/>
      <c r="BK1321" s="30"/>
      <c r="BL1321" s="30"/>
      <c r="BM1321" s="30"/>
      <c r="BN1321" s="30"/>
      <c r="BO1321" s="30"/>
      <c r="BP1321" s="30"/>
      <c r="BQ1321" s="30"/>
      <c r="BR1321" s="30"/>
      <c r="BS1321" s="30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30"/>
      <c r="CE1321" s="30"/>
      <c r="CF1321" s="30"/>
      <c r="CG1321" s="30"/>
      <c r="CH1321" s="30"/>
      <c r="CI1321" s="30"/>
      <c r="CJ1321" s="30"/>
      <c r="CK1321" s="30"/>
      <c r="CL1321" s="30"/>
      <c r="CM1321" s="30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</row>
    <row r="1322" spans="2:101" ht="15" hidden="1" customHeight="1" x14ac:dyDescent="0.25"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30"/>
      <c r="W1322" s="30"/>
      <c r="X1322" s="30"/>
      <c r="Y1322" s="30"/>
      <c r="Z1322" s="30"/>
      <c r="AA1322" s="30"/>
      <c r="AB1322" s="30"/>
      <c r="AC1322" s="30"/>
      <c r="AD1322" s="30"/>
      <c r="AE1322" s="30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30"/>
      <c r="AQ1322" s="30"/>
      <c r="AR1322" s="30"/>
      <c r="AS1322" s="30"/>
      <c r="AT1322" s="30"/>
      <c r="AU1322" s="30"/>
      <c r="AV1322" s="30"/>
      <c r="AW1322" s="30"/>
      <c r="AX1322" s="30"/>
      <c r="AY1322" s="30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30"/>
      <c r="BK1322" s="30"/>
      <c r="BL1322" s="30"/>
      <c r="BM1322" s="30"/>
      <c r="BN1322" s="30"/>
      <c r="BO1322" s="30"/>
      <c r="BP1322" s="30"/>
      <c r="BQ1322" s="30"/>
      <c r="BR1322" s="30"/>
      <c r="BS1322" s="30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30"/>
      <c r="CE1322" s="30"/>
      <c r="CF1322" s="30"/>
      <c r="CG1322" s="30"/>
      <c r="CH1322" s="30"/>
      <c r="CI1322" s="30"/>
      <c r="CJ1322" s="30"/>
      <c r="CK1322" s="30"/>
      <c r="CL1322" s="30"/>
      <c r="CM1322" s="30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</row>
    <row r="1323" spans="2:101" ht="15" hidden="1" customHeight="1" x14ac:dyDescent="0.25"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30"/>
      <c r="W1323" s="30"/>
      <c r="X1323" s="30"/>
      <c r="Y1323" s="30"/>
      <c r="Z1323" s="30"/>
      <c r="AA1323" s="30"/>
      <c r="AB1323" s="30"/>
      <c r="AC1323" s="30"/>
      <c r="AD1323" s="30"/>
      <c r="AE1323" s="30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30"/>
      <c r="AQ1323" s="30"/>
      <c r="AR1323" s="30"/>
      <c r="AS1323" s="30"/>
      <c r="AT1323" s="30"/>
      <c r="AU1323" s="30"/>
      <c r="AV1323" s="30"/>
      <c r="AW1323" s="30"/>
      <c r="AX1323" s="30"/>
      <c r="AY1323" s="30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30"/>
      <c r="BK1323" s="30"/>
      <c r="BL1323" s="30"/>
      <c r="BM1323" s="30"/>
      <c r="BN1323" s="30"/>
      <c r="BO1323" s="30"/>
      <c r="BP1323" s="30"/>
      <c r="BQ1323" s="30"/>
      <c r="BR1323" s="30"/>
      <c r="BS1323" s="30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30"/>
      <c r="CE1323" s="30"/>
      <c r="CF1323" s="30"/>
      <c r="CG1323" s="30"/>
      <c r="CH1323" s="30"/>
      <c r="CI1323" s="30"/>
      <c r="CJ1323" s="30"/>
      <c r="CK1323" s="30"/>
      <c r="CL1323" s="30"/>
      <c r="CM1323" s="30"/>
      <c r="CN1323" s="1"/>
      <c r="CO1323" s="1"/>
      <c r="CP1323" s="1"/>
      <c r="CQ1323" s="1"/>
      <c r="CR1323" s="1"/>
      <c r="CS1323" s="1"/>
      <c r="CT1323" s="1"/>
      <c r="CU1323" s="1"/>
      <c r="CV1323" s="1"/>
      <c r="CW1323" s="1"/>
    </row>
    <row r="1324" spans="2:101" ht="15" hidden="1" customHeight="1" x14ac:dyDescent="0.25"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30"/>
      <c r="W1324" s="30"/>
      <c r="X1324" s="30"/>
      <c r="Y1324" s="30"/>
      <c r="Z1324" s="30"/>
      <c r="AA1324" s="30"/>
      <c r="AB1324" s="30"/>
      <c r="AC1324" s="30"/>
      <c r="AD1324" s="30"/>
      <c r="AE1324" s="30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30"/>
      <c r="AQ1324" s="30"/>
      <c r="AR1324" s="30"/>
      <c r="AS1324" s="30"/>
      <c r="AT1324" s="30"/>
      <c r="AU1324" s="30"/>
      <c r="AV1324" s="30"/>
      <c r="AW1324" s="30"/>
      <c r="AX1324" s="30"/>
      <c r="AY1324" s="30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30"/>
      <c r="BK1324" s="30"/>
      <c r="BL1324" s="30"/>
      <c r="BM1324" s="30"/>
      <c r="BN1324" s="30"/>
      <c r="BO1324" s="30"/>
      <c r="BP1324" s="30"/>
      <c r="BQ1324" s="30"/>
      <c r="BR1324" s="30"/>
      <c r="BS1324" s="30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30"/>
      <c r="CE1324" s="30"/>
      <c r="CF1324" s="30"/>
      <c r="CG1324" s="30"/>
      <c r="CH1324" s="30"/>
      <c r="CI1324" s="30"/>
      <c r="CJ1324" s="30"/>
      <c r="CK1324" s="30"/>
      <c r="CL1324" s="30"/>
      <c r="CM1324" s="30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</row>
    <row r="1325" spans="2:101" ht="15" hidden="1" customHeight="1" x14ac:dyDescent="0.25"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30"/>
      <c r="W1325" s="30"/>
      <c r="X1325" s="30"/>
      <c r="Y1325" s="30"/>
      <c r="Z1325" s="30"/>
      <c r="AA1325" s="30"/>
      <c r="AB1325" s="30"/>
      <c r="AC1325" s="30"/>
      <c r="AD1325" s="30"/>
      <c r="AE1325" s="30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30"/>
      <c r="AQ1325" s="30"/>
      <c r="AR1325" s="30"/>
      <c r="AS1325" s="30"/>
      <c r="AT1325" s="30"/>
      <c r="AU1325" s="30"/>
      <c r="AV1325" s="30"/>
      <c r="AW1325" s="30"/>
      <c r="AX1325" s="30"/>
      <c r="AY1325" s="30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30"/>
      <c r="BK1325" s="30"/>
      <c r="BL1325" s="30"/>
      <c r="BM1325" s="30"/>
      <c r="BN1325" s="30"/>
      <c r="BO1325" s="30"/>
      <c r="BP1325" s="30"/>
      <c r="BQ1325" s="30"/>
      <c r="BR1325" s="30"/>
      <c r="BS1325" s="30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30"/>
      <c r="CE1325" s="30"/>
      <c r="CF1325" s="30"/>
      <c r="CG1325" s="30"/>
      <c r="CH1325" s="30"/>
      <c r="CI1325" s="30"/>
      <c r="CJ1325" s="30"/>
      <c r="CK1325" s="30"/>
      <c r="CL1325" s="30"/>
      <c r="CM1325" s="30"/>
      <c r="CN1325" s="1"/>
      <c r="CO1325" s="1"/>
      <c r="CP1325" s="1"/>
      <c r="CQ1325" s="1"/>
      <c r="CR1325" s="1"/>
      <c r="CS1325" s="1"/>
      <c r="CT1325" s="1"/>
      <c r="CU1325" s="1"/>
      <c r="CV1325" s="1"/>
      <c r="CW1325" s="1"/>
    </row>
    <row r="1326" spans="2:101" ht="15" hidden="1" customHeight="1" x14ac:dyDescent="0.25"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30"/>
      <c r="W1326" s="30"/>
      <c r="X1326" s="30"/>
      <c r="Y1326" s="30"/>
      <c r="Z1326" s="30"/>
      <c r="AA1326" s="30"/>
      <c r="AB1326" s="30"/>
      <c r="AC1326" s="30"/>
      <c r="AD1326" s="30"/>
      <c r="AE1326" s="30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30"/>
      <c r="AQ1326" s="30"/>
      <c r="AR1326" s="30"/>
      <c r="AS1326" s="30"/>
      <c r="AT1326" s="30"/>
      <c r="AU1326" s="30"/>
      <c r="AV1326" s="30"/>
      <c r="AW1326" s="30"/>
      <c r="AX1326" s="30"/>
      <c r="AY1326" s="30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30"/>
      <c r="BK1326" s="30"/>
      <c r="BL1326" s="30"/>
      <c r="BM1326" s="30"/>
      <c r="BN1326" s="30"/>
      <c r="BO1326" s="30"/>
      <c r="BP1326" s="30"/>
      <c r="BQ1326" s="30"/>
      <c r="BR1326" s="30"/>
      <c r="BS1326" s="30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30"/>
      <c r="CE1326" s="30"/>
      <c r="CF1326" s="30"/>
      <c r="CG1326" s="30"/>
      <c r="CH1326" s="30"/>
      <c r="CI1326" s="30"/>
      <c r="CJ1326" s="30"/>
      <c r="CK1326" s="30"/>
      <c r="CL1326" s="30"/>
      <c r="CM1326" s="30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</row>
    <row r="1327" spans="2:101" ht="15" hidden="1" customHeight="1" x14ac:dyDescent="0.25"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30"/>
      <c r="W1327" s="30"/>
      <c r="X1327" s="30"/>
      <c r="Y1327" s="30"/>
      <c r="Z1327" s="30"/>
      <c r="AA1327" s="30"/>
      <c r="AB1327" s="30"/>
      <c r="AC1327" s="30"/>
      <c r="AD1327" s="30"/>
      <c r="AE1327" s="30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30"/>
      <c r="AQ1327" s="30"/>
      <c r="AR1327" s="30"/>
      <c r="AS1327" s="30"/>
      <c r="AT1327" s="30"/>
      <c r="AU1327" s="30"/>
      <c r="AV1327" s="30"/>
      <c r="AW1327" s="30"/>
      <c r="AX1327" s="30"/>
      <c r="AY1327" s="30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30"/>
      <c r="BK1327" s="30"/>
      <c r="BL1327" s="30"/>
      <c r="BM1327" s="30"/>
      <c r="BN1327" s="30"/>
      <c r="BO1327" s="30"/>
      <c r="BP1327" s="30"/>
      <c r="BQ1327" s="30"/>
      <c r="BR1327" s="30"/>
      <c r="BS1327" s="30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30"/>
      <c r="CE1327" s="30"/>
      <c r="CF1327" s="30"/>
      <c r="CG1327" s="30"/>
      <c r="CH1327" s="30"/>
      <c r="CI1327" s="30"/>
      <c r="CJ1327" s="30"/>
      <c r="CK1327" s="30"/>
      <c r="CL1327" s="30"/>
      <c r="CM1327" s="30"/>
      <c r="CN1327" s="1"/>
      <c r="CO1327" s="1"/>
      <c r="CP1327" s="1"/>
      <c r="CQ1327" s="1"/>
      <c r="CR1327" s="1"/>
      <c r="CS1327" s="1"/>
      <c r="CT1327" s="1"/>
      <c r="CU1327" s="1"/>
      <c r="CV1327" s="1"/>
      <c r="CW1327" s="1"/>
    </row>
    <row r="1328" spans="2:101" ht="15" hidden="1" customHeight="1" x14ac:dyDescent="0.25"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30"/>
      <c r="W1328" s="30"/>
      <c r="X1328" s="30"/>
      <c r="Y1328" s="30"/>
      <c r="Z1328" s="30"/>
      <c r="AA1328" s="30"/>
      <c r="AB1328" s="30"/>
      <c r="AC1328" s="30"/>
      <c r="AD1328" s="30"/>
      <c r="AE1328" s="30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30"/>
      <c r="AQ1328" s="30"/>
      <c r="AR1328" s="30"/>
      <c r="AS1328" s="30"/>
      <c r="AT1328" s="30"/>
      <c r="AU1328" s="30"/>
      <c r="AV1328" s="30"/>
      <c r="AW1328" s="30"/>
      <c r="AX1328" s="30"/>
      <c r="AY1328" s="30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30"/>
      <c r="BK1328" s="30"/>
      <c r="BL1328" s="30"/>
      <c r="BM1328" s="30"/>
      <c r="BN1328" s="30"/>
      <c r="BO1328" s="30"/>
      <c r="BP1328" s="30"/>
      <c r="BQ1328" s="30"/>
      <c r="BR1328" s="30"/>
      <c r="BS1328" s="30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30"/>
      <c r="CE1328" s="30"/>
      <c r="CF1328" s="30"/>
      <c r="CG1328" s="30"/>
      <c r="CH1328" s="30"/>
      <c r="CI1328" s="30"/>
      <c r="CJ1328" s="30"/>
      <c r="CK1328" s="30"/>
      <c r="CL1328" s="30"/>
      <c r="CM1328" s="30"/>
      <c r="CN1328" s="1"/>
      <c r="CO1328" s="1"/>
      <c r="CP1328" s="1"/>
      <c r="CQ1328" s="1"/>
      <c r="CR1328" s="1"/>
      <c r="CS1328" s="1"/>
      <c r="CT1328" s="1"/>
      <c r="CU1328" s="1"/>
      <c r="CV1328" s="1"/>
      <c r="CW1328" s="1"/>
    </row>
    <row r="1329" spans="2:101" ht="15" hidden="1" customHeight="1" x14ac:dyDescent="0.25"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30"/>
      <c r="W1329" s="30"/>
      <c r="X1329" s="30"/>
      <c r="Y1329" s="30"/>
      <c r="Z1329" s="30"/>
      <c r="AA1329" s="30"/>
      <c r="AB1329" s="30"/>
      <c r="AC1329" s="30"/>
      <c r="AD1329" s="30"/>
      <c r="AE1329" s="30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30"/>
      <c r="AQ1329" s="30"/>
      <c r="AR1329" s="30"/>
      <c r="AS1329" s="30"/>
      <c r="AT1329" s="30"/>
      <c r="AU1329" s="30"/>
      <c r="AV1329" s="30"/>
      <c r="AW1329" s="30"/>
      <c r="AX1329" s="30"/>
      <c r="AY1329" s="30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30"/>
      <c r="BK1329" s="30"/>
      <c r="BL1329" s="30"/>
      <c r="BM1329" s="30"/>
      <c r="BN1329" s="30"/>
      <c r="BO1329" s="30"/>
      <c r="BP1329" s="30"/>
      <c r="BQ1329" s="30"/>
      <c r="BR1329" s="30"/>
      <c r="BS1329" s="30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30"/>
      <c r="CE1329" s="30"/>
      <c r="CF1329" s="30"/>
      <c r="CG1329" s="30"/>
      <c r="CH1329" s="30"/>
      <c r="CI1329" s="30"/>
      <c r="CJ1329" s="30"/>
      <c r="CK1329" s="30"/>
      <c r="CL1329" s="30"/>
      <c r="CM1329" s="30"/>
      <c r="CN1329" s="1"/>
      <c r="CO1329" s="1"/>
      <c r="CP1329" s="1"/>
      <c r="CQ1329" s="1"/>
      <c r="CR1329" s="1"/>
      <c r="CS1329" s="1"/>
      <c r="CT1329" s="1"/>
      <c r="CU1329" s="1"/>
      <c r="CV1329" s="1"/>
      <c r="CW1329" s="1"/>
    </row>
    <row r="1330" spans="2:101" ht="15" hidden="1" customHeight="1" x14ac:dyDescent="0.25"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30"/>
      <c r="BK1330" s="30"/>
      <c r="BL1330" s="30"/>
      <c r="BM1330" s="30"/>
      <c r="BN1330" s="30"/>
      <c r="BO1330" s="30"/>
      <c r="BP1330" s="30"/>
      <c r="BQ1330" s="30"/>
      <c r="BR1330" s="30"/>
      <c r="BS1330" s="30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30"/>
      <c r="CE1330" s="30"/>
      <c r="CF1330" s="30"/>
      <c r="CG1330" s="30"/>
      <c r="CH1330" s="30"/>
      <c r="CI1330" s="30"/>
      <c r="CJ1330" s="30"/>
      <c r="CK1330" s="30"/>
      <c r="CL1330" s="30"/>
      <c r="CM1330" s="30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</row>
    <row r="1331" spans="2:101" ht="15" hidden="1" customHeight="1" x14ac:dyDescent="0.25"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30"/>
      <c r="AQ1331" s="30"/>
      <c r="AR1331" s="30"/>
      <c r="AS1331" s="30"/>
      <c r="AT1331" s="30"/>
      <c r="AU1331" s="30"/>
      <c r="AV1331" s="30"/>
      <c r="AW1331" s="30"/>
      <c r="AX1331" s="30"/>
      <c r="AY1331" s="30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30"/>
      <c r="BK1331" s="30"/>
      <c r="BL1331" s="30"/>
      <c r="BM1331" s="30"/>
      <c r="BN1331" s="30"/>
      <c r="BO1331" s="30"/>
      <c r="BP1331" s="30"/>
      <c r="BQ1331" s="30"/>
      <c r="BR1331" s="30"/>
      <c r="BS1331" s="30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30"/>
      <c r="CE1331" s="30"/>
      <c r="CF1331" s="30"/>
      <c r="CG1331" s="30"/>
      <c r="CH1331" s="30"/>
      <c r="CI1331" s="30"/>
      <c r="CJ1331" s="30"/>
      <c r="CK1331" s="30"/>
      <c r="CL1331" s="30"/>
      <c r="CM1331" s="30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</row>
    <row r="1332" spans="2:101" ht="15" hidden="1" customHeight="1" x14ac:dyDescent="0.25"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30"/>
      <c r="AQ1332" s="30"/>
      <c r="AR1332" s="30"/>
      <c r="AS1332" s="30"/>
      <c r="AT1332" s="30"/>
      <c r="AU1332" s="30"/>
      <c r="AV1332" s="30"/>
      <c r="AW1332" s="30"/>
      <c r="AX1332" s="30"/>
      <c r="AY1332" s="30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30"/>
      <c r="BK1332" s="30"/>
      <c r="BL1332" s="30"/>
      <c r="BM1332" s="30"/>
      <c r="BN1332" s="30"/>
      <c r="BO1332" s="30"/>
      <c r="BP1332" s="30"/>
      <c r="BQ1332" s="30"/>
      <c r="BR1332" s="30"/>
      <c r="BS1332" s="30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30"/>
      <c r="CE1332" s="30"/>
      <c r="CF1332" s="30"/>
      <c r="CG1332" s="30"/>
      <c r="CH1332" s="30"/>
      <c r="CI1332" s="30"/>
      <c r="CJ1332" s="30"/>
      <c r="CK1332" s="30"/>
      <c r="CL1332" s="30"/>
      <c r="CM1332" s="30"/>
      <c r="CN1332" s="1"/>
      <c r="CO1332" s="1"/>
      <c r="CP1332" s="1"/>
      <c r="CQ1332" s="1"/>
      <c r="CR1332" s="1"/>
      <c r="CS1332" s="1"/>
      <c r="CT1332" s="1"/>
      <c r="CU1332" s="1"/>
      <c r="CV1332" s="1"/>
      <c r="CW1332" s="1"/>
    </row>
    <row r="1333" spans="2:101" ht="15" hidden="1" customHeight="1" x14ac:dyDescent="0.25"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30"/>
      <c r="W1333" s="30"/>
      <c r="X1333" s="30"/>
      <c r="Y1333" s="30"/>
      <c r="Z1333" s="30"/>
      <c r="AA1333" s="30"/>
      <c r="AB1333" s="30"/>
      <c r="AC1333" s="30"/>
      <c r="AD1333" s="30"/>
      <c r="AE1333" s="30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30"/>
      <c r="AQ1333" s="30"/>
      <c r="AR1333" s="30"/>
      <c r="AS1333" s="30"/>
      <c r="AT1333" s="30"/>
      <c r="AU1333" s="30"/>
      <c r="AV1333" s="30"/>
      <c r="AW1333" s="30"/>
      <c r="AX1333" s="30"/>
      <c r="AY1333" s="30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30"/>
      <c r="BK1333" s="30"/>
      <c r="BL1333" s="30"/>
      <c r="BM1333" s="30"/>
      <c r="BN1333" s="30"/>
      <c r="BO1333" s="30"/>
      <c r="BP1333" s="30"/>
      <c r="BQ1333" s="30"/>
      <c r="BR1333" s="30"/>
      <c r="BS1333" s="30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30"/>
      <c r="CE1333" s="30"/>
      <c r="CF1333" s="30"/>
      <c r="CG1333" s="30"/>
      <c r="CH1333" s="30"/>
      <c r="CI1333" s="30"/>
      <c r="CJ1333" s="30"/>
      <c r="CK1333" s="30"/>
      <c r="CL1333" s="30"/>
      <c r="CM1333" s="30"/>
      <c r="CN1333" s="1"/>
      <c r="CO1333" s="1"/>
      <c r="CP1333" s="1"/>
      <c r="CQ1333" s="1"/>
      <c r="CR1333" s="1"/>
      <c r="CS1333" s="1"/>
      <c r="CT1333" s="1"/>
      <c r="CU1333" s="1"/>
      <c r="CV1333" s="1"/>
      <c r="CW1333" s="1"/>
    </row>
    <row r="1334" spans="2:101" ht="15" hidden="1" customHeight="1" x14ac:dyDescent="0.25"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30"/>
      <c r="W1334" s="30"/>
      <c r="X1334" s="30"/>
      <c r="Y1334" s="30"/>
      <c r="Z1334" s="30"/>
      <c r="AA1334" s="30"/>
      <c r="AB1334" s="30"/>
      <c r="AC1334" s="30"/>
      <c r="AD1334" s="30"/>
      <c r="AE1334" s="30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30"/>
      <c r="AQ1334" s="30"/>
      <c r="AR1334" s="30"/>
      <c r="AS1334" s="30"/>
      <c r="AT1334" s="30"/>
      <c r="AU1334" s="30"/>
      <c r="AV1334" s="30"/>
      <c r="AW1334" s="30"/>
      <c r="AX1334" s="30"/>
      <c r="AY1334" s="30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30"/>
      <c r="BK1334" s="30"/>
      <c r="BL1334" s="30"/>
      <c r="BM1334" s="30"/>
      <c r="BN1334" s="30"/>
      <c r="BO1334" s="30"/>
      <c r="BP1334" s="30"/>
      <c r="BQ1334" s="30"/>
      <c r="BR1334" s="30"/>
      <c r="BS1334" s="30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30"/>
      <c r="CE1334" s="30"/>
      <c r="CF1334" s="30"/>
      <c r="CG1334" s="30"/>
      <c r="CH1334" s="30"/>
      <c r="CI1334" s="30"/>
      <c r="CJ1334" s="30"/>
      <c r="CK1334" s="30"/>
      <c r="CL1334" s="30"/>
      <c r="CM1334" s="30"/>
      <c r="CN1334" s="1"/>
      <c r="CO1334" s="1"/>
      <c r="CP1334" s="1"/>
      <c r="CQ1334" s="1"/>
      <c r="CR1334" s="1"/>
      <c r="CS1334" s="1"/>
      <c r="CT1334" s="1"/>
      <c r="CU1334" s="1"/>
      <c r="CV1334" s="1"/>
      <c r="CW1334" s="1"/>
    </row>
    <row r="1335" spans="2:101" ht="15" hidden="1" customHeight="1" x14ac:dyDescent="0.25"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30"/>
      <c r="W1335" s="30"/>
      <c r="X1335" s="30"/>
      <c r="Y1335" s="30"/>
      <c r="Z1335" s="30"/>
      <c r="AA1335" s="30"/>
      <c r="AB1335" s="30"/>
      <c r="AC1335" s="30"/>
      <c r="AD1335" s="30"/>
      <c r="AE1335" s="30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30"/>
      <c r="AQ1335" s="30"/>
      <c r="AR1335" s="30"/>
      <c r="AS1335" s="30"/>
      <c r="AT1335" s="30"/>
      <c r="AU1335" s="30"/>
      <c r="AV1335" s="30"/>
      <c r="AW1335" s="30"/>
      <c r="AX1335" s="30"/>
      <c r="AY1335" s="30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30"/>
      <c r="BK1335" s="30"/>
      <c r="BL1335" s="30"/>
      <c r="BM1335" s="30"/>
      <c r="BN1335" s="30"/>
      <c r="BO1335" s="30"/>
      <c r="BP1335" s="30"/>
      <c r="BQ1335" s="30"/>
      <c r="BR1335" s="30"/>
      <c r="BS1335" s="30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30"/>
      <c r="CE1335" s="30"/>
      <c r="CF1335" s="30"/>
      <c r="CG1335" s="30"/>
      <c r="CH1335" s="30"/>
      <c r="CI1335" s="30"/>
      <c r="CJ1335" s="30"/>
      <c r="CK1335" s="30"/>
      <c r="CL1335" s="30"/>
      <c r="CM1335" s="30"/>
      <c r="CN1335" s="1"/>
      <c r="CO1335" s="1"/>
      <c r="CP1335" s="1"/>
      <c r="CQ1335" s="1"/>
      <c r="CR1335" s="1"/>
      <c r="CS1335" s="1"/>
      <c r="CT1335" s="1"/>
      <c r="CU1335" s="1"/>
      <c r="CV1335" s="1"/>
      <c r="CW1335" s="1"/>
    </row>
    <row r="1336" spans="2:101" ht="15" hidden="1" customHeight="1" x14ac:dyDescent="0.25"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30"/>
      <c r="W1336" s="30"/>
      <c r="X1336" s="30"/>
      <c r="Y1336" s="30"/>
      <c r="Z1336" s="30"/>
      <c r="AA1336" s="30"/>
      <c r="AB1336" s="30"/>
      <c r="AC1336" s="30"/>
      <c r="AD1336" s="30"/>
      <c r="AE1336" s="30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30"/>
      <c r="AQ1336" s="30"/>
      <c r="AR1336" s="30"/>
      <c r="AS1336" s="30"/>
      <c r="AT1336" s="30"/>
      <c r="AU1336" s="30"/>
      <c r="AV1336" s="30"/>
      <c r="AW1336" s="30"/>
      <c r="AX1336" s="30"/>
      <c r="AY1336" s="30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30"/>
      <c r="BK1336" s="30"/>
      <c r="BL1336" s="30"/>
      <c r="BM1336" s="30"/>
      <c r="BN1336" s="30"/>
      <c r="BO1336" s="30"/>
      <c r="BP1336" s="30"/>
      <c r="BQ1336" s="30"/>
      <c r="BR1336" s="30"/>
      <c r="BS1336" s="30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30"/>
      <c r="CE1336" s="30"/>
      <c r="CF1336" s="30"/>
      <c r="CG1336" s="30"/>
      <c r="CH1336" s="30"/>
      <c r="CI1336" s="30"/>
      <c r="CJ1336" s="30"/>
      <c r="CK1336" s="30"/>
      <c r="CL1336" s="30"/>
      <c r="CM1336" s="30"/>
      <c r="CN1336" s="1"/>
      <c r="CO1336" s="1"/>
      <c r="CP1336" s="1"/>
      <c r="CQ1336" s="1"/>
      <c r="CR1336" s="1"/>
      <c r="CS1336" s="1"/>
      <c r="CT1336" s="1"/>
      <c r="CU1336" s="1"/>
      <c r="CV1336" s="1"/>
      <c r="CW1336" s="1"/>
    </row>
    <row r="1337" spans="2:101" ht="15" hidden="1" customHeight="1" x14ac:dyDescent="0.25"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30"/>
      <c r="W1337" s="30"/>
      <c r="X1337" s="30"/>
      <c r="Y1337" s="30"/>
      <c r="Z1337" s="30"/>
      <c r="AA1337" s="30"/>
      <c r="AB1337" s="30"/>
      <c r="AC1337" s="30"/>
      <c r="AD1337" s="30"/>
      <c r="AE1337" s="30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30"/>
      <c r="AQ1337" s="30"/>
      <c r="AR1337" s="30"/>
      <c r="AS1337" s="30"/>
      <c r="AT1337" s="30"/>
      <c r="AU1337" s="30"/>
      <c r="AV1337" s="30"/>
      <c r="AW1337" s="30"/>
      <c r="AX1337" s="30"/>
      <c r="AY1337" s="30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30"/>
      <c r="BK1337" s="30"/>
      <c r="BL1337" s="30"/>
      <c r="BM1337" s="30"/>
      <c r="BN1337" s="30"/>
      <c r="BO1337" s="30"/>
      <c r="BP1337" s="30"/>
      <c r="BQ1337" s="30"/>
      <c r="BR1337" s="30"/>
      <c r="BS1337" s="30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30"/>
      <c r="CE1337" s="30"/>
      <c r="CF1337" s="30"/>
      <c r="CG1337" s="30"/>
      <c r="CH1337" s="30"/>
      <c r="CI1337" s="30"/>
      <c r="CJ1337" s="30"/>
      <c r="CK1337" s="30"/>
      <c r="CL1337" s="30"/>
      <c r="CM1337" s="30"/>
      <c r="CN1337" s="1"/>
      <c r="CO1337" s="1"/>
      <c r="CP1337" s="1"/>
      <c r="CQ1337" s="1"/>
      <c r="CR1337" s="1"/>
      <c r="CS1337" s="1"/>
      <c r="CT1337" s="1"/>
      <c r="CU1337" s="1"/>
      <c r="CV1337" s="1"/>
      <c r="CW1337" s="1"/>
    </row>
    <row r="1338" spans="2:101" ht="15" hidden="1" customHeight="1" x14ac:dyDescent="0.25"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30"/>
      <c r="W1338" s="30"/>
      <c r="X1338" s="30"/>
      <c r="Y1338" s="30"/>
      <c r="Z1338" s="30"/>
      <c r="AA1338" s="30"/>
      <c r="AB1338" s="30"/>
      <c r="AC1338" s="30"/>
      <c r="AD1338" s="30"/>
      <c r="AE1338" s="30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30"/>
      <c r="AQ1338" s="30"/>
      <c r="AR1338" s="30"/>
      <c r="AS1338" s="30"/>
      <c r="AT1338" s="30"/>
      <c r="AU1338" s="30"/>
      <c r="AV1338" s="30"/>
      <c r="AW1338" s="30"/>
      <c r="AX1338" s="30"/>
      <c r="AY1338" s="30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30"/>
      <c r="BK1338" s="30"/>
      <c r="BL1338" s="30"/>
      <c r="BM1338" s="30"/>
      <c r="BN1338" s="30"/>
      <c r="BO1338" s="30"/>
      <c r="BP1338" s="30"/>
      <c r="BQ1338" s="30"/>
      <c r="BR1338" s="30"/>
      <c r="BS1338" s="30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30"/>
      <c r="CE1338" s="30"/>
      <c r="CF1338" s="30"/>
      <c r="CG1338" s="30"/>
      <c r="CH1338" s="30"/>
      <c r="CI1338" s="30"/>
      <c r="CJ1338" s="30"/>
      <c r="CK1338" s="30"/>
      <c r="CL1338" s="30"/>
      <c r="CM1338" s="30"/>
      <c r="CN1338" s="1"/>
      <c r="CO1338" s="1"/>
      <c r="CP1338" s="1"/>
      <c r="CQ1338" s="1"/>
      <c r="CR1338" s="1"/>
      <c r="CS1338" s="1"/>
      <c r="CT1338" s="1"/>
      <c r="CU1338" s="1"/>
      <c r="CV1338" s="1"/>
      <c r="CW1338" s="1"/>
    </row>
    <row r="1339" spans="2:101" ht="15" hidden="1" customHeight="1" x14ac:dyDescent="0.25"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30"/>
      <c r="W1339" s="30"/>
      <c r="X1339" s="30"/>
      <c r="Y1339" s="30"/>
      <c r="Z1339" s="30"/>
      <c r="AA1339" s="30"/>
      <c r="AB1339" s="30"/>
      <c r="AC1339" s="30"/>
      <c r="AD1339" s="30"/>
      <c r="AE1339" s="30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30"/>
      <c r="AQ1339" s="30"/>
      <c r="AR1339" s="30"/>
      <c r="AS1339" s="30"/>
      <c r="AT1339" s="30"/>
      <c r="AU1339" s="30"/>
      <c r="AV1339" s="30"/>
      <c r="AW1339" s="30"/>
      <c r="AX1339" s="30"/>
      <c r="AY1339" s="30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30"/>
      <c r="BK1339" s="30"/>
      <c r="BL1339" s="30"/>
      <c r="BM1339" s="30"/>
      <c r="BN1339" s="30"/>
      <c r="BO1339" s="30"/>
      <c r="BP1339" s="30"/>
      <c r="BQ1339" s="30"/>
      <c r="BR1339" s="30"/>
      <c r="BS1339" s="30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30"/>
      <c r="CE1339" s="30"/>
      <c r="CF1339" s="30"/>
      <c r="CG1339" s="30"/>
      <c r="CH1339" s="30"/>
      <c r="CI1339" s="30"/>
      <c r="CJ1339" s="30"/>
      <c r="CK1339" s="30"/>
      <c r="CL1339" s="30"/>
      <c r="CM1339" s="30"/>
      <c r="CN1339" s="1"/>
      <c r="CO1339" s="1"/>
      <c r="CP1339" s="1"/>
      <c r="CQ1339" s="1"/>
      <c r="CR1339" s="1"/>
      <c r="CS1339" s="1"/>
      <c r="CT1339" s="1"/>
      <c r="CU1339" s="1"/>
      <c r="CV1339" s="1"/>
      <c r="CW1339" s="1"/>
    </row>
    <row r="1340" spans="2:101" ht="15" hidden="1" customHeight="1" x14ac:dyDescent="0.25"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30"/>
      <c r="W1340" s="30"/>
      <c r="X1340" s="30"/>
      <c r="Y1340" s="30"/>
      <c r="Z1340" s="30"/>
      <c r="AA1340" s="30"/>
      <c r="AB1340" s="30"/>
      <c r="AC1340" s="30"/>
      <c r="AD1340" s="30"/>
      <c r="AE1340" s="30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30"/>
      <c r="AQ1340" s="30"/>
      <c r="AR1340" s="30"/>
      <c r="AS1340" s="30"/>
      <c r="AT1340" s="30"/>
      <c r="AU1340" s="30"/>
      <c r="AV1340" s="30"/>
      <c r="AW1340" s="30"/>
      <c r="AX1340" s="30"/>
      <c r="AY1340" s="30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30"/>
      <c r="BK1340" s="30"/>
      <c r="BL1340" s="30"/>
      <c r="BM1340" s="30"/>
      <c r="BN1340" s="30"/>
      <c r="BO1340" s="30"/>
      <c r="BP1340" s="30"/>
      <c r="BQ1340" s="30"/>
      <c r="BR1340" s="30"/>
      <c r="BS1340" s="30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30"/>
      <c r="CE1340" s="30"/>
      <c r="CF1340" s="30"/>
      <c r="CG1340" s="30"/>
      <c r="CH1340" s="30"/>
      <c r="CI1340" s="30"/>
      <c r="CJ1340" s="30"/>
      <c r="CK1340" s="30"/>
      <c r="CL1340" s="30"/>
      <c r="CM1340" s="30"/>
      <c r="CN1340" s="1"/>
      <c r="CO1340" s="1"/>
      <c r="CP1340" s="1"/>
      <c r="CQ1340" s="1"/>
      <c r="CR1340" s="1"/>
      <c r="CS1340" s="1"/>
      <c r="CT1340" s="1"/>
      <c r="CU1340" s="1"/>
      <c r="CV1340" s="1"/>
      <c r="CW1340" s="1"/>
    </row>
    <row r="1341" spans="2:101" ht="15" hidden="1" customHeight="1" x14ac:dyDescent="0.25"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30"/>
      <c r="W1341" s="30"/>
      <c r="X1341" s="30"/>
      <c r="Y1341" s="30"/>
      <c r="Z1341" s="30"/>
      <c r="AA1341" s="30"/>
      <c r="AB1341" s="30"/>
      <c r="AC1341" s="30"/>
      <c r="AD1341" s="30"/>
      <c r="AE1341" s="30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30"/>
      <c r="AQ1341" s="30"/>
      <c r="AR1341" s="30"/>
      <c r="AS1341" s="30"/>
      <c r="AT1341" s="30"/>
      <c r="AU1341" s="30"/>
      <c r="AV1341" s="30"/>
      <c r="AW1341" s="30"/>
      <c r="AX1341" s="30"/>
      <c r="AY1341" s="30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30"/>
      <c r="BK1341" s="30"/>
      <c r="BL1341" s="30"/>
      <c r="BM1341" s="30"/>
      <c r="BN1341" s="30"/>
      <c r="BO1341" s="30"/>
      <c r="BP1341" s="30"/>
      <c r="BQ1341" s="30"/>
      <c r="BR1341" s="30"/>
      <c r="BS1341" s="30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30"/>
      <c r="CE1341" s="30"/>
      <c r="CF1341" s="30"/>
      <c r="CG1341" s="30"/>
      <c r="CH1341" s="30"/>
      <c r="CI1341" s="30"/>
      <c r="CJ1341" s="30"/>
      <c r="CK1341" s="30"/>
      <c r="CL1341" s="30"/>
      <c r="CM1341" s="30"/>
      <c r="CN1341" s="1"/>
      <c r="CO1341" s="1"/>
      <c r="CP1341" s="1"/>
      <c r="CQ1341" s="1"/>
      <c r="CR1341" s="1"/>
      <c r="CS1341" s="1"/>
      <c r="CT1341" s="1"/>
      <c r="CU1341" s="1"/>
      <c r="CV1341" s="1"/>
      <c r="CW1341" s="1"/>
    </row>
    <row r="1342" spans="2:101" ht="15" hidden="1" customHeight="1" x14ac:dyDescent="0.25"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30"/>
      <c r="W1342" s="30"/>
      <c r="X1342" s="30"/>
      <c r="Y1342" s="30"/>
      <c r="Z1342" s="30"/>
      <c r="AA1342" s="30"/>
      <c r="AB1342" s="30"/>
      <c r="AC1342" s="30"/>
      <c r="AD1342" s="30"/>
      <c r="AE1342" s="30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30"/>
      <c r="AQ1342" s="30"/>
      <c r="AR1342" s="30"/>
      <c r="AS1342" s="30"/>
      <c r="AT1342" s="30"/>
      <c r="AU1342" s="30"/>
      <c r="AV1342" s="30"/>
      <c r="AW1342" s="30"/>
      <c r="AX1342" s="30"/>
      <c r="AY1342" s="30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30"/>
      <c r="BK1342" s="30"/>
      <c r="BL1342" s="30"/>
      <c r="BM1342" s="30"/>
      <c r="BN1342" s="30"/>
      <c r="BO1342" s="30"/>
      <c r="BP1342" s="30"/>
      <c r="BQ1342" s="30"/>
      <c r="BR1342" s="30"/>
      <c r="BS1342" s="30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30"/>
      <c r="CE1342" s="30"/>
      <c r="CF1342" s="30"/>
      <c r="CG1342" s="30"/>
      <c r="CH1342" s="30"/>
      <c r="CI1342" s="30"/>
      <c r="CJ1342" s="30"/>
      <c r="CK1342" s="30"/>
      <c r="CL1342" s="30"/>
      <c r="CM1342" s="30"/>
      <c r="CN1342" s="1"/>
      <c r="CO1342" s="1"/>
      <c r="CP1342" s="1"/>
      <c r="CQ1342" s="1"/>
      <c r="CR1342" s="1"/>
      <c r="CS1342" s="1"/>
      <c r="CT1342" s="1"/>
      <c r="CU1342" s="1"/>
      <c r="CV1342" s="1"/>
      <c r="CW1342" s="1"/>
    </row>
    <row r="1343" spans="2:101" ht="15" hidden="1" customHeight="1" x14ac:dyDescent="0.25"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30"/>
      <c r="W1343" s="30"/>
      <c r="X1343" s="30"/>
      <c r="Y1343" s="30"/>
      <c r="Z1343" s="30"/>
      <c r="AA1343" s="30"/>
      <c r="AB1343" s="30"/>
      <c r="AC1343" s="30"/>
      <c r="AD1343" s="30"/>
      <c r="AE1343" s="30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30"/>
      <c r="AQ1343" s="30"/>
      <c r="AR1343" s="30"/>
      <c r="AS1343" s="30"/>
      <c r="AT1343" s="30"/>
      <c r="AU1343" s="30"/>
      <c r="AV1343" s="30"/>
      <c r="AW1343" s="30"/>
      <c r="AX1343" s="30"/>
      <c r="AY1343" s="30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30"/>
      <c r="BK1343" s="30"/>
      <c r="BL1343" s="30"/>
      <c r="BM1343" s="30"/>
      <c r="BN1343" s="30"/>
      <c r="BO1343" s="30"/>
      <c r="BP1343" s="30"/>
      <c r="BQ1343" s="30"/>
      <c r="BR1343" s="30"/>
      <c r="BS1343" s="30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30"/>
      <c r="CE1343" s="30"/>
      <c r="CF1343" s="30"/>
      <c r="CG1343" s="30"/>
      <c r="CH1343" s="30"/>
      <c r="CI1343" s="30"/>
      <c r="CJ1343" s="30"/>
      <c r="CK1343" s="30"/>
      <c r="CL1343" s="30"/>
      <c r="CM1343" s="30"/>
      <c r="CN1343" s="1"/>
      <c r="CO1343" s="1"/>
      <c r="CP1343" s="1"/>
      <c r="CQ1343" s="1"/>
      <c r="CR1343" s="1"/>
      <c r="CS1343" s="1"/>
      <c r="CT1343" s="1"/>
      <c r="CU1343" s="1"/>
      <c r="CV1343" s="1"/>
      <c r="CW1343" s="1"/>
    </row>
    <row r="1344" spans="2:101" ht="15" hidden="1" customHeight="1" x14ac:dyDescent="0.25"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30"/>
      <c r="W1344" s="30"/>
      <c r="X1344" s="30"/>
      <c r="Y1344" s="30"/>
      <c r="Z1344" s="30"/>
      <c r="AA1344" s="30"/>
      <c r="AB1344" s="30"/>
      <c r="AC1344" s="30"/>
      <c r="AD1344" s="30"/>
      <c r="AE1344" s="30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30"/>
      <c r="AQ1344" s="30"/>
      <c r="AR1344" s="30"/>
      <c r="AS1344" s="30"/>
      <c r="AT1344" s="30"/>
      <c r="AU1344" s="30"/>
      <c r="AV1344" s="30"/>
      <c r="AW1344" s="30"/>
      <c r="AX1344" s="30"/>
      <c r="AY1344" s="30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30"/>
      <c r="BK1344" s="30"/>
      <c r="BL1344" s="30"/>
      <c r="BM1344" s="30"/>
      <c r="BN1344" s="30"/>
      <c r="BO1344" s="30"/>
      <c r="BP1344" s="30"/>
      <c r="BQ1344" s="30"/>
      <c r="BR1344" s="30"/>
      <c r="BS1344" s="30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30"/>
      <c r="CE1344" s="30"/>
      <c r="CF1344" s="30"/>
      <c r="CG1344" s="30"/>
      <c r="CH1344" s="30"/>
      <c r="CI1344" s="30"/>
      <c r="CJ1344" s="30"/>
      <c r="CK1344" s="30"/>
      <c r="CL1344" s="30"/>
      <c r="CM1344" s="30"/>
      <c r="CN1344" s="1"/>
      <c r="CO1344" s="1"/>
      <c r="CP1344" s="1"/>
      <c r="CQ1344" s="1"/>
      <c r="CR1344" s="1"/>
      <c r="CS1344" s="1"/>
      <c r="CT1344" s="1"/>
      <c r="CU1344" s="1"/>
      <c r="CV1344" s="1"/>
      <c r="CW1344" s="1"/>
    </row>
    <row r="1345" spans="2:101" ht="15" hidden="1" customHeight="1" x14ac:dyDescent="0.25"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30"/>
      <c r="W1345" s="30"/>
      <c r="X1345" s="30"/>
      <c r="Y1345" s="30"/>
      <c r="Z1345" s="30"/>
      <c r="AA1345" s="30"/>
      <c r="AB1345" s="30"/>
      <c r="AC1345" s="30"/>
      <c r="AD1345" s="30"/>
      <c r="AE1345" s="30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30"/>
      <c r="AQ1345" s="30"/>
      <c r="AR1345" s="30"/>
      <c r="AS1345" s="30"/>
      <c r="AT1345" s="30"/>
      <c r="AU1345" s="30"/>
      <c r="AV1345" s="30"/>
      <c r="AW1345" s="30"/>
      <c r="AX1345" s="30"/>
      <c r="AY1345" s="30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30"/>
      <c r="BK1345" s="30"/>
      <c r="BL1345" s="30"/>
      <c r="BM1345" s="30"/>
      <c r="BN1345" s="30"/>
      <c r="BO1345" s="30"/>
      <c r="BP1345" s="30"/>
      <c r="BQ1345" s="30"/>
      <c r="BR1345" s="30"/>
      <c r="BS1345" s="30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30"/>
      <c r="CE1345" s="30"/>
      <c r="CF1345" s="30"/>
      <c r="CG1345" s="30"/>
      <c r="CH1345" s="30"/>
      <c r="CI1345" s="30"/>
      <c r="CJ1345" s="30"/>
      <c r="CK1345" s="30"/>
      <c r="CL1345" s="30"/>
      <c r="CM1345" s="30"/>
      <c r="CN1345" s="1"/>
      <c r="CO1345" s="1"/>
      <c r="CP1345" s="1"/>
      <c r="CQ1345" s="1"/>
      <c r="CR1345" s="1"/>
      <c r="CS1345" s="1"/>
      <c r="CT1345" s="1"/>
      <c r="CU1345" s="1"/>
      <c r="CV1345" s="1"/>
      <c r="CW1345" s="1"/>
    </row>
    <row r="1346" spans="2:101" ht="15" hidden="1" customHeight="1" x14ac:dyDescent="0.25"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30"/>
      <c r="W1346" s="30"/>
      <c r="X1346" s="30"/>
      <c r="Y1346" s="30"/>
      <c r="Z1346" s="30"/>
      <c r="AA1346" s="30"/>
      <c r="AB1346" s="30"/>
      <c r="AC1346" s="30"/>
      <c r="AD1346" s="30"/>
      <c r="AE1346" s="30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30"/>
      <c r="AQ1346" s="30"/>
      <c r="AR1346" s="30"/>
      <c r="AS1346" s="30"/>
      <c r="AT1346" s="30"/>
      <c r="AU1346" s="30"/>
      <c r="AV1346" s="30"/>
      <c r="AW1346" s="30"/>
      <c r="AX1346" s="30"/>
      <c r="AY1346" s="30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30"/>
      <c r="BK1346" s="30"/>
      <c r="BL1346" s="30"/>
      <c r="BM1346" s="30"/>
      <c r="BN1346" s="30"/>
      <c r="BO1346" s="30"/>
      <c r="BP1346" s="30"/>
      <c r="BQ1346" s="30"/>
      <c r="BR1346" s="30"/>
      <c r="BS1346" s="30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30"/>
      <c r="CE1346" s="30"/>
      <c r="CF1346" s="30"/>
      <c r="CG1346" s="30"/>
      <c r="CH1346" s="30"/>
      <c r="CI1346" s="30"/>
      <c r="CJ1346" s="30"/>
      <c r="CK1346" s="30"/>
      <c r="CL1346" s="30"/>
      <c r="CM1346" s="30"/>
      <c r="CN1346" s="1"/>
      <c r="CO1346" s="1"/>
      <c r="CP1346" s="1"/>
      <c r="CQ1346" s="1"/>
      <c r="CR1346" s="1"/>
      <c r="CS1346" s="1"/>
      <c r="CT1346" s="1"/>
      <c r="CU1346" s="1"/>
      <c r="CV1346" s="1"/>
      <c r="CW1346" s="1"/>
    </row>
    <row r="1347" spans="2:101" ht="15" hidden="1" customHeight="1" x14ac:dyDescent="0.25"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30"/>
      <c r="W1347" s="30"/>
      <c r="X1347" s="30"/>
      <c r="Y1347" s="30"/>
      <c r="Z1347" s="30"/>
      <c r="AA1347" s="30"/>
      <c r="AB1347" s="30"/>
      <c r="AC1347" s="30"/>
      <c r="AD1347" s="30"/>
      <c r="AE1347" s="30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30"/>
      <c r="AQ1347" s="30"/>
      <c r="AR1347" s="30"/>
      <c r="AS1347" s="30"/>
      <c r="AT1347" s="30"/>
      <c r="AU1347" s="30"/>
      <c r="AV1347" s="30"/>
      <c r="AW1347" s="30"/>
      <c r="AX1347" s="30"/>
      <c r="AY1347" s="30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30"/>
      <c r="BK1347" s="30"/>
      <c r="BL1347" s="30"/>
      <c r="BM1347" s="30"/>
      <c r="BN1347" s="30"/>
      <c r="BO1347" s="30"/>
      <c r="BP1347" s="30"/>
      <c r="BQ1347" s="30"/>
      <c r="BR1347" s="30"/>
      <c r="BS1347" s="30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30"/>
      <c r="CE1347" s="30"/>
      <c r="CF1347" s="30"/>
      <c r="CG1347" s="30"/>
      <c r="CH1347" s="30"/>
      <c r="CI1347" s="30"/>
      <c r="CJ1347" s="30"/>
      <c r="CK1347" s="30"/>
      <c r="CL1347" s="30"/>
      <c r="CM1347" s="30"/>
      <c r="CN1347" s="1"/>
      <c r="CO1347" s="1"/>
      <c r="CP1347" s="1"/>
      <c r="CQ1347" s="1"/>
      <c r="CR1347" s="1"/>
      <c r="CS1347" s="1"/>
      <c r="CT1347" s="1"/>
      <c r="CU1347" s="1"/>
      <c r="CV1347" s="1"/>
      <c r="CW1347" s="1"/>
    </row>
    <row r="1348" spans="2:101" ht="15" hidden="1" customHeight="1" x14ac:dyDescent="0.25"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30"/>
      <c r="W1348" s="30"/>
      <c r="X1348" s="30"/>
      <c r="Y1348" s="30"/>
      <c r="Z1348" s="30"/>
      <c r="AA1348" s="30"/>
      <c r="AB1348" s="30"/>
      <c r="AC1348" s="30"/>
      <c r="AD1348" s="30"/>
      <c r="AE1348" s="30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30"/>
      <c r="AQ1348" s="30"/>
      <c r="AR1348" s="30"/>
      <c r="AS1348" s="30"/>
      <c r="AT1348" s="30"/>
      <c r="AU1348" s="30"/>
      <c r="AV1348" s="30"/>
      <c r="AW1348" s="30"/>
      <c r="AX1348" s="30"/>
      <c r="AY1348" s="30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30"/>
      <c r="BK1348" s="30"/>
      <c r="BL1348" s="30"/>
      <c r="BM1348" s="30"/>
      <c r="BN1348" s="30"/>
      <c r="BO1348" s="30"/>
      <c r="BP1348" s="30"/>
      <c r="BQ1348" s="30"/>
      <c r="BR1348" s="30"/>
      <c r="BS1348" s="30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30"/>
      <c r="CE1348" s="30"/>
      <c r="CF1348" s="30"/>
      <c r="CG1348" s="30"/>
      <c r="CH1348" s="30"/>
      <c r="CI1348" s="30"/>
      <c r="CJ1348" s="30"/>
      <c r="CK1348" s="30"/>
      <c r="CL1348" s="30"/>
      <c r="CM1348" s="30"/>
      <c r="CN1348" s="1"/>
      <c r="CO1348" s="1"/>
      <c r="CP1348" s="1"/>
      <c r="CQ1348" s="1"/>
      <c r="CR1348" s="1"/>
      <c r="CS1348" s="1"/>
      <c r="CT1348" s="1"/>
      <c r="CU1348" s="1"/>
      <c r="CV1348" s="1"/>
      <c r="CW1348" s="1"/>
    </row>
    <row r="1349" spans="2:101" ht="15" hidden="1" customHeight="1" x14ac:dyDescent="0.25"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30"/>
      <c r="W1349" s="30"/>
      <c r="X1349" s="30"/>
      <c r="Y1349" s="30"/>
      <c r="Z1349" s="30"/>
      <c r="AA1349" s="30"/>
      <c r="AB1349" s="30"/>
      <c r="AC1349" s="30"/>
      <c r="AD1349" s="30"/>
      <c r="AE1349" s="30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30"/>
      <c r="AQ1349" s="30"/>
      <c r="AR1349" s="30"/>
      <c r="AS1349" s="30"/>
      <c r="AT1349" s="30"/>
      <c r="AU1349" s="30"/>
      <c r="AV1349" s="30"/>
      <c r="AW1349" s="30"/>
      <c r="AX1349" s="30"/>
      <c r="AY1349" s="30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30"/>
      <c r="BK1349" s="30"/>
      <c r="BL1349" s="30"/>
      <c r="BM1349" s="30"/>
      <c r="BN1349" s="30"/>
      <c r="BO1349" s="30"/>
      <c r="BP1349" s="30"/>
      <c r="BQ1349" s="30"/>
      <c r="BR1349" s="30"/>
      <c r="BS1349" s="30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30"/>
      <c r="CE1349" s="30"/>
      <c r="CF1349" s="30"/>
      <c r="CG1349" s="30"/>
      <c r="CH1349" s="30"/>
      <c r="CI1349" s="30"/>
      <c r="CJ1349" s="30"/>
      <c r="CK1349" s="30"/>
      <c r="CL1349" s="30"/>
      <c r="CM1349" s="30"/>
      <c r="CN1349" s="1"/>
      <c r="CO1349" s="1"/>
      <c r="CP1349" s="1"/>
      <c r="CQ1349" s="1"/>
      <c r="CR1349" s="1"/>
      <c r="CS1349" s="1"/>
      <c r="CT1349" s="1"/>
      <c r="CU1349" s="1"/>
      <c r="CV1349" s="1"/>
      <c r="CW1349" s="1"/>
    </row>
    <row r="1350" spans="2:101" ht="15" hidden="1" customHeight="1" x14ac:dyDescent="0.25"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30"/>
      <c r="W1350" s="30"/>
      <c r="X1350" s="30"/>
      <c r="Y1350" s="30"/>
      <c r="Z1350" s="30"/>
      <c r="AA1350" s="30"/>
      <c r="AB1350" s="30"/>
      <c r="AC1350" s="30"/>
      <c r="AD1350" s="30"/>
      <c r="AE1350" s="30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30"/>
      <c r="AQ1350" s="30"/>
      <c r="AR1350" s="30"/>
      <c r="AS1350" s="30"/>
      <c r="AT1350" s="30"/>
      <c r="AU1350" s="30"/>
      <c r="AV1350" s="30"/>
      <c r="AW1350" s="30"/>
      <c r="AX1350" s="30"/>
      <c r="AY1350" s="30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30"/>
      <c r="BK1350" s="30"/>
      <c r="BL1350" s="30"/>
      <c r="BM1350" s="30"/>
      <c r="BN1350" s="30"/>
      <c r="BO1350" s="30"/>
      <c r="BP1350" s="30"/>
      <c r="BQ1350" s="30"/>
      <c r="BR1350" s="30"/>
      <c r="BS1350" s="30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30"/>
      <c r="CE1350" s="30"/>
      <c r="CF1350" s="30"/>
      <c r="CG1350" s="30"/>
      <c r="CH1350" s="30"/>
      <c r="CI1350" s="30"/>
      <c r="CJ1350" s="30"/>
      <c r="CK1350" s="30"/>
      <c r="CL1350" s="30"/>
      <c r="CM1350" s="30"/>
      <c r="CN1350" s="1"/>
      <c r="CO1350" s="1"/>
      <c r="CP1350" s="1"/>
      <c r="CQ1350" s="1"/>
      <c r="CR1350" s="1"/>
      <c r="CS1350" s="1"/>
      <c r="CT1350" s="1"/>
      <c r="CU1350" s="1"/>
      <c r="CV1350" s="1"/>
      <c r="CW1350" s="1"/>
    </row>
    <row r="1351" spans="2:101" ht="15" hidden="1" customHeight="1" x14ac:dyDescent="0.25"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30"/>
      <c r="W1351" s="30"/>
      <c r="X1351" s="30"/>
      <c r="Y1351" s="30"/>
      <c r="Z1351" s="30"/>
      <c r="AA1351" s="30"/>
      <c r="AB1351" s="30"/>
      <c r="AC1351" s="30"/>
      <c r="AD1351" s="30"/>
      <c r="AE1351" s="30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30"/>
      <c r="AQ1351" s="30"/>
      <c r="AR1351" s="30"/>
      <c r="AS1351" s="30"/>
      <c r="AT1351" s="30"/>
      <c r="AU1351" s="30"/>
      <c r="AV1351" s="30"/>
      <c r="AW1351" s="30"/>
      <c r="AX1351" s="30"/>
      <c r="AY1351" s="30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30"/>
      <c r="BK1351" s="30"/>
      <c r="BL1351" s="30"/>
      <c r="BM1351" s="30"/>
      <c r="BN1351" s="30"/>
      <c r="BO1351" s="30"/>
      <c r="BP1351" s="30"/>
      <c r="BQ1351" s="30"/>
      <c r="BR1351" s="30"/>
      <c r="BS1351" s="30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30"/>
      <c r="CE1351" s="30"/>
      <c r="CF1351" s="30"/>
      <c r="CG1351" s="30"/>
      <c r="CH1351" s="30"/>
      <c r="CI1351" s="30"/>
      <c r="CJ1351" s="30"/>
      <c r="CK1351" s="30"/>
      <c r="CL1351" s="30"/>
      <c r="CM1351" s="30"/>
      <c r="CN1351" s="1"/>
      <c r="CO1351" s="1"/>
      <c r="CP1351" s="1"/>
      <c r="CQ1351" s="1"/>
      <c r="CR1351" s="1"/>
      <c r="CS1351" s="1"/>
      <c r="CT1351" s="1"/>
      <c r="CU1351" s="1"/>
      <c r="CV1351" s="1"/>
      <c r="CW1351" s="1"/>
    </row>
    <row r="1352" spans="2:101" ht="15" hidden="1" customHeight="1" x14ac:dyDescent="0.25"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30"/>
      <c r="W1352" s="30"/>
      <c r="X1352" s="30"/>
      <c r="Y1352" s="30"/>
      <c r="Z1352" s="30"/>
      <c r="AA1352" s="30"/>
      <c r="AB1352" s="30"/>
      <c r="AC1352" s="30"/>
      <c r="AD1352" s="30"/>
      <c r="AE1352" s="30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30"/>
      <c r="AQ1352" s="30"/>
      <c r="AR1352" s="30"/>
      <c r="AS1352" s="30"/>
      <c r="AT1352" s="30"/>
      <c r="AU1352" s="30"/>
      <c r="AV1352" s="30"/>
      <c r="AW1352" s="30"/>
      <c r="AX1352" s="30"/>
      <c r="AY1352" s="30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30"/>
      <c r="BK1352" s="30"/>
      <c r="BL1352" s="30"/>
      <c r="BM1352" s="30"/>
      <c r="BN1352" s="30"/>
      <c r="BO1352" s="30"/>
      <c r="BP1352" s="30"/>
      <c r="BQ1352" s="30"/>
      <c r="BR1352" s="30"/>
      <c r="BS1352" s="30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30"/>
      <c r="CE1352" s="30"/>
      <c r="CF1352" s="30"/>
      <c r="CG1352" s="30"/>
      <c r="CH1352" s="30"/>
      <c r="CI1352" s="30"/>
      <c r="CJ1352" s="30"/>
      <c r="CK1352" s="30"/>
      <c r="CL1352" s="30"/>
      <c r="CM1352" s="30"/>
      <c r="CN1352" s="1"/>
      <c r="CO1352" s="1"/>
      <c r="CP1352" s="1"/>
      <c r="CQ1352" s="1"/>
      <c r="CR1352" s="1"/>
      <c r="CS1352" s="1"/>
      <c r="CT1352" s="1"/>
      <c r="CU1352" s="1"/>
      <c r="CV1352" s="1"/>
      <c r="CW1352" s="1"/>
    </row>
    <row r="1353" spans="2:101" ht="15" hidden="1" customHeight="1" x14ac:dyDescent="0.25"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30"/>
      <c r="W1353" s="30"/>
      <c r="X1353" s="30"/>
      <c r="Y1353" s="30"/>
      <c r="Z1353" s="30"/>
      <c r="AA1353" s="30"/>
      <c r="AB1353" s="30"/>
      <c r="AC1353" s="30"/>
      <c r="AD1353" s="30"/>
      <c r="AE1353" s="30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30"/>
      <c r="AQ1353" s="30"/>
      <c r="AR1353" s="30"/>
      <c r="AS1353" s="30"/>
      <c r="AT1353" s="30"/>
      <c r="AU1353" s="30"/>
      <c r="AV1353" s="30"/>
      <c r="AW1353" s="30"/>
      <c r="AX1353" s="30"/>
      <c r="AY1353" s="30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30"/>
      <c r="BK1353" s="30"/>
      <c r="BL1353" s="30"/>
      <c r="BM1353" s="30"/>
      <c r="BN1353" s="30"/>
      <c r="BO1353" s="30"/>
      <c r="BP1353" s="30"/>
      <c r="BQ1353" s="30"/>
      <c r="BR1353" s="30"/>
      <c r="BS1353" s="30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30"/>
      <c r="CE1353" s="30"/>
      <c r="CF1353" s="30"/>
      <c r="CG1353" s="30"/>
      <c r="CH1353" s="30"/>
      <c r="CI1353" s="30"/>
      <c r="CJ1353" s="30"/>
      <c r="CK1353" s="30"/>
      <c r="CL1353" s="30"/>
      <c r="CM1353" s="30"/>
      <c r="CN1353" s="1"/>
      <c r="CO1353" s="1"/>
      <c r="CP1353" s="1"/>
      <c r="CQ1353" s="1"/>
      <c r="CR1353" s="1"/>
      <c r="CS1353" s="1"/>
      <c r="CT1353" s="1"/>
      <c r="CU1353" s="1"/>
      <c r="CV1353" s="1"/>
      <c r="CW1353" s="1"/>
    </row>
    <row r="1354" spans="2:101" ht="15" hidden="1" customHeight="1" x14ac:dyDescent="0.25"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30"/>
      <c r="W1354" s="30"/>
      <c r="X1354" s="30"/>
      <c r="Y1354" s="30"/>
      <c r="Z1354" s="30"/>
      <c r="AA1354" s="30"/>
      <c r="AB1354" s="30"/>
      <c r="AC1354" s="30"/>
      <c r="AD1354" s="30"/>
      <c r="AE1354" s="30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30"/>
      <c r="AQ1354" s="30"/>
      <c r="AR1354" s="30"/>
      <c r="AS1354" s="30"/>
      <c r="AT1354" s="30"/>
      <c r="AU1354" s="30"/>
      <c r="AV1354" s="30"/>
      <c r="AW1354" s="30"/>
      <c r="AX1354" s="30"/>
      <c r="AY1354" s="30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30"/>
      <c r="BK1354" s="30"/>
      <c r="BL1354" s="30"/>
      <c r="BM1354" s="30"/>
      <c r="BN1354" s="30"/>
      <c r="BO1354" s="30"/>
      <c r="BP1354" s="30"/>
      <c r="BQ1354" s="30"/>
      <c r="BR1354" s="30"/>
      <c r="BS1354" s="30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30"/>
      <c r="CE1354" s="30"/>
      <c r="CF1354" s="30"/>
      <c r="CG1354" s="30"/>
      <c r="CH1354" s="30"/>
      <c r="CI1354" s="30"/>
      <c r="CJ1354" s="30"/>
      <c r="CK1354" s="30"/>
      <c r="CL1354" s="30"/>
      <c r="CM1354" s="30"/>
      <c r="CN1354" s="1"/>
      <c r="CO1354" s="1"/>
      <c r="CP1354" s="1"/>
      <c r="CQ1354" s="1"/>
      <c r="CR1354" s="1"/>
      <c r="CS1354" s="1"/>
      <c r="CT1354" s="1"/>
      <c r="CU1354" s="1"/>
      <c r="CV1354" s="1"/>
      <c r="CW1354" s="1"/>
    </row>
    <row r="1355" spans="2:101" ht="15" hidden="1" customHeight="1" x14ac:dyDescent="0.25"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30"/>
      <c r="W1355" s="30"/>
      <c r="X1355" s="30"/>
      <c r="Y1355" s="30"/>
      <c r="Z1355" s="30"/>
      <c r="AA1355" s="30"/>
      <c r="AB1355" s="30"/>
      <c r="AC1355" s="30"/>
      <c r="AD1355" s="30"/>
      <c r="AE1355" s="30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30"/>
      <c r="AQ1355" s="30"/>
      <c r="AR1355" s="30"/>
      <c r="AS1355" s="30"/>
      <c r="AT1355" s="30"/>
      <c r="AU1355" s="30"/>
      <c r="AV1355" s="30"/>
      <c r="AW1355" s="30"/>
      <c r="AX1355" s="30"/>
      <c r="AY1355" s="30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30"/>
      <c r="BK1355" s="30"/>
      <c r="BL1355" s="30"/>
      <c r="BM1355" s="30"/>
      <c r="BN1355" s="30"/>
      <c r="BO1355" s="30"/>
      <c r="BP1355" s="30"/>
      <c r="BQ1355" s="30"/>
      <c r="BR1355" s="30"/>
      <c r="BS1355" s="30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30"/>
      <c r="CE1355" s="30"/>
      <c r="CF1355" s="30"/>
      <c r="CG1355" s="30"/>
      <c r="CH1355" s="30"/>
      <c r="CI1355" s="30"/>
      <c r="CJ1355" s="30"/>
      <c r="CK1355" s="30"/>
      <c r="CL1355" s="30"/>
      <c r="CM1355" s="30"/>
      <c r="CN1355" s="1"/>
      <c r="CO1355" s="1"/>
      <c r="CP1355" s="1"/>
      <c r="CQ1355" s="1"/>
      <c r="CR1355" s="1"/>
      <c r="CS1355" s="1"/>
      <c r="CT1355" s="1"/>
      <c r="CU1355" s="1"/>
      <c r="CV1355" s="1"/>
      <c r="CW1355" s="1"/>
    </row>
    <row r="1356" spans="2:101" ht="15" hidden="1" customHeight="1" x14ac:dyDescent="0.25"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30"/>
      <c r="W1356" s="30"/>
      <c r="X1356" s="30"/>
      <c r="Y1356" s="30"/>
      <c r="Z1356" s="30"/>
      <c r="AA1356" s="30"/>
      <c r="AB1356" s="30"/>
      <c r="AC1356" s="30"/>
      <c r="AD1356" s="30"/>
      <c r="AE1356" s="30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30"/>
      <c r="AQ1356" s="30"/>
      <c r="AR1356" s="30"/>
      <c r="AS1356" s="30"/>
      <c r="AT1356" s="30"/>
      <c r="AU1356" s="30"/>
      <c r="AV1356" s="30"/>
      <c r="AW1356" s="30"/>
      <c r="AX1356" s="30"/>
      <c r="AY1356" s="30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30"/>
      <c r="BK1356" s="30"/>
      <c r="BL1356" s="30"/>
      <c r="BM1356" s="30"/>
      <c r="BN1356" s="30"/>
      <c r="BO1356" s="30"/>
      <c r="BP1356" s="30"/>
      <c r="BQ1356" s="30"/>
      <c r="BR1356" s="30"/>
      <c r="BS1356" s="30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30"/>
      <c r="CE1356" s="30"/>
      <c r="CF1356" s="30"/>
      <c r="CG1356" s="30"/>
      <c r="CH1356" s="30"/>
      <c r="CI1356" s="30"/>
      <c r="CJ1356" s="30"/>
      <c r="CK1356" s="30"/>
      <c r="CL1356" s="30"/>
      <c r="CM1356" s="30"/>
      <c r="CN1356" s="1"/>
      <c r="CO1356" s="1"/>
      <c r="CP1356" s="1"/>
      <c r="CQ1356" s="1"/>
      <c r="CR1356" s="1"/>
      <c r="CS1356" s="1"/>
      <c r="CT1356" s="1"/>
      <c r="CU1356" s="1"/>
      <c r="CV1356" s="1"/>
      <c r="CW1356" s="1"/>
    </row>
    <row r="1357" spans="2:101" ht="15" hidden="1" customHeight="1" x14ac:dyDescent="0.25"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30"/>
      <c r="W1357" s="30"/>
      <c r="X1357" s="30"/>
      <c r="Y1357" s="30"/>
      <c r="Z1357" s="30"/>
      <c r="AA1357" s="30"/>
      <c r="AB1357" s="30"/>
      <c r="AC1357" s="30"/>
      <c r="AD1357" s="30"/>
      <c r="AE1357" s="30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30"/>
      <c r="AQ1357" s="30"/>
      <c r="AR1357" s="30"/>
      <c r="AS1357" s="30"/>
      <c r="AT1357" s="30"/>
      <c r="AU1357" s="30"/>
      <c r="AV1357" s="30"/>
      <c r="AW1357" s="30"/>
      <c r="AX1357" s="30"/>
      <c r="AY1357" s="30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30"/>
      <c r="BK1357" s="30"/>
      <c r="BL1357" s="30"/>
      <c r="BM1357" s="30"/>
      <c r="BN1357" s="30"/>
      <c r="BO1357" s="30"/>
      <c r="BP1357" s="30"/>
      <c r="BQ1357" s="30"/>
      <c r="BR1357" s="30"/>
      <c r="BS1357" s="30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30"/>
      <c r="CE1357" s="30"/>
      <c r="CF1357" s="30"/>
      <c r="CG1357" s="30"/>
      <c r="CH1357" s="30"/>
      <c r="CI1357" s="30"/>
      <c r="CJ1357" s="30"/>
      <c r="CK1357" s="30"/>
      <c r="CL1357" s="30"/>
      <c r="CM1357" s="30"/>
      <c r="CN1357" s="1"/>
      <c r="CO1357" s="1"/>
      <c r="CP1357" s="1"/>
      <c r="CQ1357" s="1"/>
      <c r="CR1357" s="1"/>
      <c r="CS1357" s="1"/>
      <c r="CT1357" s="1"/>
      <c r="CU1357" s="1"/>
      <c r="CV1357" s="1"/>
      <c r="CW1357" s="1"/>
    </row>
    <row r="1358" spans="2:101" ht="15" hidden="1" customHeight="1" x14ac:dyDescent="0.25"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30"/>
      <c r="W1358" s="30"/>
      <c r="X1358" s="30"/>
      <c r="Y1358" s="30"/>
      <c r="Z1358" s="30"/>
      <c r="AA1358" s="30"/>
      <c r="AB1358" s="30"/>
      <c r="AC1358" s="30"/>
      <c r="AD1358" s="30"/>
      <c r="AE1358" s="30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30"/>
      <c r="AQ1358" s="30"/>
      <c r="AR1358" s="30"/>
      <c r="AS1358" s="30"/>
      <c r="AT1358" s="30"/>
      <c r="AU1358" s="30"/>
      <c r="AV1358" s="30"/>
      <c r="AW1358" s="30"/>
      <c r="AX1358" s="30"/>
      <c r="AY1358" s="30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30"/>
      <c r="BK1358" s="30"/>
      <c r="BL1358" s="30"/>
      <c r="BM1358" s="30"/>
      <c r="BN1358" s="30"/>
      <c r="BO1358" s="30"/>
      <c r="BP1358" s="30"/>
      <c r="BQ1358" s="30"/>
      <c r="BR1358" s="30"/>
      <c r="BS1358" s="30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30"/>
      <c r="CE1358" s="30"/>
      <c r="CF1358" s="30"/>
      <c r="CG1358" s="30"/>
      <c r="CH1358" s="30"/>
      <c r="CI1358" s="30"/>
      <c r="CJ1358" s="30"/>
      <c r="CK1358" s="30"/>
      <c r="CL1358" s="30"/>
      <c r="CM1358" s="30"/>
      <c r="CN1358" s="1"/>
      <c r="CO1358" s="1"/>
      <c r="CP1358" s="1"/>
      <c r="CQ1358" s="1"/>
      <c r="CR1358" s="1"/>
      <c r="CS1358" s="1"/>
      <c r="CT1358" s="1"/>
      <c r="CU1358" s="1"/>
      <c r="CV1358" s="1"/>
      <c r="CW1358" s="1"/>
    </row>
    <row r="1359" spans="2:101" ht="15" hidden="1" customHeight="1" x14ac:dyDescent="0.25"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30"/>
      <c r="W1359" s="30"/>
      <c r="X1359" s="30"/>
      <c r="Y1359" s="30"/>
      <c r="Z1359" s="30"/>
      <c r="AA1359" s="30"/>
      <c r="AB1359" s="30"/>
      <c r="AC1359" s="30"/>
      <c r="AD1359" s="30"/>
      <c r="AE1359" s="30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30"/>
      <c r="AQ1359" s="30"/>
      <c r="AR1359" s="30"/>
      <c r="AS1359" s="30"/>
      <c r="AT1359" s="30"/>
      <c r="AU1359" s="30"/>
      <c r="AV1359" s="30"/>
      <c r="AW1359" s="30"/>
      <c r="AX1359" s="30"/>
      <c r="AY1359" s="30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30"/>
      <c r="BK1359" s="30"/>
      <c r="BL1359" s="30"/>
      <c r="BM1359" s="30"/>
      <c r="BN1359" s="30"/>
      <c r="BO1359" s="30"/>
      <c r="BP1359" s="30"/>
      <c r="BQ1359" s="30"/>
      <c r="BR1359" s="30"/>
      <c r="BS1359" s="30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30"/>
      <c r="CE1359" s="30"/>
      <c r="CF1359" s="30"/>
      <c r="CG1359" s="30"/>
      <c r="CH1359" s="30"/>
      <c r="CI1359" s="30"/>
      <c r="CJ1359" s="30"/>
      <c r="CK1359" s="30"/>
      <c r="CL1359" s="30"/>
      <c r="CM1359" s="30"/>
      <c r="CN1359" s="1"/>
      <c r="CO1359" s="1"/>
      <c r="CP1359" s="1"/>
      <c r="CQ1359" s="1"/>
      <c r="CR1359" s="1"/>
      <c r="CS1359" s="1"/>
      <c r="CT1359" s="1"/>
      <c r="CU1359" s="1"/>
      <c r="CV1359" s="1"/>
      <c r="CW1359" s="1"/>
    </row>
    <row r="1360" spans="2:101" ht="15" hidden="1" customHeight="1" x14ac:dyDescent="0.25"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30"/>
      <c r="W1360" s="30"/>
      <c r="X1360" s="30"/>
      <c r="Y1360" s="30"/>
      <c r="Z1360" s="30"/>
      <c r="AA1360" s="30"/>
      <c r="AB1360" s="30"/>
      <c r="AC1360" s="30"/>
      <c r="AD1360" s="30"/>
      <c r="AE1360" s="30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30"/>
      <c r="AQ1360" s="30"/>
      <c r="AR1360" s="30"/>
      <c r="AS1360" s="30"/>
      <c r="AT1360" s="30"/>
      <c r="AU1360" s="30"/>
      <c r="AV1360" s="30"/>
      <c r="AW1360" s="30"/>
      <c r="AX1360" s="30"/>
      <c r="AY1360" s="30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30"/>
      <c r="BK1360" s="30"/>
      <c r="BL1360" s="30"/>
      <c r="BM1360" s="30"/>
      <c r="BN1360" s="30"/>
      <c r="BO1360" s="30"/>
      <c r="BP1360" s="30"/>
      <c r="BQ1360" s="30"/>
      <c r="BR1360" s="30"/>
      <c r="BS1360" s="30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30"/>
      <c r="CE1360" s="30"/>
      <c r="CF1360" s="30"/>
      <c r="CG1360" s="30"/>
      <c r="CH1360" s="30"/>
      <c r="CI1360" s="30"/>
      <c r="CJ1360" s="30"/>
      <c r="CK1360" s="30"/>
      <c r="CL1360" s="30"/>
      <c r="CM1360" s="30"/>
      <c r="CN1360" s="1"/>
      <c r="CO1360" s="1"/>
      <c r="CP1360" s="1"/>
      <c r="CQ1360" s="1"/>
      <c r="CR1360" s="1"/>
      <c r="CS1360" s="1"/>
      <c r="CT1360" s="1"/>
      <c r="CU1360" s="1"/>
      <c r="CV1360" s="1"/>
      <c r="CW1360" s="1"/>
    </row>
    <row r="1361" spans="2:101" ht="15" hidden="1" customHeight="1" x14ac:dyDescent="0.25"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30"/>
      <c r="W1361" s="30"/>
      <c r="X1361" s="30"/>
      <c r="Y1361" s="30"/>
      <c r="Z1361" s="30"/>
      <c r="AA1361" s="30"/>
      <c r="AB1361" s="30"/>
      <c r="AC1361" s="30"/>
      <c r="AD1361" s="30"/>
      <c r="AE1361" s="30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30"/>
      <c r="AQ1361" s="30"/>
      <c r="AR1361" s="30"/>
      <c r="AS1361" s="30"/>
      <c r="AT1361" s="30"/>
      <c r="AU1361" s="30"/>
      <c r="AV1361" s="30"/>
      <c r="AW1361" s="30"/>
      <c r="AX1361" s="30"/>
      <c r="AY1361" s="30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30"/>
      <c r="BK1361" s="30"/>
      <c r="BL1361" s="30"/>
      <c r="BM1361" s="30"/>
      <c r="BN1361" s="30"/>
      <c r="BO1361" s="30"/>
      <c r="BP1361" s="30"/>
      <c r="BQ1361" s="30"/>
      <c r="BR1361" s="30"/>
      <c r="BS1361" s="30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30"/>
      <c r="CE1361" s="30"/>
      <c r="CF1361" s="30"/>
      <c r="CG1361" s="30"/>
      <c r="CH1361" s="30"/>
      <c r="CI1361" s="30"/>
      <c r="CJ1361" s="30"/>
      <c r="CK1361" s="30"/>
      <c r="CL1361" s="30"/>
      <c r="CM1361" s="30"/>
      <c r="CN1361" s="1"/>
      <c r="CO1361" s="1"/>
      <c r="CP1361" s="1"/>
      <c r="CQ1361" s="1"/>
      <c r="CR1361" s="1"/>
      <c r="CS1361" s="1"/>
      <c r="CT1361" s="1"/>
      <c r="CU1361" s="1"/>
      <c r="CV1361" s="1"/>
      <c r="CW1361" s="1"/>
    </row>
    <row r="1362" spans="2:101" ht="15" hidden="1" customHeight="1" x14ac:dyDescent="0.25"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30"/>
      <c r="W1362" s="30"/>
      <c r="X1362" s="30"/>
      <c r="Y1362" s="30"/>
      <c r="Z1362" s="30"/>
      <c r="AA1362" s="30"/>
      <c r="AB1362" s="30"/>
      <c r="AC1362" s="30"/>
      <c r="AD1362" s="30"/>
      <c r="AE1362" s="30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30"/>
      <c r="AQ1362" s="30"/>
      <c r="AR1362" s="30"/>
      <c r="AS1362" s="30"/>
      <c r="AT1362" s="30"/>
      <c r="AU1362" s="30"/>
      <c r="AV1362" s="30"/>
      <c r="AW1362" s="30"/>
      <c r="AX1362" s="30"/>
      <c r="AY1362" s="30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30"/>
      <c r="BK1362" s="30"/>
      <c r="BL1362" s="30"/>
      <c r="BM1362" s="30"/>
      <c r="BN1362" s="30"/>
      <c r="BO1362" s="30"/>
      <c r="BP1362" s="30"/>
      <c r="BQ1362" s="30"/>
      <c r="BR1362" s="30"/>
      <c r="BS1362" s="30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30"/>
      <c r="CE1362" s="30"/>
      <c r="CF1362" s="30"/>
      <c r="CG1362" s="30"/>
      <c r="CH1362" s="30"/>
      <c r="CI1362" s="30"/>
      <c r="CJ1362" s="30"/>
      <c r="CK1362" s="30"/>
      <c r="CL1362" s="30"/>
      <c r="CM1362" s="30"/>
      <c r="CN1362" s="1"/>
      <c r="CO1362" s="1"/>
      <c r="CP1362" s="1"/>
      <c r="CQ1362" s="1"/>
      <c r="CR1362" s="1"/>
      <c r="CS1362" s="1"/>
      <c r="CT1362" s="1"/>
      <c r="CU1362" s="1"/>
      <c r="CV1362" s="1"/>
      <c r="CW1362" s="1"/>
    </row>
    <row r="1363" spans="2:101" ht="15" hidden="1" customHeight="1" x14ac:dyDescent="0.25"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30"/>
      <c r="W1363" s="30"/>
      <c r="X1363" s="30"/>
      <c r="Y1363" s="30"/>
      <c r="Z1363" s="30"/>
      <c r="AA1363" s="30"/>
      <c r="AB1363" s="30"/>
      <c r="AC1363" s="30"/>
      <c r="AD1363" s="30"/>
      <c r="AE1363" s="30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30"/>
      <c r="AQ1363" s="30"/>
      <c r="AR1363" s="30"/>
      <c r="AS1363" s="30"/>
      <c r="AT1363" s="30"/>
      <c r="AU1363" s="30"/>
      <c r="AV1363" s="30"/>
      <c r="AW1363" s="30"/>
      <c r="AX1363" s="30"/>
      <c r="AY1363" s="30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30"/>
      <c r="BK1363" s="30"/>
      <c r="BL1363" s="30"/>
      <c r="BM1363" s="30"/>
      <c r="BN1363" s="30"/>
      <c r="BO1363" s="30"/>
      <c r="BP1363" s="30"/>
      <c r="BQ1363" s="30"/>
      <c r="BR1363" s="30"/>
      <c r="BS1363" s="30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30"/>
      <c r="CE1363" s="30"/>
      <c r="CF1363" s="30"/>
      <c r="CG1363" s="30"/>
      <c r="CH1363" s="30"/>
      <c r="CI1363" s="30"/>
      <c r="CJ1363" s="30"/>
      <c r="CK1363" s="30"/>
      <c r="CL1363" s="30"/>
      <c r="CM1363" s="30"/>
      <c r="CN1363" s="1"/>
      <c r="CO1363" s="1"/>
      <c r="CP1363" s="1"/>
      <c r="CQ1363" s="1"/>
      <c r="CR1363" s="1"/>
      <c r="CS1363" s="1"/>
      <c r="CT1363" s="1"/>
      <c r="CU1363" s="1"/>
      <c r="CV1363" s="1"/>
      <c r="CW1363" s="1"/>
    </row>
    <row r="1364" spans="2:101" ht="15" hidden="1" customHeight="1" x14ac:dyDescent="0.25"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30"/>
      <c r="W1364" s="30"/>
      <c r="X1364" s="30"/>
      <c r="Y1364" s="30"/>
      <c r="Z1364" s="30"/>
      <c r="AA1364" s="30"/>
      <c r="AB1364" s="30"/>
      <c r="AC1364" s="30"/>
      <c r="AD1364" s="30"/>
      <c r="AE1364" s="30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30"/>
      <c r="AQ1364" s="30"/>
      <c r="AR1364" s="30"/>
      <c r="AS1364" s="30"/>
      <c r="AT1364" s="30"/>
      <c r="AU1364" s="30"/>
      <c r="AV1364" s="30"/>
      <c r="AW1364" s="30"/>
      <c r="AX1364" s="30"/>
      <c r="AY1364" s="30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30"/>
      <c r="BK1364" s="30"/>
      <c r="BL1364" s="30"/>
      <c r="BM1364" s="30"/>
      <c r="BN1364" s="30"/>
      <c r="BO1364" s="30"/>
      <c r="BP1364" s="30"/>
      <c r="BQ1364" s="30"/>
      <c r="BR1364" s="30"/>
      <c r="BS1364" s="30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30"/>
      <c r="CE1364" s="30"/>
      <c r="CF1364" s="30"/>
      <c r="CG1364" s="30"/>
      <c r="CH1364" s="30"/>
      <c r="CI1364" s="30"/>
      <c r="CJ1364" s="30"/>
      <c r="CK1364" s="30"/>
      <c r="CL1364" s="30"/>
      <c r="CM1364" s="30"/>
      <c r="CN1364" s="1"/>
      <c r="CO1364" s="1"/>
      <c r="CP1364" s="1"/>
      <c r="CQ1364" s="1"/>
      <c r="CR1364" s="1"/>
      <c r="CS1364" s="1"/>
      <c r="CT1364" s="1"/>
      <c r="CU1364" s="1"/>
      <c r="CV1364" s="1"/>
      <c r="CW1364" s="1"/>
    </row>
    <row r="1365" spans="2:101" ht="15" hidden="1" customHeight="1" x14ac:dyDescent="0.25"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30"/>
      <c r="W1365" s="30"/>
      <c r="X1365" s="30"/>
      <c r="Y1365" s="30"/>
      <c r="Z1365" s="30"/>
      <c r="AA1365" s="30"/>
      <c r="AB1365" s="30"/>
      <c r="AC1365" s="30"/>
      <c r="AD1365" s="30"/>
      <c r="AE1365" s="30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30"/>
      <c r="AQ1365" s="30"/>
      <c r="AR1365" s="30"/>
      <c r="AS1365" s="30"/>
      <c r="AT1365" s="30"/>
      <c r="AU1365" s="30"/>
      <c r="AV1365" s="30"/>
      <c r="AW1365" s="30"/>
      <c r="AX1365" s="30"/>
      <c r="AY1365" s="30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30"/>
      <c r="BK1365" s="30"/>
      <c r="BL1365" s="30"/>
      <c r="BM1365" s="30"/>
      <c r="BN1365" s="30"/>
      <c r="BO1365" s="30"/>
      <c r="BP1365" s="30"/>
      <c r="BQ1365" s="30"/>
      <c r="BR1365" s="30"/>
      <c r="BS1365" s="30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30"/>
      <c r="CE1365" s="30"/>
      <c r="CF1365" s="30"/>
      <c r="CG1365" s="30"/>
      <c r="CH1365" s="30"/>
      <c r="CI1365" s="30"/>
      <c r="CJ1365" s="30"/>
      <c r="CK1365" s="30"/>
      <c r="CL1365" s="30"/>
      <c r="CM1365" s="30"/>
      <c r="CN1365" s="1"/>
      <c r="CO1365" s="1"/>
      <c r="CP1365" s="1"/>
      <c r="CQ1365" s="1"/>
      <c r="CR1365" s="1"/>
      <c r="CS1365" s="1"/>
      <c r="CT1365" s="1"/>
      <c r="CU1365" s="1"/>
      <c r="CV1365" s="1"/>
      <c r="CW1365" s="1"/>
    </row>
    <row r="1366" spans="2:101" ht="15" hidden="1" customHeight="1" x14ac:dyDescent="0.25"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30"/>
      <c r="W1366" s="30"/>
      <c r="X1366" s="30"/>
      <c r="Y1366" s="30"/>
      <c r="Z1366" s="30"/>
      <c r="AA1366" s="30"/>
      <c r="AB1366" s="30"/>
      <c r="AC1366" s="30"/>
      <c r="AD1366" s="30"/>
      <c r="AE1366" s="30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30"/>
      <c r="AQ1366" s="30"/>
      <c r="AR1366" s="30"/>
      <c r="AS1366" s="30"/>
      <c r="AT1366" s="30"/>
      <c r="AU1366" s="30"/>
      <c r="AV1366" s="30"/>
      <c r="AW1366" s="30"/>
      <c r="AX1366" s="30"/>
      <c r="AY1366" s="30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30"/>
      <c r="BK1366" s="30"/>
      <c r="BL1366" s="30"/>
      <c r="BM1366" s="30"/>
      <c r="BN1366" s="30"/>
      <c r="BO1366" s="30"/>
      <c r="BP1366" s="30"/>
      <c r="BQ1366" s="30"/>
      <c r="BR1366" s="30"/>
      <c r="BS1366" s="30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30"/>
      <c r="CE1366" s="30"/>
      <c r="CF1366" s="30"/>
      <c r="CG1366" s="30"/>
      <c r="CH1366" s="30"/>
      <c r="CI1366" s="30"/>
      <c r="CJ1366" s="30"/>
      <c r="CK1366" s="30"/>
      <c r="CL1366" s="30"/>
      <c r="CM1366" s="30"/>
      <c r="CN1366" s="1"/>
      <c r="CO1366" s="1"/>
      <c r="CP1366" s="1"/>
      <c r="CQ1366" s="1"/>
      <c r="CR1366" s="1"/>
      <c r="CS1366" s="1"/>
      <c r="CT1366" s="1"/>
      <c r="CU1366" s="1"/>
      <c r="CV1366" s="1"/>
      <c r="CW1366" s="1"/>
    </row>
    <row r="1367" spans="2:101" ht="15" hidden="1" customHeight="1" x14ac:dyDescent="0.25"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30"/>
      <c r="W1367" s="30"/>
      <c r="X1367" s="30"/>
      <c r="Y1367" s="30"/>
      <c r="Z1367" s="30"/>
      <c r="AA1367" s="30"/>
      <c r="AB1367" s="30"/>
      <c r="AC1367" s="30"/>
      <c r="AD1367" s="30"/>
      <c r="AE1367" s="30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30"/>
      <c r="AQ1367" s="30"/>
      <c r="AR1367" s="30"/>
      <c r="AS1367" s="30"/>
      <c r="AT1367" s="30"/>
      <c r="AU1367" s="30"/>
      <c r="AV1367" s="30"/>
      <c r="AW1367" s="30"/>
      <c r="AX1367" s="30"/>
      <c r="AY1367" s="30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30"/>
      <c r="BK1367" s="30"/>
      <c r="BL1367" s="30"/>
      <c r="BM1367" s="30"/>
      <c r="BN1367" s="30"/>
      <c r="BO1367" s="30"/>
      <c r="BP1367" s="30"/>
      <c r="BQ1367" s="30"/>
      <c r="BR1367" s="30"/>
      <c r="BS1367" s="30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30"/>
      <c r="CE1367" s="30"/>
      <c r="CF1367" s="30"/>
      <c r="CG1367" s="30"/>
      <c r="CH1367" s="30"/>
      <c r="CI1367" s="30"/>
      <c r="CJ1367" s="30"/>
      <c r="CK1367" s="30"/>
      <c r="CL1367" s="30"/>
      <c r="CM1367" s="30"/>
      <c r="CN1367" s="1"/>
      <c r="CO1367" s="1"/>
      <c r="CP1367" s="1"/>
      <c r="CQ1367" s="1"/>
      <c r="CR1367" s="1"/>
      <c r="CS1367" s="1"/>
      <c r="CT1367" s="1"/>
      <c r="CU1367" s="1"/>
      <c r="CV1367" s="1"/>
      <c r="CW1367" s="1"/>
    </row>
    <row r="1368" spans="2:101" ht="15" hidden="1" customHeight="1" x14ac:dyDescent="0.25"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30"/>
      <c r="W1368" s="30"/>
      <c r="X1368" s="30"/>
      <c r="Y1368" s="30"/>
      <c r="Z1368" s="30"/>
      <c r="AA1368" s="30"/>
      <c r="AB1368" s="30"/>
      <c r="AC1368" s="30"/>
      <c r="AD1368" s="30"/>
      <c r="AE1368" s="30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30"/>
      <c r="AQ1368" s="30"/>
      <c r="AR1368" s="30"/>
      <c r="AS1368" s="30"/>
      <c r="AT1368" s="30"/>
      <c r="AU1368" s="30"/>
      <c r="AV1368" s="30"/>
      <c r="AW1368" s="30"/>
      <c r="AX1368" s="30"/>
      <c r="AY1368" s="30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30"/>
      <c r="BK1368" s="30"/>
      <c r="BL1368" s="30"/>
      <c r="BM1368" s="30"/>
      <c r="BN1368" s="30"/>
      <c r="BO1368" s="30"/>
      <c r="BP1368" s="30"/>
      <c r="BQ1368" s="30"/>
      <c r="BR1368" s="30"/>
      <c r="BS1368" s="30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30"/>
      <c r="CE1368" s="30"/>
      <c r="CF1368" s="30"/>
      <c r="CG1368" s="30"/>
      <c r="CH1368" s="30"/>
      <c r="CI1368" s="30"/>
      <c r="CJ1368" s="30"/>
      <c r="CK1368" s="30"/>
      <c r="CL1368" s="30"/>
      <c r="CM1368" s="30"/>
      <c r="CN1368" s="1"/>
      <c r="CO1368" s="1"/>
      <c r="CP1368" s="1"/>
      <c r="CQ1368" s="1"/>
      <c r="CR1368" s="1"/>
      <c r="CS1368" s="1"/>
      <c r="CT1368" s="1"/>
      <c r="CU1368" s="1"/>
      <c r="CV1368" s="1"/>
      <c r="CW1368" s="1"/>
    </row>
    <row r="1369" spans="2:101" ht="15" hidden="1" customHeight="1" x14ac:dyDescent="0.25"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30"/>
      <c r="W1369" s="30"/>
      <c r="X1369" s="30"/>
      <c r="Y1369" s="30"/>
      <c r="Z1369" s="30"/>
      <c r="AA1369" s="30"/>
      <c r="AB1369" s="30"/>
      <c r="AC1369" s="30"/>
      <c r="AD1369" s="30"/>
      <c r="AE1369" s="30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30"/>
      <c r="AQ1369" s="30"/>
      <c r="AR1369" s="30"/>
      <c r="AS1369" s="30"/>
      <c r="AT1369" s="30"/>
      <c r="AU1369" s="30"/>
      <c r="AV1369" s="30"/>
      <c r="AW1369" s="30"/>
      <c r="AX1369" s="30"/>
      <c r="AY1369" s="30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30"/>
      <c r="BK1369" s="30"/>
      <c r="BL1369" s="30"/>
      <c r="BM1369" s="30"/>
      <c r="BN1369" s="30"/>
      <c r="BO1369" s="30"/>
      <c r="BP1369" s="30"/>
      <c r="BQ1369" s="30"/>
      <c r="BR1369" s="30"/>
      <c r="BS1369" s="30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30"/>
      <c r="CE1369" s="30"/>
      <c r="CF1369" s="30"/>
      <c r="CG1369" s="30"/>
      <c r="CH1369" s="30"/>
      <c r="CI1369" s="30"/>
      <c r="CJ1369" s="30"/>
      <c r="CK1369" s="30"/>
      <c r="CL1369" s="30"/>
      <c r="CM1369" s="30"/>
      <c r="CN1369" s="1"/>
      <c r="CO1369" s="1"/>
      <c r="CP1369" s="1"/>
      <c r="CQ1369" s="1"/>
      <c r="CR1369" s="1"/>
      <c r="CS1369" s="1"/>
      <c r="CT1369" s="1"/>
      <c r="CU1369" s="1"/>
      <c r="CV1369" s="1"/>
      <c r="CW1369" s="1"/>
    </row>
    <row r="1370" spans="2:101" ht="15" hidden="1" customHeight="1" x14ac:dyDescent="0.25"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30"/>
      <c r="W1370" s="30"/>
      <c r="X1370" s="30"/>
      <c r="Y1370" s="30"/>
      <c r="Z1370" s="30"/>
      <c r="AA1370" s="30"/>
      <c r="AB1370" s="30"/>
      <c r="AC1370" s="30"/>
      <c r="AD1370" s="30"/>
      <c r="AE1370" s="30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30"/>
      <c r="AQ1370" s="30"/>
      <c r="AR1370" s="30"/>
      <c r="AS1370" s="30"/>
      <c r="AT1370" s="30"/>
      <c r="AU1370" s="30"/>
      <c r="AV1370" s="30"/>
      <c r="AW1370" s="30"/>
      <c r="AX1370" s="30"/>
      <c r="AY1370" s="30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30"/>
      <c r="BK1370" s="30"/>
      <c r="BL1370" s="30"/>
      <c r="BM1370" s="30"/>
      <c r="BN1370" s="30"/>
      <c r="BO1370" s="30"/>
      <c r="BP1370" s="30"/>
      <c r="BQ1370" s="30"/>
      <c r="BR1370" s="30"/>
      <c r="BS1370" s="30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30"/>
      <c r="CE1370" s="30"/>
      <c r="CF1370" s="30"/>
      <c r="CG1370" s="30"/>
      <c r="CH1370" s="30"/>
      <c r="CI1370" s="30"/>
      <c r="CJ1370" s="30"/>
      <c r="CK1370" s="30"/>
      <c r="CL1370" s="30"/>
      <c r="CM1370" s="30"/>
      <c r="CN1370" s="1"/>
      <c r="CO1370" s="1"/>
      <c r="CP1370" s="1"/>
      <c r="CQ1370" s="1"/>
      <c r="CR1370" s="1"/>
      <c r="CS1370" s="1"/>
      <c r="CT1370" s="1"/>
      <c r="CU1370" s="1"/>
      <c r="CV1370" s="1"/>
      <c r="CW1370" s="1"/>
    </row>
    <row r="1371" spans="2:101" ht="15" hidden="1" customHeight="1" x14ac:dyDescent="0.25"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30"/>
      <c r="W1371" s="30"/>
      <c r="X1371" s="30"/>
      <c r="Y1371" s="30"/>
      <c r="Z1371" s="30"/>
      <c r="AA1371" s="30"/>
      <c r="AB1371" s="30"/>
      <c r="AC1371" s="30"/>
      <c r="AD1371" s="30"/>
      <c r="AE1371" s="30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30"/>
      <c r="AQ1371" s="30"/>
      <c r="AR1371" s="30"/>
      <c r="AS1371" s="30"/>
      <c r="AT1371" s="30"/>
      <c r="AU1371" s="30"/>
      <c r="AV1371" s="30"/>
      <c r="AW1371" s="30"/>
      <c r="AX1371" s="30"/>
      <c r="AY1371" s="30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30"/>
      <c r="BK1371" s="30"/>
      <c r="BL1371" s="30"/>
      <c r="BM1371" s="30"/>
      <c r="BN1371" s="30"/>
      <c r="BO1371" s="30"/>
      <c r="BP1371" s="30"/>
      <c r="BQ1371" s="30"/>
      <c r="BR1371" s="30"/>
      <c r="BS1371" s="30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30"/>
      <c r="CE1371" s="30"/>
      <c r="CF1371" s="30"/>
      <c r="CG1371" s="30"/>
      <c r="CH1371" s="30"/>
      <c r="CI1371" s="30"/>
      <c r="CJ1371" s="30"/>
      <c r="CK1371" s="30"/>
      <c r="CL1371" s="30"/>
      <c r="CM1371" s="30"/>
      <c r="CN1371" s="1"/>
      <c r="CO1371" s="1"/>
      <c r="CP1371" s="1"/>
      <c r="CQ1371" s="1"/>
      <c r="CR1371" s="1"/>
      <c r="CS1371" s="1"/>
      <c r="CT1371" s="1"/>
      <c r="CU1371" s="1"/>
      <c r="CV1371" s="1"/>
      <c r="CW1371" s="1"/>
    </row>
    <row r="1372" spans="2:101" ht="15" hidden="1" customHeight="1" x14ac:dyDescent="0.25"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30"/>
      <c r="W1372" s="30"/>
      <c r="X1372" s="30"/>
      <c r="Y1372" s="30"/>
      <c r="Z1372" s="30"/>
      <c r="AA1372" s="30"/>
      <c r="AB1372" s="30"/>
      <c r="AC1372" s="30"/>
      <c r="AD1372" s="30"/>
      <c r="AE1372" s="30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30"/>
      <c r="AQ1372" s="30"/>
      <c r="AR1372" s="30"/>
      <c r="AS1372" s="30"/>
      <c r="AT1372" s="30"/>
      <c r="AU1372" s="30"/>
      <c r="AV1372" s="30"/>
      <c r="AW1372" s="30"/>
      <c r="AX1372" s="30"/>
      <c r="AY1372" s="30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30"/>
      <c r="BK1372" s="30"/>
      <c r="BL1372" s="30"/>
      <c r="BM1372" s="30"/>
      <c r="BN1372" s="30"/>
      <c r="BO1372" s="30"/>
      <c r="BP1372" s="30"/>
      <c r="BQ1372" s="30"/>
      <c r="BR1372" s="30"/>
      <c r="BS1372" s="30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30"/>
      <c r="CE1372" s="30"/>
      <c r="CF1372" s="30"/>
      <c r="CG1372" s="30"/>
      <c r="CH1372" s="30"/>
      <c r="CI1372" s="30"/>
      <c r="CJ1372" s="30"/>
      <c r="CK1372" s="30"/>
      <c r="CL1372" s="30"/>
      <c r="CM1372" s="30"/>
      <c r="CN1372" s="1"/>
      <c r="CO1372" s="1"/>
      <c r="CP1372" s="1"/>
      <c r="CQ1372" s="1"/>
      <c r="CR1372" s="1"/>
      <c r="CS1372" s="1"/>
      <c r="CT1372" s="1"/>
      <c r="CU1372" s="1"/>
      <c r="CV1372" s="1"/>
      <c r="CW1372" s="1"/>
    </row>
    <row r="1373" spans="2:101" ht="15" hidden="1" customHeight="1" x14ac:dyDescent="0.25"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30"/>
      <c r="W1373" s="30"/>
      <c r="X1373" s="30"/>
      <c r="Y1373" s="30"/>
      <c r="Z1373" s="30"/>
      <c r="AA1373" s="30"/>
      <c r="AB1373" s="30"/>
      <c r="AC1373" s="30"/>
      <c r="AD1373" s="30"/>
      <c r="AE1373" s="30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30"/>
      <c r="AQ1373" s="30"/>
      <c r="AR1373" s="30"/>
      <c r="AS1373" s="30"/>
      <c r="AT1373" s="30"/>
      <c r="AU1373" s="30"/>
      <c r="AV1373" s="30"/>
      <c r="AW1373" s="30"/>
      <c r="AX1373" s="30"/>
      <c r="AY1373" s="30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30"/>
      <c r="BK1373" s="30"/>
      <c r="BL1373" s="30"/>
      <c r="BM1373" s="30"/>
      <c r="BN1373" s="30"/>
      <c r="BO1373" s="30"/>
      <c r="BP1373" s="30"/>
      <c r="BQ1373" s="30"/>
      <c r="BR1373" s="30"/>
      <c r="BS1373" s="30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30"/>
      <c r="CE1373" s="30"/>
      <c r="CF1373" s="30"/>
      <c r="CG1373" s="30"/>
      <c r="CH1373" s="30"/>
      <c r="CI1373" s="30"/>
      <c r="CJ1373" s="30"/>
      <c r="CK1373" s="30"/>
      <c r="CL1373" s="30"/>
      <c r="CM1373" s="30"/>
      <c r="CN1373" s="1"/>
      <c r="CO1373" s="1"/>
      <c r="CP1373" s="1"/>
      <c r="CQ1373" s="1"/>
      <c r="CR1373" s="1"/>
      <c r="CS1373" s="1"/>
      <c r="CT1373" s="1"/>
      <c r="CU1373" s="1"/>
      <c r="CV1373" s="1"/>
      <c r="CW1373" s="1"/>
    </row>
    <row r="1374" spans="2:101" ht="15" hidden="1" customHeight="1" x14ac:dyDescent="0.25"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30"/>
      <c r="W1374" s="30"/>
      <c r="X1374" s="30"/>
      <c r="Y1374" s="30"/>
      <c r="Z1374" s="30"/>
      <c r="AA1374" s="30"/>
      <c r="AB1374" s="30"/>
      <c r="AC1374" s="30"/>
      <c r="AD1374" s="30"/>
      <c r="AE1374" s="30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30"/>
      <c r="AQ1374" s="30"/>
      <c r="AR1374" s="30"/>
      <c r="AS1374" s="30"/>
      <c r="AT1374" s="30"/>
      <c r="AU1374" s="30"/>
      <c r="AV1374" s="30"/>
      <c r="AW1374" s="30"/>
      <c r="AX1374" s="30"/>
      <c r="AY1374" s="30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30"/>
      <c r="BK1374" s="30"/>
      <c r="BL1374" s="30"/>
      <c r="BM1374" s="30"/>
      <c r="BN1374" s="30"/>
      <c r="BO1374" s="30"/>
      <c r="BP1374" s="30"/>
      <c r="BQ1374" s="30"/>
      <c r="BR1374" s="30"/>
      <c r="BS1374" s="30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30"/>
      <c r="CE1374" s="30"/>
      <c r="CF1374" s="30"/>
      <c r="CG1374" s="30"/>
      <c r="CH1374" s="30"/>
      <c r="CI1374" s="30"/>
      <c r="CJ1374" s="30"/>
      <c r="CK1374" s="30"/>
      <c r="CL1374" s="30"/>
      <c r="CM1374" s="30"/>
      <c r="CN1374" s="1"/>
      <c r="CO1374" s="1"/>
      <c r="CP1374" s="1"/>
      <c r="CQ1374" s="1"/>
      <c r="CR1374" s="1"/>
      <c r="CS1374" s="1"/>
      <c r="CT1374" s="1"/>
      <c r="CU1374" s="1"/>
      <c r="CV1374" s="1"/>
      <c r="CW1374" s="1"/>
    </row>
    <row r="1375" spans="2:101" ht="15" hidden="1" customHeight="1" x14ac:dyDescent="0.25"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30"/>
      <c r="W1375" s="30"/>
      <c r="X1375" s="30"/>
      <c r="Y1375" s="30"/>
      <c r="Z1375" s="30"/>
      <c r="AA1375" s="30"/>
      <c r="AB1375" s="30"/>
      <c r="AC1375" s="30"/>
      <c r="AD1375" s="30"/>
      <c r="AE1375" s="30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30"/>
      <c r="AQ1375" s="30"/>
      <c r="AR1375" s="30"/>
      <c r="AS1375" s="30"/>
      <c r="AT1375" s="30"/>
      <c r="AU1375" s="30"/>
      <c r="AV1375" s="30"/>
      <c r="AW1375" s="30"/>
      <c r="AX1375" s="30"/>
      <c r="AY1375" s="30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30"/>
      <c r="BK1375" s="30"/>
      <c r="BL1375" s="30"/>
      <c r="BM1375" s="30"/>
      <c r="BN1375" s="30"/>
      <c r="BO1375" s="30"/>
      <c r="BP1375" s="30"/>
      <c r="BQ1375" s="30"/>
      <c r="BR1375" s="30"/>
      <c r="BS1375" s="30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30"/>
      <c r="CE1375" s="30"/>
      <c r="CF1375" s="30"/>
      <c r="CG1375" s="30"/>
      <c r="CH1375" s="30"/>
      <c r="CI1375" s="30"/>
      <c r="CJ1375" s="30"/>
      <c r="CK1375" s="30"/>
      <c r="CL1375" s="30"/>
      <c r="CM1375" s="30"/>
      <c r="CN1375" s="1"/>
      <c r="CO1375" s="1"/>
      <c r="CP1375" s="1"/>
      <c r="CQ1375" s="1"/>
      <c r="CR1375" s="1"/>
      <c r="CS1375" s="1"/>
      <c r="CT1375" s="1"/>
      <c r="CU1375" s="1"/>
      <c r="CV1375" s="1"/>
      <c r="CW1375" s="1"/>
    </row>
    <row r="1376" spans="2:101" ht="15" hidden="1" customHeight="1" x14ac:dyDescent="0.25"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30"/>
      <c r="W1376" s="30"/>
      <c r="X1376" s="30"/>
      <c r="Y1376" s="30"/>
      <c r="Z1376" s="30"/>
      <c r="AA1376" s="30"/>
      <c r="AB1376" s="30"/>
      <c r="AC1376" s="30"/>
      <c r="AD1376" s="30"/>
      <c r="AE1376" s="30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30"/>
      <c r="AQ1376" s="30"/>
      <c r="AR1376" s="30"/>
      <c r="AS1376" s="30"/>
      <c r="AT1376" s="30"/>
      <c r="AU1376" s="30"/>
      <c r="AV1376" s="30"/>
      <c r="AW1376" s="30"/>
      <c r="AX1376" s="30"/>
      <c r="AY1376" s="30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30"/>
      <c r="BK1376" s="30"/>
      <c r="BL1376" s="30"/>
      <c r="BM1376" s="30"/>
      <c r="BN1376" s="30"/>
      <c r="BO1376" s="30"/>
      <c r="BP1376" s="30"/>
      <c r="BQ1376" s="30"/>
      <c r="BR1376" s="30"/>
      <c r="BS1376" s="30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30"/>
      <c r="CE1376" s="30"/>
      <c r="CF1376" s="30"/>
      <c r="CG1376" s="30"/>
      <c r="CH1376" s="30"/>
      <c r="CI1376" s="30"/>
      <c r="CJ1376" s="30"/>
      <c r="CK1376" s="30"/>
      <c r="CL1376" s="30"/>
      <c r="CM1376" s="30"/>
      <c r="CN1376" s="1"/>
      <c r="CO1376" s="1"/>
      <c r="CP1376" s="1"/>
      <c r="CQ1376" s="1"/>
      <c r="CR1376" s="1"/>
      <c r="CS1376" s="1"/>
      <c r="CT1376" s="1"/>
      <c r="CU1376" s="1"/>
      <c r="CV1376" s="1"/>
      <c r="CW1376" s="1"/>
    </row>
    <row r="1377" spans="2:101" ht="15" hidden="1" customHeight="1" x14ac:dyDescent="0.25"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30"/>
      <c r="W1377" s="30"/>
      <c r="X1377" s="30"/>
      <c r="Y1377" s="30"/>
      <c r="Z1377" s="30"/>
      <c r="AA1377" s="30"/>
      <c r="AB1377" s="30"/>
      <c r="AC1377" s="30"/>
      <c r="AD1377" s="30"/>
      <c r="AE1377" s="30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30"/>
      <c r="AQ1377" s="30"/>
      <c r="AR1377" s="30"/>
      <c r="AS1377" s="30"/>
      <c r="AT1377" s="30"/>
      <c r="AU1377" s="30"/>
      <c r="AV1377" s="30"/>
      <c r="AW1377" s="30"/>
      <c r="AX1377" s="30"/>
      <c r="AY1377" s="30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30"/>
      <c r="BK1377" s="30"/>
      <c r="BL1377" s="30"/>
      <c r="BM1377" s="30"/>
      <c r="BN1377" s="30"/>
      <c r="BO1377" s="30"/>
      <c r="BP1377" s="30"/>
      <c r="BQ1377" s="30"/>
      <c r="BR1377" s="30"/>
      <c r="BS1377" s="30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30"/>
      <c r="CE1377" s="30"/>
      <c r="CF1377" s="30"/>
      <c r="CG1377" s="30"/>
      <c r="CH1377" s="30"/>
      <c r="CI1377" s="30"/>
      <c r="CJ1377" s="30"/>
      <c r="CK1377" s="30"/>
      <c r="CL1377" s="30"/>
      <c r="CM1377" s="30"/>
      <c r="CN1377" s="1"/>
      <c r="CO1377" s="1"/>
      <c r="CP1377" s="1"/>
      <c r="CQ1377" s="1"/>
      <c r="CR1377" s="1"/>
      <c r="CS1377" s="1"/>
      <c r="CT1377" s="1"/>
      <c r="CU1377" s="1"/>
      <c r="CV1377" s="1"/>
      <c r="CW1377" s="1"/>
    </row>
    <row r="1378" spans="2:101" ht="15" hidden="1" customHeight="1" x14ac:dyDescent="0.25"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30"/>
      <c r="W1378" s="30"/>
      <c r="X1378" s="30"/>
      <c r="Y1378" s="30"/>
      <c r="Z1378" s="30"/>
      <c r="AA1378" s="30"/>
      <c r="AB1378" s="30"/>
      <c r="AC1378" s="30"/>
      <c r="AD1378" s="30"/>
      <c r="AE1378" s="30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30"/>
      <c r="AQ1378" s="30"/>
      <c r="AR1378" s="30"/>
      <c r="AS1378" s="30"/>
      <c r="AT1378" s="30"/>
      <c r="AU1378" s="30"/>
      <c r="AV1378" s="30"/>
      <c r="AW1378" s="30"/>
      <c r="AX1378" s="30"/>
      <c r="AY1378" s="30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30"/>
      <c r="BK1378" s="30"/>
      <c r="BL1378" s="30"/>
      <c r="BM1378" s="30"/>
      <c r="BN1378" s="30"/>
      <c r="BO1378" s="30"/>
      <c r="BP1378" s="30"/>
      <c r="BQ1378" s="30"/>
      <c r="BR1378" s="30"/>
      <c r="BS1378" s="30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30"/>
      <c r="CE1378" s="30"/>
      <c r="CF1378" s="30"/>
      <c r="CG1378" s="30"/>
      <c r="CH1378" s="30"/>
      <c r="CI1378" s="30"/>
      <c r="CJ1378" s="30"/>
      <c r="CK1378" s="30"/>
      <c r="CL1378" s="30"/>
      <c r="CM1378" s="30"/>
      <c r="CN1378" s="1"/>
      <c r="CO1378" s="1"/>
      <c r="CP1378" s="1"/>
      <c r="CQ1378" s="1"/>
      <c r="CR1378" s="1"/>
      <c r="CS1378" s="1"/>
      <c r="CT1378" s="1"/>
      <c r="CU1378" s="1"/>
      <c r="CV1378" s="1"/>
      <c r="CW1378" s="1"/>
    </row>
    <row r="1379" spans="2:101" ht="15" hidden="1" customHeight="1" x14ac:dyDescent="0.25"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30"/>
      <c r="W1379" s="30"/>
      <c r="X1379" s="30"/>
      <c r="Y1379" s="30"/>
      <c r="Z1379" s="30"/>
      <c r="AA1379" s="30"/>
      <c r="AB1379" s="30"/>
      <c r="AC1379" s="30"/>
      <c r="AD1379" s="30"/>
      <c r="AE1379" s="30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30"/>
      <c r="AQ1379" s="30"/>
      <c r="AR1379" s="30"/>
      <c r="AS1379" s="30"/>
      <c r="AT1379" s="30"/>
      <c r="AU1379" s="30"/>
      <c r="AV1379" s="30"/>
      <c r="AW1379" s="30"/>
      <c r="AX1379" s="30"/>
      <c r="AY1379" s="30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30"/>
      <c r="BK1379" s="30"/>
      <c r="BL1379" s="30"/>
      <c r="BM1379" s="30"/>
      <c r="BN1379" s="30"/>
      <c r="BO1379" s="30"/>
      <c r="BP1379" s="30"/>
      <c r="BQ1379" s="30"/>
      <c r="BR1379" s="30"/>
      <c r="BS1379" s="30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30"/>
      <c r="CE1379" s="30"/>
      <c r="CF1379" s="30"/>
      <c r="CG1379" s="30"/>
      <c r="CH1379" s="30"/>
      <c r="CI1379" s="30"/>
      <c r="CJ1379" s="30"/>
      <c r="CK1379" s="30"/>
      <c r="CL1379" s="30"/>
      <c r="CM1379" s="30"/>
      <c r="CN1379" s="1"/>
      <c r="CO1379" s="1"/>
      <c r="CP1379" s="1"/>
      <c r="CQ1379" s="1"/>
      <c r="CR1379" s="1"/>
      <c r="CS1379" s="1"/>
      <c r="CT1379" s="1"/>
      <c r="CU1379" s="1"/>
      <c r="CV1379" s="1"/>
      <c r="CW1379" s="1"/>
    </row>
    <row r="1380" spans="2:101" ht="15" hidden="1" customHeight="1" x14ac:dyDescent="0.25"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30"/>
      <c r="W1380" s="30"/>
      <c r="X1380" s="30"/>
      <c r="Y1380" s="30"/>
      <c r="Z1380" s="30"/>
      <c r="AA1380" s="30"/>
      <c r="AB1380" s="30"/>
      <c r="AC1380" s="30"/>
      <c r="AD1380" s="30"/>
      <c r="AE1380" s="30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30"/>
      <c r="AQ1380" s="30"/>
      <c r="AR1380" s="30"/>
      <c r="AS1380" s="30"/>
      <c r="AT1380" s="30"/>
      <c r="AU1380" s="30"/>
      <c r="AV1380" s="30"/>
      <c r="AW1380" s="30"/>
      <c r="AX1380" s="30"/>
      <c r="AY1380" s="30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30"/>
      <c r="BK1380" s="30"/>
      <c r="BL1380" s="30"/>
      <c r="BM1380" s="30"/>
      <c r="BN1380" s="30"/>
      <c r="BO1380" s="30"/>
      <c r="BP1380" s="30"/>
      <c r="BQ1380" s="30"/>
      <c r="BR1380" s="30"/>
      <c r="BS1380" s="30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30"/>
      <c r="CE1380" s="30"/>
      <c r="CF1380" s="30"/>
      <c r="CG1380" s="30"/>
      <c r="CH1380" s="30"/>
      <c r="CI1380" s="30"/>
      <c r="CJ1380" s="30"/>
      <c r="CK1380" s="30"/>
      <c r="CL1380" s="30"/>
      <c r="CM1380" s="30"/>
      <c r="CN1380" s="1"/>
      <c r="CO1380" s="1"/>
      <c r="CP1380" s="1"/>
      <c r="CQ1380" s="1"/>
      <c r="CR1380" s="1"/>
      <c r="CS1380" s="1"/>
      <c r="CT1380" s="1"/>
      <c r="CU1380" s="1"/>
      <c r="CV1380" s="1"/>
      <c r="CW1380" s="1"/>
    </row>
    <row r="1381" spans="2:101" ht="15" hidden="1" customHeight="1" x14ac:dyDescent="0.25"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30"/>
      <c r="W1381" s="30"/>
      <c r="X1381" s="30"/>
      <c r="Y1381" s="30"/>
      <c r="Z1381" s="30"/>
      <c r="AA1381" s="30"/>
      <c r="AB1381" s="30"/>
      <c r="AC1381" s="30"/>
      <c r="AD1381" s="30"/>
      <c r="AE1381" s="30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30"/>
      <c r="AQ1381" s="30"/>
      <c r="AR1381" s="30"/>
      <c r="AS1381" s="30"/>
      <c r="AT1381" s="30"/>
      <c r="AU1381" s="30"/>
      <c r="AV1381" s="30"/>
      <c r="AW1381" s="30"/>
      <c r="AX1381" s="30"/>
      <c r="AY1381" s="30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30"/>
      <c r="BK1381" s="30"/>
      <c r="BL1381" s="30"/>
      <c r="BM1381" s="30"/>
      <c r="BN1381" s="30"/>
      <c r="BO1381" s="30"/>
      <c r="BP1381" s="30"/>
      <c r="BQ1381" s="30"/>
      <c r="BR1381" s="30"/>
      <c r="BS1381" s="30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30"/>
      <c r="CE1381" s="30"/>
      <c r="CF1381" s="30"/>
      <c r="CG1381" s="30"/>
      <c r="CH1381" s="30"/>
      <c r="CI1381" s="30"/>
      <c r="CJ1381" s="30"/>
      <c r="CK1381" s="30"/>
      <c r="CL1381" s="30"/>
      <c r="CM1381" s="30"/>
      <c r="CN1381" s="1"/>
      <c r="CO1381" s="1"/>
      <c r="CP1381" s="1"/>
      <c r="CQ1381" s="1"/>
      <c r="CR1381" s="1"/>
      <c r="CS1381" s="1"/>
      <c r="CT1381" s="1"/>
      <c r="CU1381" s="1"/>
      <c r="CV1381" s="1"/>
      <c r="CW1381" s="1"/>
    </row>
    <row r="1382" spans="2:101" ht="15" hidden="1" customHeight="1" x14ac:dyDescent="0.25"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30"/>
      <c r="W1382" s="30"/>
      <c r="X1382" s="30"/>
      <c r="Y1382" s="30"/>
      <c r="Z1382" s="30"/>
      <c r="AA1382" s="30"/>
      <c r="AB1382" s="30"/>
      <c r="AC1382" s="30"/>
      <c r="AD1382" s="30"/>
      <c r="AE1382" s="30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30"/>
      <c r="AQ1382" s="30"/>
      <c r="AR1382" s="30"/>
      <c r="AS1382" s="30"/>
      <c r="AT1382" s="30"/>
      <c r="AU1382" s="30"/>
      <c r="AV1382" s="30"/>
      <c r="AW1382" s="30"/>
      <c r="AX1382" s="30"/>
      <c r="AY1382" s="30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30"/>
      <c r="BK1382" s="30"/>
      <c r="BL1382" s="30"/>
      <c r="BM1382" s="30"/>
      <c r="BN1382" s="30"/>
      <c r="BO1382" s="30"/>
      <c r="BP1382" s="30"/>
      <c r="BQ1382" s="30"/>
      <c r="BR1382" s="30"/>
      <c r="BS1382" s="30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30"/>
      <c r="CE1382" s="30"/>
      <c r="CF1382" s="30"/>
      <c r="CG1382" s="30"/>
      <c r="CH1382" s="30"/>
      <c r="CI1382" s="30"/>
      <c r="CJ1382" s="30"/>
      <c r="CK1382" s="30"/>
      <c r="CL1382" s="30"/>
      <c r="CM1382" s="30"/>
      <c r="CN1382" s="1"/>
      <c r="CO1382" s="1"/>
      <c r="CP1382" s="1"/>
      <c r="CQ1382" s="1"/>
      <c r="CR1382" s="1"/>
      <c r="CS1382" s="1"/>
      <c r="CT1382" s="1"/>
      <c r="CU1382" s="1"/>
      <c r="CV1382" s="1"/>
      <c r="CW1382" s="1"/>
    </row>
    <row r="1383" spans="2:101" ht="15" hidden="1" customHeight="1" x14ac:dyDescent="0.25"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30"/>
      <c r="W1383" s="30"/>
      <c r="X1383" s="30"/>
      <c r="Y1383" s="30"/>
      <c r="Z1383" s="30"/>
      <c r="AA1383" s="30"/>
      <c r="AB1383" s="30"/>
      <c r="AC1383" s="30"/>
      <c r="AD1383" s="30"/>
      <c r="AE1383" s="30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30"/>
      <c r="AQ1383" s="30"/>
      <c r="AR1383" s="30"/>
      <c r="AS1383" s="30"/>
      <c r="AT1383" s="30"/>
      <c r="AU1383" s="30"/>
      <c r="AV1383" s="30"/>
      <c r="AW1383" s="30"/>
      <c r="AX1383" s="30"/>
      <c r="AY1383" s="30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30"/>
      <c r="BK1383" s="30"/>
      <c r="BL1383" s="30"/>
      <c r="BM1383" s="30"/>
      <c r="BN1383" s="30"/>
      <c r="BO1383" s="30"/>
      <c r="BP1383" s="30"/>
      <c r="BQ1383" s="30"/>
      <c r="BR1383" s="30"/>
      <c r="BS1383" s="30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30"/>
      <c r="CE1383" s="30"/>
      <c r="CF1383" s="30"/>
      <c r="CG1383" s="30"/>
      <c r="CH1383" s="30"/>
      <c r="CI1383" s="30"/>
      <c r="CJ1383" s="30"/>
      <c r="CK1383" s="30"/>
      <c r="CL1383" s="30"/>
      <c r="CM1383" s="30"/>
      <c r="CN1383" s="1"/>
      <c r="CO1383" s="1"/>
      <c r="CP1383" s="1"/>
      <c r="CQ1383" s="1"/>
      <c r="CR1383" s="1"/>
      <c r="CS1383" s="1"/>
      <c r="CT1383" s="1"/>
      <c r="CU1383" s="1"/>
      <c r="CV1383" s="1"/>
      <c r="CW1383" s="1"/>
    </row>
    <row r="1384" spans="2:101" ht="15" hidden="1" customHeight="1" x14ac:dyDescent="0.25"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30"/>
      <c r="W1384" s="30"/>
      <c r="X1384" s="30"/>
      <c r="Y1384" s="30"/>
      <c r="Z1384" s="30"/>
      <c r="AA1384" s="30"/>
      <c r="AB1384" s="30"/>
      <c r="AC1384" s="30"/>
      <c r="AD1384" s="30"/>
      <c r="AE1384" s="30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30"/>
      <c r="AQ1384" s="30"/>
      <c r="AR1384" s="30"/>
      <c r="AS1384" s="30"/>
      <c r="AT1384" s="30"/>
      <c r="AU1384" s="30"/>
      <c r="AV1384" s="30"/>
      <c r="AW1384" s="30"/>
      <c r="AX1384" s="30"/>
      <c r="AY1384" s="30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30"/>
      <c r="BK1384" s="30"/>
      <c r="BL1384" s="30"/>
      <c r="BM1384" s="30"/>
      <c r="BN1384" s="30"/>
      <c r="BO1384" s="30"/>
      <c r="BP1384" s="30"/>
      <c r="BQ1384" s="30"/>
      <c r="BR1384" s="30"/>
      <c r="BS1384" s="30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30"/>
      <c r="CE1384" s="30"/>
      <c r="CF1384" s="30"/>
      <c r="CG1384" s="30"/>
      <c r="CH1384" s="30"/>
      <c r="CI1384" s="30"/>
      <c r="CJ1384" s="30"/>
      <c r="CK1384" s="30"/>
      <c r="CL1384" s="30"/>
      <c r="CM1384" s="30"/>
      <c r="CN1384" s="1"/>
      <c r="CO1384" s="1"/>
      <c r="CP1384" s="1"/>
      <c r="CQ1384" s="1"/>
      <c r="CR1384" s="1"/>
      <c r="CS1384" s="1"/>
      <c r="CT1384" s="1"/>
      <c r="CU1384" s="1"/>
      <c r="CV1384" s="1"/>
      <c r="CW1384" s="1"/>
    </row>
    <row r="1385" spans="2:101" ht="15" hidden="1" customHeight="1" x14ac:dyDescent="0.25"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30"/>
      <c r="W1385" s="30"/>
      <c r="X1385" s="30"/>
      <c r="Y1385" s="30"/>
      <c r="Z1385" s="30"/>
      <c r="AA1385" s="30"/>
      <c r="AB1385" s="30"/>
      <c r="AC1385" s="30"/>
      <c r="AD1385" s="30"/>
      <c r="AE1385" s="30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30"/>
      <c r="AQ1385" s="30"/>
      <c r="AR1385" s="30"/>
      <c r="AS1385" s="30"/>
      <c r="AT1385" s="30"/>
      <c r="AU1385" s="30"/>
      <c r="AV1385" s="30"/>
      <c r="AW1385" s="30"/>
      <c r="AX1385" s="30"/>
      <c r="AY1385" s="30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30"/>
      <c r="BK1385" s="30"/>
      <c r="BL1385" s="30"/>
      <c r="BM1385" s="30"/>
      <c r="BN1385" s="30"/>
      <c r="BO1385" s="30"/>
      <c r="BP1385" s="30"/>
      <c r="BQ1385" s="30"/>
      <c r="BR1385" s="30"/>
      <c r="BS1385" s="30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30"/>
      <c r="CE1385" s="30"/>
      <c r="CF1385" s="30"/>
      <c r="CG1385" s="30"/>
      <c r="CH1385" s="30"/>
      <c r="CI1385" s="30"/>
      <c r="CJ1385" s="30"/>
      <c r="CK1385" s="30"/>
      <c r="CL1385" s="30"/>
      <c r="CM1385" s="30"/>
      <c r="CN1385" s="1"/>
      <c r="CO1385" s="1"/>
      <c r="CP1385" s="1"/>
      <c r="CQ1385" s="1"/>
      <c r="CR1385" s="1"/>
      <c r="CS1385" s="1"/>
      <c r="CT1385" s="1"/>
      <c r="CU1385" s="1"/>
      <c r="CV1385" s="1"/>
      <c r="CW1385" s="1"/>
    </row>
    <row r="1386" spans="2:101" ht="15" hidden="1" customHeight="1" x14ac:dyDescent="0.25"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30"/>
      <c r="W1386" s="30"/>
      <c r="X1386" s="30"/>
      <c r="Y1386" s="30"/>
      <c r="Z1386" s="30"/>
      <c r="AA1386" s="30"/>
      <c r="AB1386" s="30"/>
      <c r="AC1386" s="30"/>
      <c r="AD1386" s="30"/>
      <c r="AE1386" s="30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30"/>
      <c r="AQ1386" s="30"/>
      <c r="AR1386" s="30"/>
      <c r="AS1386" s="30"/>
      <c r="AT1386" s="30"/>
      <c r="AU1386" s="30"/>
      <c r="AV1386" s="30"/>
      <c r="AW1386" s="30"/>
      <c r="AX1386" s="30"/>
      <c r="AY1386" s="30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30"/>
      <c r="BK1386" s="30"/>
      <c r="BL1386" s="30"/>
      <c r="BM1386" s="30"/>
      <c r="BN1386" s="30"/>
      <c r="BO1386" s="30"/>
      <c r="BP1386" s="30"/>
      <c r="BQ1386" s="30"/>
      <c r="BR1386" s="30"/>
      <c r="BS1386" s="30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30"/>
      <c r="CE1386" s="30"/>
      <c r="CF1386" s="30"/>
      <c r="CG1386" s="30"/>
      <c r="CH1386" s="30"/>
      <c r="CI1386" s="30"/>
      <c r="CJ1386" s="30"/>
      <c r="CK1386" s="30"/>
      <c r="CL1386" s="30"/>
      <c r="CM1386" s="30"/>
      <c r="CN1386" s="1"/>
      <c r="CO1386" s="1"/>
      <c r="CP1386" s="1"/>
      <c r="CQ1386" s="1"/>
      <c r="CR1386" s="1"/>
      <c r="CS1386" s="1"/>
      <c r="CT1386" s="1"/>
      <c r="CU1386" s="1"/>
      <c r="CV1386" s="1"/>
      <c r="CW1386" s="1"/>
    </row>
    <row r="1387" spans="2:101" ht="15" hidden="1" customHeight="1" x14ac:dyDescent="0.25"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30"/>
      <c r="W1387" s="30"/>
      <c r="X1387" s="30"/>
      <c r="Y1387" s="30"/>
      <c r="Z1387" s="30"/>
      <c r="AA1387" s="30"/>
      <c r="AB1387" s="30"/>
      <c r="AC1387" s="30"/>
      <c r="AD1387" s="30"/>
      <c r="AE1387" s="30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30"/>
      <c r="AQ1387" s="30"/>
      <c r="AR1387" s="30"/>
      <c r="AS1387" s="30"/>
      <c r="AT1387" s="30"/>
      <c r="AU1387" s="30"/>
      <c r="AV1387" s="30"/>
      <c r="AW1387" s="30"/>
      <c r="AX1387" s="30"/>
      <c r="AY1387" s="30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30"/>
      <c r="BK1387" s="30"/>
      <c r="BL1387" s="30"/>
      <c r="BM1387" s="30"/>
      <c r="BN1387" s="30"/>
      <c r="BO1387" s="30"/>
      <c r="BP1387" s="30"/>
      <c r="BQ1387" s="30"/>
      <c r="BR1387" s="30"/>
      <c r="BS1387" s="30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30"/>
      <c r="CE1387" s="30"/>
      <c r="CF1387" s="30"/>
      <c r="CG1387" s="30"/>
      <c r="CH1387" s="30"/>
      <c r="CI1387" s="30"/>
      <c r="CJ1387" s="30"/>
      <c r="CK1387" s="30"/>
      <c r="CL1387" s="30"/>
      <c r="CM1387" s="30"/>
      <c r="CN1387" s="1"/>
      <c r="CO1387" s="1"/>
      <c r="CP1387" s="1"/>
      <c r="CQ1387" s="1"/>
      <c r="CR1387" s="1"/>
      <c r="CS1387" s="1"/>
      <c r="CT1387" s="1"/>
      <c r="CU1387" s="1"/>
      <c r="CV1387" s="1"/>
      <c r="CW1387" s="1"/>
    </row>
    <row r="1388" spans="2:101" ht="15" hidden="1" customHeight="1" x14ac:dyDescent="0.25"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30"/>
      <c r="W1388" s="30"/>
      <c r="X1388" s="30"/>
      <c r="Y1388" s="30"/>
      <c r="Z1388" s="30"/>
      <c r="AA1388" s="30"/>
      <c r="AB1388" s="30"/>
      <c r="AC1388" s="30"/>
      <c r="AD1388" s="30"/>
      <c r="AE1388" s="30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30"/>
      <c r="AQ1388" s="30"/>
      <c r="AR1388" s="30"/>
      <c r="AS1388" s="30"/>
      <c r="AT1388" s="30"/>
      <c r="AU1388" s="30"/>
      <c r="AV1388" s="30"/>
      <c r="AW1388" s="30"/>
      <c r="AX1388" s="30"/>
      <c r="AY1388" s="30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30"/>
      <c r="BK1388" s="30"/>
      <c r="BL1388" s="30"/>
      <c r="BM1388" s="30"/>
      <c r="BN1388" s="30"/>
      <c r="BO1388" s="30"/>
      <c r="BP1388" s="30"/>
      <c r="BQ1388" s="30"/>
      <c r="BR1388" s="30"/>
      <c r="BS1388" s="30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30"/>
      <c r="CE1388" s="30"/>
      <c r="CF1388" s="30"/>
      <c r="CG1388" s="30"/>
      <c r="CH1388" s="30"/>
      <c r="CI1388" s="30"/>
      <c r="CJ1388" s="30"/>
      <c r="CK1388" s="30"/>
      <c r="CL1388" s="30"/>
      <c r="CM1388" s="30"/>
      <c r="CN1388" s="1"/>
      <c r="CO1388" s="1"/>
      <c r="CP1388" s="1"/>
      <c r="CQ1388" s="1"/>
      <c r="CR1388" s="1"/>
      <c r="CS1388" s="1"/>
      <c r="CT1388" s="1"/>
      <c r="CU1388" s="1"/>
      <c r="CV1388" s="1"/>
      <c r="CW1388" s="1"/>
    </row>
    <row r="1389" spans="2:101" ht="15" hidden="1" customHeight="1" x14ac:dyDescent="0.25"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30"/>
      <c r="W1389" s="30"/>
      <c r="X1389" s="30"/>
      <c r="Y1389" s="30"/>
      <c r="Z1389" s="30"/>
      <c r="AA1389" s="30"/>
      <c r="AB1389" s="30"/>
      <c r="AC1389" s="30"/>
      <c r="AD1389" s="30"/>
      <c r="AE1389" s="30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30"/>
      <c r="AQ1389" s="30"/>
      <c r="AR1389" s="30"/>
      <c r="AS1389" s="30"/>
      <c r="AT1389" s="30"/>
      <c r="AU1389" s="30"/>
      <c r="AV1389" s="30"/>
      <c r="AW1389" s="30"/>
      <c r="AX1389" s="30"/>
      <c r="AY1389" s="30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30"/>
      <c r="BK1389" s="30"/>
      <c r="BL1389" s="30"/>
      <c r="BM1389" s="30"/>
      <c r="BN1389" s="30"/>
      <c r="BO1389" s="30"/>
      <c r="BP1389" s="30"/>
      <c r="BQ1389" s="30"/>
      <c r="BR1389" s="30"/>
      <c r="BS1389" s="30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30"/>
      <c r="CE1389" s="30"/>
      <c r="CF1389" s="30"/>
      <c r="CG1389" s="30"/>
      <c r="CH1389" s="30"/>
      <c r="CI1389" s="30"/>
      <c r="CJ1389" s="30"/>
      <c r="CK1389" s="30"/>
      <c r="CL1389" s="30"/>
      <c r="CM1389" s="30"/>
      <c r="CN1389" s="1"/>
      <c r="CO1389" s="1"/>
      <c r="CP1389" s="1"/>
      <c r="CQ1389" s="1"/>
      <c r="CR1389" s="1"/>
      <c r="CS1389" s="1"/>
      <c r="CT1389" s="1"/>
      <c r="CU1389" s="1"/>
      <c r="CV1389" s="1"/>
      <c r="CW1389" s="1"/>
    </row>
    <row r="1390" spans="2:101" ht="15" hidden="1" customHeight="1" x14ac:dyDescent="0.25"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30"/>
      <c r="W1390" s="30"/>
      <c r="X1390" s="30"/>
      <c r="Y1390" s="30"/>
      <c r="Z1390" s="30"/>
      <c r="AA1390" s="30"/>
      <c r="AB1390" s="30"/>
      <c r="AC1390" s="30"/>
      <c r="AD1390" s="30"/>
      <c r="AE1390" s="30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30"/>
      <c r="AQ1390" s="30"/>
      <c r="AR1390" s="30"/>
      <c r="AS1390" s="30"/>
      <c r="AT1390" s="30"/>
      <c r="AU1390" s="30"/>
      <c r="AV1390" s="30"/>
      <c r="AW1390" s="30"/>
      <c r="AX1390" s="30"/>
      <c r="AY1390" s="30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30"/>
      <c r="BK1390" s="30"/>
      <c r="BL1390" s="30"/>
      <c r="BM1390" s="30"/>
      <c r="BN1390" s="30"/>
      <c r="BO1390" s="30"/>
      <c r="BP1390" s="30"/>
      <c r="BQ1390" s="30"/>
      <c r="BR1390" s="30"/>
      <c r="BS1390" s="30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30"/>
      <c r="CE1390" s="30"/>
      <c r="CF1390" s="30"/>
      <c r="CG1390" s="30"/>
      <c r="CH1390" s="30"/>
      <c r="CI1390" s="30"/>
      <c r="CJ1390" s="30"/>
      <c r="CK1390" s="30"/>
      <c r="CL1390" s="30"/>
      <c r="CM1390" s="30"/>
      <c r="CN1390" s="1"/>
      <c r="CO1390" s="1"/>
      <c r="CP1390" s="1"/>
      <c r="CQ1390" s="1"/>
      <c r="CR1390" s="1"/>
      <c r="CS1390" s="1"/>
      <c r="CT1390" s="1"/>
      <c r="CU1390" s="1"/>
      <c r="CV1390" s="1"/>
      <c r="CW1390" s="1"/>
    </row>
    <row r="1391" spans="2:101" ht="15" hidden="1" customHeight="1" x14ac:dyDescent="0.25"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30"/>
      <c r="W1391" s="30"/>
      <c r="X1391" s="30"/>
      <c r="Y1391" s="30"/>
      <c r="Z1391" s="30"/>
      <c r="AA1391" s="30"/>
      <c r="AB1391" s="30"/>
      <c r="AC1391" s="30"/>
      <c r="AD1391" s="30"/>
      <c r="AE1391" s="30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30"/>
      <c r="AQ1391" s="30"/>
      <c r="AR1391" s="30"/>
      <c r="AS1391" s="30"/>
      <c r="AT1391" s="30"/>
      <c r="AU1391" s="30"/>
      <c r="AV1391" s="30"/>
      <c r="AW1391" s="30"/>
      <c r="AX1391" s="30"/>
      <c r="AY1391" s="30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30"/>
      <c r="BK1391" s="30"/>
      <c r="BL1391" s="30"/>
      <c r="BM1391" s="30"/>
      <c r="BN1391" s="30"/>
      <c r="BO1391" s="30"/>
      <c r="BP1391" s="30"/>
      <c r="BQ1391" s="30"/>
      <c r="BR1391" s="30"/>
      <c r="BS1391" s="30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30"/>
      <c r="CE1391" s="30"/>
      <c r="CF1391" s="30"/>
      <c r="CG1391" s="30"/>
      <c r="CH1391" s="30"/>
      <c r="CI1391" s="30"/>
      <c r="CJ1391" s="30"/>
      <c r="CK1391" s="30"/>
      <c r="CL1391" s="30"/>
      <c r="CM1391" s="30"/>
      <c r="CN1391" s="1"/>
      <c r="CO1391" s="1"/>
      <c r="CP1391" s="1"/>
      <c r="CQ1391" s="1"/>
      <c r="CR1391" s="1"/>
      <c r="CS1391" s="1"/>
      <c r="CT1391" s="1"/>
      <c r="CU1391" s="1"/>
      <c r="CV1391" s="1"/>
      <c r="CW1391" s="1"/>
    </row>
    <row r="1392" spans="2:101" ht="15" hidden="1" customHeight="1" x14ac:dyDescent="0.25"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30"/>
      <c r="W1392" s="30"/>
      <c r="X1392" s="30"/>
      <c r="Y1392" s="30"/>
      <c r="Z1392" s="30"/>
      <c r="AA1392" s="30"/>
      <c r="AB1392" s="30"/>
      <c r="AC1392" s="30"/>
      <c r="AD1392" s="30"/>
      <c r="AE1392" s="30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30"/>
      <c r="AQ1392" s="30"/>
      <c r="AR1392" s="30"/>
      <c r="AS1392" s="30"/>
      <c r="AT1392" s="30"/>
      <c r="AU1392" s="30"/>
      <c r="AV1392" s="30"/>
      <c r="AW1392" s="30"/>
      <c r="AX1392" s="30"/>
      <c r="AY1392" s="30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30"/>
      <c r="BK1392" s="30"/>
      <c r="BL1392" s="30"/>
      <c r="BM1392" s="30"/>
      <c r="BN1392" s="30"/>
      <c r="BO1392" s="30"/>
      <c r="BP1392" s="30"/>
      <c r="BQ1392" s="30"/>
      <c r="BR1392" s="30"/>
      <c r="BS1392" s="30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30"/>
      <c r="CE1392" s="30"/>
      <c r="CF1392" s="30"/>
      <c r="CG1392" s="30"/>
      <c r="CH1392" s="30"/>
      <c r="CI1392" s="30"/>
      <c r="CJ1392" s="30"/>
      <c r="CK1392" s="30"/>
      <c r="CL1392" s="30"/>
      <c r="CM1392" s="30"/>
      <c r="CN1392" s="1"/>
      <c r="CO1392" s="1"/>
      <c r="CP1392" s="1"/>
      <c r="CQ1392" s="1"/>
      <c r="CR1392" s="1"/>
      <c r="CS1392" s="1"/>
      <c r="CT1392" s="1"/>
      <c r="CU1392" s="1"/>
      <c r="CV1392" s="1"/>
      <c r="CW1392" s="1"/>
    </row>
    <row r="1393" spans="2:101" ht="15" hidden="1" customHeight="1" x14ac:dyDescent="0.25"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30"/>
      <c r="W1393" s="30"/>
      <c r="X1393" s="30"/>
      <c r="Y1393" s="30"/>
      <c r="Z1393" s="30"/>
      <c r="AA1393" s="30"/>
      <c r="AB1393" s="30"/>
      <c r="AC1393" s="30"/>
      <c r="AD1393" s="30"/>
      <c r="AE1393" s="30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30"/>
      <c r="AQ1393" s="30"/>
      <c r="AR1393" s="30"/>
      <c r="AS1393" s="30"/>
      <c r="AT1393" s="30"/>
      <c r="AU1393" s="30"/>
      <c r="AV1393" s="30"/>
      <c r="AW1393" s="30"/>
      <c r="AX1393" s="30"/>
      <c r="AY1393" s="30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30"/>
      <c r="BK1393" s="30"/>
      <c r="BL1393" s="30"/>
      <c r="BM1393" s="30"/>
      <c r="BN1393" s="30"/>
      <c r="BO1393" s="30"/>
      <c r="BP1393" s="30"/>
      <c r="BQ1393" s="30"/>
      <c r="BR1393" s="30"/>
      <c r="BS1393" s="30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30"/>
      <c r="CE1393" s="30"/>
      <c r="CF1393" s="30"/>
      <c r="CG1393" s="30"/>
      <c r="CH1393" s="30"/>
      <c r="CI1393" s="30"/>
      <c r="CJ1393" s="30"/>
      <c r="CK1393" s="30"/>
      <c r="CL1393" s="30"/>
      <c r="CM1393" s="30"/>
      <c r="CN1393" s="1"/>
      <c r="CO1393" s="1"/>
      <c r="CP1393" s="1"/>
      <c r="CQ1393" s="1"/>
      <c r="CR1393" s="1"/>
      <c r="CS1393" s="1"/>
      <c r="CT1393" s="1"/>
      <c r="CU1393" s="1"/>
      <c r="CV1393" s="1"/>
      <c r="CW1393" s="1"/>
    </row>
    <row r="1394" spans="2:101" ht="15" hidden="1" customHeight="1" x14ac:dyDescent="0.25"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30"/>
      <c r="W1394" s="30"/>
      <c r="X1394" s="30"/>
      <c r="Y1394" s="30"/>
      <c r="Z1394" s="30"/>
      <c r="AA1394" s="30"/>
      <c r="AB1394" s="30"/>
      <c r="AC1394" s="30"/>
      <c r="AD1394" s="30"/>
      <c r="AE1394" s="30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30"/>
      <c r="AQ1394" s="30"/>
      <c r="AR1394" s="30"/>
      <c r="AS1394" s="30"/>
      <c r="AT1394" s="30"/>
      <c r="AU1394" s="30"/>
      <c r="AV1394" s="30"/>
      <c r="AW1394" s="30"/>
      <c r="AX1394" s="30"/>
      <c r="AY1394" s="30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30"/>
      <c r="BK1394" s="30"/>
      <c r="BL1394" s="30"/>
      <c r="BM1394" s="30"/>
      <c r="BN1394" s="30"/>
      <c r="BO1394" s="30"/>
      <c r="BP1394" s="30"/>
      <c r="BQ1394" s="30"/>
      <c r="BR1394" s="30"/>
      <c r="BS1394" s="30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30"/>
      <c r="CE1394" s="30"/>
      <c r="CF1394" s="30"/>
      <c r="CG1394" s="30"/>
      <c r="CH1394" s="30"/>
      <c r="CI1394" s="30"/>
      <c r="CJ1394" s="30"/>
      <c r="CK1394" s="30"/>
      <c r="CL1394" s="30"/>
      <c r="CM1394" s="30"/>
      <c r="CN1394" s="1"/>
      <c r="CO1394" s="1"/>
      <c r="CP1394" s="1"/>
      <c r="CQ1394" s="1"/>
      <c r="CR1394" s="1"/>
      <c r="CS1394" s="1"/>
      <c r="CT1394" s="1"/>
      <c r="CU1394" s="1"/>
      <c r="CV1394" s="1"/>
      <c r="CW1394" s="1"/>
    </row>
    <row r="1395" spans="2:101" ht="15" hidden="1" customHeight="1" x14ac:dyDescent="0.25"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30"/>
      <c r="W1395" s="30"/>
      <c r="X1395" s="30"/>
      <c r="Y1395" s="30"/>
      <c r="Z1395" s="30"/>
      <c r="AA1395" s="30"/>
      <c r="AB1395" s="30"/>
      <c r="AC1395" s="30"/>
      <c r="AD1395" s="30"/>
      <c r="AE1395" s="30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30"/>
      <c r="AQ1395" s="30"/>
      <c r="AR1395" s="30"/>
      <c r="AS1395" s="30"/>
      <c r="AT1395" s="30"/>
      <c r="AU1395" s="30"/>
      <c r="AV1395" s="30"/>
      <c r="AW1395" s="30"/>
      <c r="AX1395" s="30"/>
      <c r="AY1395" s="30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30"/>
      <c r="BK1395" s="30"/>
      <c r="BL1395" s="30"/>
      <c r="BM1395" s="30"/>
      <c r="BN1395" s="30"/>
      <c r="BO1395" s="30"/>
      <c r="BP1395" s="30"/>
      <c r="BQ1395" s="30"/>
      <c r="BR1395" s="30"/>
      <c r="BS1395" s="30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30"/>
      <c r="CE1395" s="30"/>
      <c r="CF1395" s="30"/>
      <c r="CG1395" s="30"/>
      <c r="CH1395" s="30"/>
      <c r="CI1395" s="30"/>
      <c r="CJ1395" s="30"/>
      <c r="CK1395" s="30"/>
      <c r="CL1395" s="30"/>
      <c r="CM1395" s="30"/>
      <c r="CN1395" s="1"/>
      <c r="CO1395" s="1"/>
      <c r="CP1395" s="1"/>
      <c r="CQ1395" s="1"/>
      <c r="CR1395" s="1"/>
      <c r="CS1395" s="1"/>
      <c r="CT1395" s="1"/>
      <c r="CU1395" s="1"/>
      <c r="CV1395" s="1"/>
      <c r="CW1395" s="1"/>
    </row>
    <row r="1396" spans="2:101" ht="15" hidden="1" customHeight="1" x14ac:dyDescent="0.25"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30"/>
      <c r="W1396" s="30"/>
      <c r="X1396" s="30"/>
      <c r="Y1396" s="30"/>
      <c r="Z1396" s="30"/>
      <c r="AA1396" s="30"/>
      <c r="AB1396" s="30"/>
      <c r="AC1396" s="30"/>
      <c r="AD1396" s="30"/>
      <c r="AE1396" s="30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30"/>
      <c r="AQ1396" s="30"/>
      <c r="AR1396" s="30"/>
      <c r="AS1396" s="30"/>
      <c r="AT1396" s="30"/>
      <c r="AU1396" s="30"/>
      <c r="AV1396" s="30"/>
      <c r="AW1396" s="30"/>
      <c r="AX1396" s="30"/>
      <c r="AY1396" s="30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30"/>
      <c r="BK1396" s="30"/>
      <c r="BL1396" s="30"/>
      <c r="BM1396" s="30"/>
      <c r="BN1396" s="30"/>
      <c r="BO1396" s="30"/>
      <c r="BP1396" s="30"/>
      <c r="BQ1396" s="30"/>
      <c r="BR1396" s="30"/>
      <c r="BS1396" s="30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30"/>
      <c r="CE1396" s="30"/>
      <c r="CF1396" s="30"/>
      <c r="CG1396" s="30"/>
      <c r="CH1396" s="30"/>
      <c r="CI1396" s="30"/>
      <c r="CJ1396" s="30"/>
      <c r="CK1396" s="30"/>
      <c r="CL1396" s="30"/>
      <c r="CM1396" s="30"/>
      <c r="CN1396" s="1"/>
      <c r="CO1396" s="1"/>
      <c r="CP1396" s="1"/>
      <c r="CQ1396" s="1"/>
      <c r="CR1396" s="1"/>
      <c r="CS1396" s="1"/>
      <c r="CT1396" s="1"/>
      <c r="CU1396" s="1"/>
      <c r="CV1396" s="1"/>
      <c r="CW1396" s="1"/>
    </row>
    <row r="1397" spans="2:101" ht="15" hidden="1" customHeight="1" x14ac:dyDescent="0.25"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30"/>
      <c r="W1397" s="30"/>
      <c r="X1397" s="30"/>
      <c r="Y1397" s="30"/>
      <c r="Z1397" s="30"/>
      <c r="AA1397" s="30"/>
      <c r="AB1397" s="30"/>
      <c r="AC1397" s="30"/>
      <c r="AD1397" s="30"/>
      <c r="AE1397" s="30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30"/>
      <c r="AQ1397" s="30"/>
      <c r="AR1397" s="30"/>
      <c r="AS1397" s="30"/>
      <c r="AT1397" s="30"/>
      <c r="AU1397" s="30"/>
      <c r="AV1397" s="30"/>
      <c r="AW1397" s="30"/>
      <c r="AX1397" s="30"/>
      <c r="AY1397" s="30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30"/>
      <c r="BK1397" s="30"/>
      <c r="BL1397" s="30"/>
      <c r="BM1397" s="30"/>
      <c r="BN1397" s="30"/>
      <c r="BO1397" s="30"/>
      <c r="BP1397" s="30"/>
      <c r="BQ1397" s="30"/>
      <c r="BR1397" s="30"/>
      <c r="BS1397" s="30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30"/>
      <c r="CE1397" s="30"/>
      <c r="CF1397" s="30"/>
      <c r="CG1397" s="30"/>
      <c r="CH1397" s="30"/>
      <c r="CI1397" s="30"/>
      <c r="CJ1397" s="30"/>
      <c r="CK1397" s="30"/>
      <c r="CL1397" s="30"/>
      <c r="CM1397" s="30"/>
      <c r="CN1397" s="1"/>
      <c r="CO1397" s="1"/>
      <c r="CP1397" s="1"/>
      <c r="CQ1397" s="1"/>
      <c r="CR1397" s="1"/>
      <c r="CS1397" s="1"/>
      <c r="CT1397" s="1"/>
      <c r="CU1397" s="1"/>
      <c r="CV1397" s="1"/>
      <c r="CW1397" s="1"/>
    </row>
    <row r="1398" spans="2:101" ht="15" hidden="1" customHeight="1" x14ac:dyDescent="0.25"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30"/>
      <c r="W1398" s="30"/>
      <c r="X1398" s="30"/>
      <c r="Y1398" s="30"/>
      <c r="Z1398" s="30"/>
      <c r="AA1398" s="30"/>
      <c r="AB1398" s="30"/>
      <c r="AC1398" s="30"/>
      <c r="AD1398" s="30"/>
      <c r="AE1398" s="30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30"/>
      <c r="AQ1398" s="30"/>
      <c r="AR1398" s="30"/>
      <c r="AS1398" s="30"/>
      <c r="AT1398" s="30"/>
      <c r="AU1398" s="30"/>
      <c r="AV1398" s="30"/>
      <c r="AW1398" s="30"/>
      <c r="AX1398" s="30"/>
      <c r="AY1398" s="30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30"/>
      <c r="BK1398" s="30"/>
      <c r="BL1398" s="30"/>
      <c r="BM1398" s="30"/>
      <c r="BN1398" s="30"/>
      <c r="BO1398" s="30"/>
      <c r="BP1398" s="30"/>
      <c r="BQ1398" s="30"/>
      <c r="BR1398" s="30"/>
      <c r="BS1398" s="30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30"/>
      <c r="CE1398" s="30"/>
      <c r="CF1398" s="30"/>
      <c r="CG1398" s="30"/>
      <c r="CH1398" s="30"/>
      <c r="CI1398" s="30"/>
      <c r="CJ1398" s="30"/>
      <c r="CK1398" s="30"/>
      <c r="CL1398" s="30"/>
      <c r="CM1398" s="30"/>
      <c r="CN1398" s="1"/>
      <c r="CO1398" s="1"/>
      <c r="CP1398" s="1"/>
      <c r="CQ1398" s="1"/>
      <c r="CR1398" s="1"/>
      <c r="CS1398" s="1"/>
      <c r="CT1398" s="1"/>
      <c r="CU1398" s="1"/>
      <c r="CV1398" s="1"/>
      <c r="CW1398" s="1"/>
    </row>
    <row r="1399" spans="2:101" ht="15" hidden="1" customHeight="1" x14ac:dyDescent="0.25"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30"/>
      <c r="W1399" s="30"/>
      <c r="X1399" s="30"/>
      <c r="Y1399" s="30"/>
      <c r="Z1399" s="30"/>
      <c r="AA1399" s="30"/>
      <c r="AB1399" s="30"/>
      <c r="AC1399" s="30"/>
      <c r="AD1399" s="30"/>
      <c r="AE1399" s="30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30"/>
      <c r="BK1399" s="30"/>
      <c r="BL1399" s="30"/>
      <c r="BM1399" s="30"/>
      <c r="BN1399" s="30"/>
      <c r="BO1399" s="30"/>
      <c r="BP1399" s="30"/>
      <c r="BQ1399" s="30"/>
      <c r="BR1399" s="30"/>
      <c r="BS1399" s="30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30"/>
      <c r="CE1399" s="30"/>
      <c r="CF1399" s="30"/>
      <c r="CG1399" s="30"/>
      <c r="CH1399" s="30"/>
      <c r="CI1399" s="30"/>
      <c r="CJ1399" s="30"/>
      <c r="CK1399" s="30"/>
      <c r="CL1399" s="30"/>
      <c r="CM1399" s="30"/>
      <c r="CN1399" s="1"/>
      <c r="CO1399" s="1"/>
      <c r="CP1399" s="1"/>
      <c r="CQ1399" s="1"/>
      <c r="CR1399" s="1"/>
      <c r="CS1399" s="1"/>
      <c r="CT1399" s="1"/>
      <c r="CU1399" s="1"/>
      <c r="CV1399" s="1"/>
      <c r="CW1399" s="1"/>
    </row>
    <row r="1400" spans="2:101" ht="15" hidden="1" customHeight="1" x14ac:dyDescent="0.25"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30"/>
      <c r="W1400" s="30"/>
      <c r="X1400" s="30"/>
      <c r="Y1400" s="30"/>
      <c r="Z1400" s="30"/>
      <c r="AA1400" s="30"/>
      <c r="AB1400" s="30"/>
      <c r="AC1400" s="30"/>
      <c r="AD1400" s="30"/>
      <c r="AE1400" s="30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30"/>
      <c r="AQ1400" s="30"/>
      <c r="AR1400" s="30"/>
      <c r="AS1400" s="30"/>
      <c r="AT1400" s="30"/>
      <c r="AU1400" s="30"/>
      <c r="AV1400" s="30"/>
      <c r="AW1400" s="30"/>
      <c r="AX1400" s="30"/>
      <c r="AY1400" s="30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30"/>
      <c r="BK1400" s="30"/>
      <c r="BL1400" s="30"/>
      <c r="BM1400" s="30"/>
      <c r="BN1400" s="30"/>
      <c r="BO1400" s="30"/>
      <c r="BP1400" s="30"/>
      <c r="BQ1400" s="30"/>
      <c r="BR1400" s="30"/>
      <c r="BS1400" s="30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30"/>
      <c r="CE1400" s="30"/>
      <c r="CF1400" s="30"/>
      <c r="CG1400" s="30"/>
      <c r="CH1400" s="30"/>
      <c r="CI1400" s="30"/>
      <c r="CJ1400" s="30"/>
      <c r="CK1400" s="30"/>
      <c r="CL1400" s="30"/>
      <c r="CM1400" s="30"/>
      <c r="CN1400" s="1"/>
      <c r="CO1400" s="1"/>
      <c r="CP1400" s="1"/>
      <c r="CQ1400" s="1"/>
      <c r="CR1400" s="1"/>
      <c r="CS1400" s="1"/>
      <c r="CT1400" s="1"/>
      <c r="CU1400" s="1"/>
      <c r="CV1400" s="1"/>
      <c r="CW1400" s="1"/>
    </row>
    <row r="1401" spans="2:101" ht="15" hidden="1" customHeight="1" x14ac:dyDescent="0.25"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30"/>
      <c r="W1401" s="30"/>
      <c r="X1401" s="30"/>
      <c r="Y1401" s="30"/>
      <c r="Z1401" s="30"/>
      <c r="AA1401" s="30"/>
      <c r="AB1401" s="30"/>
      <c r="AC1401" s="30"/>
      <c r="AD1401" s="30"/>
      <c r="AE1401" s="30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30"/>
      <c r="AQ1401" s="30"/>
      <c r="AR1401" s="30"/>
      <c r="AS1401" s="30"/>
      <c r="AT1401" s="30"/>
      <c r="AU1401" s="30"/>
      <c r="AV1401" s="30"/>
      <c r="AW1401" s="30"/>
      <c r="AX1401" s="30"/>
      <c r="AY1401" s="30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30"/>
      <c r="BK1401" s="30"/>
      <c r="BL1401" s="30"/>
      <c r="BM1401" s="30"/>
      <c r="BN1401" s="30"/>
      <c r="BO1401" s="30"/>
      <c r="BP1401" s="30"/>
      <c r="BQ1401" s="30"/>
      <c r="BR1401" s="30"/>
      <c r="BS1401" s="30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30"/>
      <c r="CE1401" s="30"/>
      <c r="CF1401" s="30"/>
      <c r="CG1401" s="30"/>
      <c r="CH1401" s="30"/>
      <c r="CI1401" s="30"/>
      <c r="CJ1401" s="30"/>
      <c r="CK1401" s="30"/>
      <c r="CL1401" s="30"/>
      <c r="CM1401" s="30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</row>
    <row r="1402" spans="2:101" ht="15" hidden="1" customHeight="1" x14ac:dyDescent="0.25"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30"/>
      <c r="W1402" s="30"/>
      <c r="X1402" s="30"/>
      <c r="Y1402" s="30"/>
      <c r="Z1402" s="30"/>
      <c r="AA1402" s="30"/>
      <c r="AB1402" s="30"/>
      <c r="AC1402" s="30"/>
      <c r="AD1402" s="30"/>
      <c r="AE1402" s="30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30"/>
      <c r="AQ1402" s="30"/>
      <c r="AR1402" s="30"/>
      <c r="AS1402" s="30"/>
      <c r="AT1402" s="30"/>
      <c r="AU1402" s="30"/>
      <c r="AV1402" s="30"/>
      <c r="AW1402" s="30"/>
      <c r="AX1402" s="30"/>
      <c r="AY1402" s="30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30"/>
      <c r="BK1402" s="30"/>
      <c r="BL1402" s="30"/>
      <c r="BM1402" s="30"/>
      <c r="BN1402" s="30"/>
      <c r="BO1402" s="30"/>
      <c r="BP1402" s="30"/>
      <c r="BQ1402" s="30"/>
      <c r="BR1402" s="30"/>
      <c r="BS1402" s="30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30"/>
      <c r="CE1402" s="30"/>
      <c r="CF1402" s="30"/>
      <c r="CG1402" s="30"/>
      <c r="CH1402" s="30"/>
      <c r="CI1402" s="30"/>
      <c r="CJ1402" s="30"/>
      <c r="CK1402" s="30"/>
      <c r="CL1402" s="30"/>
      <c r="CM1402" s="30"/>
      <c r="CN1402" s="1"/>
      <c r="CO1402" s="1"/>
      <c r="CP1402" s="1"/>
      <c r="CQ1402" s="1"/>
      <c r="CR1402" s="1"/>
      <c r="CS1402" s="1"/>
      <c r="CT1402" s="1"/>
      <c r="CU1402" s="1"/>
      <c r="CV1402" s="1"/>
      <c r="CW1402" s="1"/>
    </row>
    <row r="1403" spans="2:101" ht="15" hidden="1" customHeight="1" x14ac:dyDescent="0.25"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30"/>
      <c r="W1403" s="30"/>
      <c r="X1403" s="30"/>
      <c r="Y1403" s="30"/>
      <c r="Z1403" s="30"/>
      <c r="AA1403" s="30"/>
      <c r="AB1403" s="30"/>
      <c r="AC1403" s="30"/>
      <c r="AD1403" s="30"/>
      <c r="AE1403" s="30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30"/>
      <c r="AQ1403" s="30"/>
      <c r="AR1403" s="30"/>
      <c r="AS1403" s="30"/>
      <c r="AT1403" s="30"/>
      <c r="AU1403" s="30"/>
      <c r="AV1403" s="30"/>
      <c r="AW1403" s="30"/>
      <c r="AX1403" s="30"/>
      <c r="AY1403" s="30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30"/>
      <c r="BK1403" s="30"/>
      <c r="BL1403" s="30"/>
      <c r="BM1403" s="30"/>
      <c r="BN1403" s="30"/>
      <c r="BO1403" s="30"/>
      <c r="BP1403" s="30"/>
      <c r="BQ1403" s="30"/>
      <c r="BR1403" s="30"/>
      <c r="BS1403" s="30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30"/>
      <c r="CE1403" s="30"/>
      <c r="CF1403" s="30"/>
      <c r="CG1403" s="30"/>
      <c r="CH1403" s="30"/>
      <c r="CI1403" s="30"/>
      <c r="CJ1403" s="30"/>
      <c r="CK1403" s="30"/>
      <c r="CL1403" s="30"/>
      <c r="CM1403" s="30"/>
      <c r="CN1403" s="1"/>
      <c r="CO1403" s="1"/>
      <c r="CP1403" s="1"/>
      <c r="CQ1403" s="1"/>
      <c r="CR1403" s="1"/>
      <c r="CS1403" s="1"/>
      <c r="CT1403" s="1"/>
      <c r="CU1403" s="1"/>
      <c r="CV1403" s="1"/>
      <c r="CW1403" s="1"/>
    </row>
    <row r="1404" spans="2:101" ht="15" hidden="1" customHeight="1" x14ac:dyDescent="0.25"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30"/>
      <c r="W1404" s="30"/>
      <c r="X1404" s="30"/>
      <c r="Y1404" s="30"/>
      <c r="Z1404" s="30"/>
      <c r="AA1404" s="30"/>
      <c r="AB1404" s="30"/>
      <c r="AC1404" s="30"/>
      <c r="AD1404" s="30"/>
      <c r="AE1404" s="30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30"/>
      <c r="AQ1404" s="30"/>
      <c r="AR1404" s="30"/>
      <c r="AS1404" s="30"/>
      <c r="AT1404" s="30"/>
      <c r="AU1404" s="30"/>
      <c r="AV1404" s="30"/>
      <c r="AW1404" s="30"/>
      <c r="AX1404" s="30"/>
      <c r="AY1404" s="30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30"/>
      <c r="BK1404" s="30"/>
      <c r="BL1404" s="30"/>
      <c r="BM1404" s="30"/>
      <c r="BN1404" s="30"/>
      <c r="BO1404" s="30"/>
      <c r="BP1404" s="30"/>
      <c r="BQ1404" s="30"/>
      <c r="BR1404" s="30"/>
      <c r="BS1404" s="30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30"/>
      <c r="CE1404" s="30"/>
      <c r="CF1404" s="30"/>
      <c r="CG1404" s="30"/>
      <c r="CH1404" s="30"/>
      <c r="CI1404" s="30"/>
      <c r="CJ1404" s="30"/>
      <c r="CK1404" s="30"/>
      <c r="CL1404" s="30"/>
      <c r="CM1404" s="30"/>
      <c r="CN1404" s="1"/>
      <c r="CO1404" s="1"/>
      <c r="CP1404" s="1"/>
      <c r="CQ1404" s="1"/>
      <c r="CR1404" s="1"/>
      <c r="CS1404" s="1"/>
      <c r="CT1404" s="1"/>
      <c r="CU1404" s="1"/>
      <c r="CV1404" s="1"/>
      <c r="CW1404" s="1"/>
    </row>
    <row r="1405" spans="2:101" ht="15" hidden="1" customHeight="1" x14ac:dyDescent="0.25"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30"/>
      <c r="W1405" s="30"/>
      <c r="X1405" s="30"/>
      <c r="Y1405" s="30"/>
      <c r="Z1405" s="30"/>
      <c r="AA1405" s="30"/>
      <c r="AB1405" s="30"/>
      <c r="AC1405" s="30"/>
      <c r="AD1405" s="30"/>
      <c r="AE1405" s="30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30"/>
      <c r="AQ1405" s="30"/>
      <c r="AR1405" s="30"/>
      <c r="AS1405" s="30"/>
      <c r="AT1405" s="30"/>
      <c r="AU1405" s="30"/>
      <c r="AV1405" s="30"/>
      <c r="AW1405" s="30"/>
      <c r="AX1405" s="30"/>
      <c r="AY1405" s="30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30"/>
      <c r="BK1405" s="30"/>
      <c r="BL1405" s="30"/>
      <c r="BM1405" s="30"/>
      <c r="BN1405" s="30"/>
      <c r="BO1405" s="30"/>
      <c r="BP1405" s="30"/>
      <c r="BQ1405" s="30"/>
      <c r="BR1405" s="30"/>
      <c r="BS1405" s="30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30"/>
      <c r="CE1405" s="30"/>
      <c r="CF1405" s="30"/>
      <c r="CG1405" s="30"/>
      <c r="CH1405" s="30"/>
      <c r="CI1405" s="30"/>
      <c r="CJ1405" s="30"/>
      <c r="CK1405" s="30"/>
      <c r="CL1405" s="30"/>
      <c r="CM1405" s="30"/>
      <c r="CN1405" s="1"/>
      <c r="CO1405" s="1"/>
      <c r="CP1405" s="1"/>
      <c r="CQ1405" s="1"/>
      <c r="CR1405" s="1"/>
      <c r="CS1405" s="1"/>
      <c r="CT1405" s="1"/>
      <c r="CU1405" s="1"/>
      <c r="CV1405" s="1"/>
      <c r="CW1405" s="1"/>
    </row>
    <row r="1406" spans="2:101" ht="15" hidden="1" customHeight="1" x14ac:dyDescent="0.25"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30"/>
      <c r="W1406" s="30"/>
      <c r="X1406" s="30"/>
      <c r="Y1406" s="30"/>
      <c r="Z1406" s="30"/>
      <c r="AA1406" s="30"/>
      <c r="AB1406" s="30"/>
      <c r="AC1406" s="30"/>
      <c r="AD1406" s="30"/>
      <c r="AE1406" s="30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30"/>
      <c r="AQ1406" s="30"/>
      <c r="AR1406" s="30"/>
      <c r="AS1406" s="30"/>
      <c r="AT1406" s="30"/>
      <c r="AU1406" s="30"/>
      <c r="AV1406" s="30"/>
      <c r="AW1406" s="30"/>
      <c r="AX1406" s="30"/>
      <c r="AY1406" s="30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30"/>
      <c r="BK1406" s="30"/>
      <c r="BL1406" s="30"/>
      <c r="BM1406" s="30"/>
      <c r="BN1406" s="30"/>
      <c r="BO1406" s="30"/>
      <c r="BP1406" s="30"/>
      <c r="BQ1406" s="30"/>
      <c r="BR1406" s="30"/>
      <c r="BS1406" s="30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30"/>
      <c r="CE1406" s="30"/>
      <c r="CF1406" s="30"/>
      <c r="CG1406" s="30"/>
      <c r="CH1406" s="30"/>
      <c r="CI1406" s="30"/>
      <c r="CJ1406" s="30"/>
      <c r="CK1406" s="30"/>
      <c r="CL1406" s="30"/>
      <c r="CM1406" s="30"/>
      <c r="CN1406" s="1"/>
      <c r="CO1406" s="1"/>
      <c r="CP1406" s="1"/>
      <c r="CQ1406" s="1"/>
      <c r="CR1406" s="1"/>
      <c r="CS1406" s="1"/>
      <c r="CT1406" s="1"/>
      <c r="CU1406" s="1"/>
      <c r="CV1406" s="1"/>
      <c r="CW1406" s="1"/>
    </row>
    <row r="1407" spans="2:101" ht="15" hidden="1" customHeight="1" x14ac:dyDescent="0.25"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30"/>
      <c r="W1407" s="30"/>
      <c r="X1407" s="30"/>
      <c r="Y1407" s="30"/>
      <c r="Z1407" s="30"/>
      <c r="AA1407" s="30"/>
      <c r="AB1407" s="30"/>
      <c r="AC1407" s="30"/>
      <c r="AD1407" s="30"/>
      <c r="AE1407" s="30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30"/>
      <c r="AQ1407" s="30"/>
      <c r="AR1407" s="30"/>
      <c r="AS1407" s="30"/>
      <c r="AT1407" s="30"/>
      <c r="AU1407" s="30"/>
      <c r="AV1407" s="30"/>
      <c r="AW1407" s="30"/>
      <c r="AX1407" s="30"/>
      <c r="AY1407" s="30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30"/>
      <c r="BK1407" s="30"/>
      <c r="BL1407" s="30"/>
      <c r="BM1407" s="30"/>
      <c r="BN1407" s="30"/>
      <c r="BO1407" s="30"/>
      <c r="BP1407" s="30"/>
      <c r="BQ1407" s="30"/>
      <c r="BR1407" s="30"/>
      <c r="BS1407" s="30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30"/>
      <c r="CE1407" s="30"/>
      <c r="CF1407" s="30"/>
      <c r="CG1407" s="30"/>
      <c r="CH1407" s="30"/>
      <c r="CI1407" s="30"/>
      <c r="CJ1407" s="30"/>
      <c r="CK1407" s="30"/>
      <c r="CL1407" s="30"/>
      <c r="CM1407" s="30"/>
      <c r="CN1407" s="1"/>
      <c r="CO1407" s="1"/>
      <c r="CP1407" s="1"/>
      <c r="CQ1407" s="1"/>
      <c r="CR1407" s="1"/>
      <c r="CS1407" s="1"/>
      <c r="CT1407" s="1"/>
      <c r="CU1407" s="1"/>
      <c r="CV1407" s="1"/>
      <c r="CW1407" s="1"/>
    </row>
    <row r="1408" spans="2:101" ht="15" hidden="1" customHeight="1" x14ac:dyDescent="0.25"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30"/>
      <c r="W1408" s="30"/>
      <c r="X1408" s="30"/>
      <c r="Y1408" s="30"/>
      <c r="Z1408" s="30"/>
      <c r="AA1408" s="30"/>
      <c r="AB1408" s="30"/>
      <c r="AC1408" s="30"/>
      <c r="AD1408" s="30"/>
      <c r="AE1408" s="30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30"/>
      <c r="AQ1408" s="30"/>
      <c r="AR1408" s="30"/>
      <c r="AS1408" s="30"/>
      <c r="AT1408" s="30"/>
      <c r="AU1408" s="30"/>
      <c r="AV1408" s="30"/>
      <c r="AW1408" s="30"/>
      <c r="AX1408" s="30"/>
      <c r="AY1408" s="30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30"/>
      <c r="BK1408" s="30"/>
      <c r="BL1408" s="30"/>
      <c r="BM1408" s="30"/>
      <c r="BN1408" s="30"/>
      <c r="BO1408" s="30"/>
      <c r="BP1408" s="30"/>
      <c r="BQ1408" s="30"/>
      <c r="BR1408" s="30"/>
      <c r="BS1408" s="30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30"/>
      <c r="CE1408" s="30"/>
      <c r="CF1408" s="30"/>
      <c r="CG1408" s="30"/>
      <c r="CH1408" s="30"/>
      <c r="CI1408" s="30"/>
      <c r="CJ1408" s="30"/>
      <c r="CK1408" s="30"/>
      <c r="CL1408" s="30"/>
      <c r="CM1408" s="30"/>
      <c r="CN1408" s="1"/>
      <c r="CO1408" s="1"/>
      <c r="CP1408" s="1"/>
      <c r="CQ1408" s="1"/>
      <c r="CR1408" s="1"/>
      <c r="CS1408" s="1"/>
      <c r="CT1408" s="1"/>
      <c r="CU1408" s="1"/>
      <c r="CV1408" s="1"/>
      <c r="CW1408" s="1"/>
    </row>
    <row r="1409" spans="2:101" ht="15" hidden="1" customHeight="1" x14ac:dyDescent="0.25"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30"/>
      <c r="W1409" s="30"/>
      <c r="X1409" s="30"/>
      <c r="Y1409" s="30"/>
      <c r="Z1409" s="30"/>
      <c r="AA1409" s="30"/>
      <c r="AB1409" s="30"/>
      <c r="AC1409" s="30"/>
      <c r="AD1409" s="30"/>
      <c r="AE1409" s="30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30"/>
      <c r="AQ1409" s="30"/>
      <c r="AR1409" s="30"/>
      <c r="AS1409" s="30"/>
      <c r="AT1409" s="30"/>
      <c r="AU1409" s="30"/>
      <c r="AV1409" s="30"/>
      <c r="AW1409" s="30"/>
      <c r="AX1409" s="30"/>
      <c r="AY1409" s="30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30"/>
      <c r="BK1409" s="30"/>
      <c r="BL1409" s="30"/>
      <c r="BM1409" s="30"/>
      <c r="BN1409" s="30"/>
      <c r="BO1409" s="30"/>
      <c r="BP1409" s="30"/>
      <c r="BQ1409" s="30"/>
      <c r="BR1409" s="30"/>
      <c r="BS1409" s="30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30"/>
      <c r="CE1409" s="30"/>
      <c r="CF1409" s="30"/>
      <c r="CG1409" s="30"/>
      <c r="CH1409" s="30"/>
      <c r="CI1409" s="30"/>
      <c r="CJ1409" s="30"/>
      <c r="CK1409" s="30"/>
      <c r="CL1409" s="30"/>
      <c r="CM1409" s="30"/>
      <c r="CN1409" s="1"/>
      <c r="CO1409" s="1"/>
      <c r="CP1409" s="1"/>
      <c r="CQ1409" s="1"/>
      <c r="CR1409" s="1"/>
      <c r="CS1409" s="1"/>
      <c r="CT1409" s="1"/>
      <c r="CU1409" s="1"/>
      <c r="CV1409" s="1"/>
      <c r="CW1409" s="1"/>
    </row>
    <row r="1410" spans="2:101" ht="15" hidden="1" customHeight="1" x14ac:dyDescent="0.25"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30"/>
      <c r="W1410" s="30"/>
      <c r="X1410" s="30"/>
      <c r="Y1410" s="30"/>
      <c r="Z1410" s="30"/>
      <c r="AA1410" s="30"/>
      <c r="AB1410" s="30"/>
      <c r="AC1410" s="30"/>
      <c r="AD1410" s="30"/>
      <c r="AE1410" s="30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30"/>
      <c r="AQ1410" s="30"/>
      <c r="AR1410" s="30"/>
      <c r="AS1410" s="30"/>
      <c r="AT1410" s="30"/>
      <c r="AU1410" s="30"/>
      <c r="AV1410" s="30"/>
      <c r="AW1410" s="30"/>
      <c r="AX1410" s="30"/>
      <c r="AY1410" s="30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30"/>
      <c r="BK1410" s="30"/>
      <c r="BL1410" s="30"/>
      <c r="BM1410" s="30"/>
      <c r="BN1410" s="30"/>
      <c r="BO1410" s="30"/>
      <c r="BP1410" s="30"/>
      <c r="BQ1410" s="30"/>
      <c r="BR1410" s="30"/>
      <c r="BS1410" s="30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30"/>
      <c r="CE1410" s="30"/>
      <c r="CF1410" s="30"/>
      <c r="CG1410" s="30"/>
      <c r="CH1410" s="30"/>
      <c r="CI1410" s="30"/>
      <c r="CJ1410" s="30"/>
      <c r="CK1410" s="30"/>
      <c r="CL1410" s="30"/>
      <c r="CM1410" s="30"/>
      <c r="CN1410" s="1"/>
      <c r="CO1410" s="1"/>
      <c r="CP1410" s="1"/>
      <c r="CQ1410" s="1"/>
      <c r="CR1410" s="1"/>
      <c r="CS1410" s="1"/>
      <c r="CT1410" s="1"/>
      <c r="CU1410" s="1"/>
      <c r="CV1410" s="1"/>
      <c r="CW1410" s="1"/>
    </row>
    <row r="1411" spans="2:101" ht="15" hidden="1" customHeight="1" x14ac:dyDescent="0.25"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30"/>
      <c r="W1411" s="30"/>
      <c r="X1411" s="30"/>
      <c r="Y1411" s="30"/>
      <c r="Z1411" s="30"/>
      <c r="AA1411" s="30"/>
      <c r="AB1411" s="30"/>
      <c r="AC1411" s="30"/>
      <c r="AD1411" s="30"/>
      <c r="AE1411" s="30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30"/>
      <c r="AQ1411" s="30"/>
      <c r="AR1411" s="30"/>
      <c r="AS1411" s="30"/>
      <c r="AT1411" s="30"/>
      <c r="AU1411" s="30"/>
      <c r="AV1411" s="30"/>
      <c r="AW1411" s="30"/>
      <c r="AX1411" s="30"/>
      <c r="AY1411" s="30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30"/>
      <c r="BK1411" s="30"/>
      <c r="BL1411" s="30"/>
      <c r="BM1411" s="30"/>
      <c r="BN1411" s="30"/>
      <c r="BO1411" s="30"/>
      <c r="BP1411" s="30"/>
      <c r="BQ1411" s="30"/>
      <c r="BR1411" s="30"/>
      <c r="BS1411" s="30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30"/>
      <c r="CE1411" s="30"/>
      <c r="CF1411" s="30"/>
      <c r="CG1411" s="30"/>
      <c r="CH1411" s="30"/>
      <c r="CI1411" s="30"/>
      <c r="CJ1411" s="30"/>
      <c r="CK1411" s="30"/>
      <c r="CL1411" s="30"/>
      <c r="CM1411" s="30"/>
      <c r="CN1411" s="1"/>
      <c r="CO1411" s="1"/>
      <c r="CP1411" s="1"/>
      <c r="CQ1411" s="1"/>
      <c r="CR1411" s="1"/>
      <c r="CS1411" s="1"/>
      <c r="CT1411" s="1"/>
      <c r="CU1411" s="1"/>
      <c r="CV1411" s="1"/>
      <c r="CW1411" s="1"/>
    </row>
    <row r="1412" spans="2:101" ht="15" hidden="1" customHeight="1" x14ac:dyDescent="0.25"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30"/>
      <c r="W1412" s="30"/>
      <c r="X1412" s="30"/>
      <c r="Y1412" s="30"/>
      <c r="Z1412" s="30"/>
      <c r="AA1412" s="30"/>
      <c r="AB1412" s="30"/>
      <c r="AC1412" s="30"/>
      <c r="AD1412" s="30"/>
      <c r="AE1412" s="30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30"/>
      <c r="AQ1412" s="30"/>
      <c r="AR1412" s="30"/>
      <c r="AS1412" s="30"/>
      <c r="AT1412" s="30"/>
      <c r="AU1412" s="30"/>
      <c r="AV1412" s="30"/>
      <c r="AW1412" s="30"/>
      <c r="AX1412" s="30"/>
      <c r="AY1412" s="30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30"/>
      <c r="BK1412" s="30"/>
      <c r="BL1412" s="30"/>
      <c r="BM1412" s="30"/>
      <c r="BN1412" s="30"/>
      <c r="BO1412" s="30"/>
      <c r="BP1412" s="30"/>
      <c r="BQ1412" s="30"/>
      <c r="BR1412" s="30"/>
      <c r="BS1412" s="30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30"/>
      <c r="CE1412" s="30"/>
      <c r="CF1412" s="30"/>
      <c r="CG1412" s="30"/>
      <c r="CH1412" s="30"/>
      <c r="CI1412" s="30"/>
      <c r="CJ1412" s="30"/>
      <c r="CK1412" s="30"/>
      <c r="CL1412" s="30"/>
      <c r="CM1412" s="30"/>
      <c r="CN1412" s="1"/>
      <c r="CO1412" s="1"/>
      <c r="CP1412" s="1"/>
      <c r="CQ1412" s="1"/>
      <c r="CR1412" s="1"/>
      <c r="CS1412" s="1"/>
      <c r="CT1412" s="1"/>
      <c r="CU1412" s="1"/>
      <c r="CV1412" s="1"/>
      <c r="CW1412" s="1"/>
    </row>
    <row r="1413" spans="2:101" ht="15" hidden="1" customHeight="1" x14ac:dyDescent="0.25"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30"/>
      <c r="W1413" s="30"/>
      <c r="X1413" s="30"/>
      <c r="Y1413" s="30"/>
      <c r="Z1413" s="30"/>
      <c r="AA1413" s="30"/>
      <c r="AB1413" s="30"/>
      <c r="AC1413" s="30"/>
      <c r="AD1413" s="30"/>
      <c r="AE1413" s="30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30"/>
      <c r="AQ1413" s="30"/>
      <c r="AR1413" s="30"/>
      <c r="AS1413" s="30"/>
      <c r="AT1413" s="30"/>
      <c r="AU1413" s="30"/>
      <c r="AV1413" s="30"/>
      <c r="AW1413" s="30"/>
      <c r="AX1413" s="30"/>
      <c r="AY1413" s="30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30"/>
      <c r="BK1413" s="30"/>
      <c r="BL1413" s="30"/>
      <c r="BM1413" s="30"/>
      <c r="BN1413" s="30"/>
      <c r="BO1413" s="30"/>
      <c r="BP1413" s="30"/>
      <c r="BQ1413" s="30"/>
      <c r="BR1413" s="30"/>
      <c r="BS1413" s="30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30"/>
      <c r="CE1413" s="30"/>
      <c r="CF1413" s="30"/>
      <c r="CG1413" s="30"/>
      <c r="CH1413" s="30"/>
      <c r="CI1413" s="30"/>
      <c r="CJ1413" s="30"/>
      <c r="CK1413" s="30"/>
      <c r="CL1413" s="30"/>
      <c r="CM1413" s="30"/>
      <c r="CN1413" s="1"/>
      <c r="CO1413" s="1"/>
      <c r="CP1413" s="1"/>
      <c r="CQ1413" s="1"/>
      <c r="CR1413" s="1"/>
      <c r="CS1413" s="1"/>
      <c r="CT1413" s="1"/>
      <c r="CU1413" s="1"/>
      <c r="CV1413" s="1"/>
      <c r="CW1413" s="1"/>
    </row>
    <row r="1414" spans="2:101" ht="15" hidden="1" customHeight="1" x14ac:dyDescent="0.25"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30"/>
      <c r="W1414" s="30"/>
      <c r="X1414" s="30"/>
      <c r="Y1414" s="30"/>
      <c r="Z1414" s="30"/>
      <c r="AA1414" s="30"/>
      <c r="AB1414" s="30"/>
      <c r="AC1414" s="30"/>
      <c r="AD1414" s="30"/>
      <c r="AE1414" s="30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30"/>
      <c r="AQ1414" s="30"/>
      <c r="AR1414" s="30"/>
      <c r="AS1414" s="30"/>
      <c r="AT1414" s="30"/>
      <c r="AU1414" s="30"/>
      <c r="AV1414" s="30"/>
      <c r="AW1414" s="30"/>
      <c r="AX1414" s="30"/>
      <c r="AY1414" s="30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30"/>
      <c r="BK1414" s="30"/>
      <c r="BL1414" s="30"/>
      <c r="BM1414" s="30"/>
      <c r="BN1414" s="30"/>
      <c r="BO1414" s="30"/>
      <c r="BP1414" s="30"/>
      <c r="BQ1414" s="30"/>
      <c r="BR1414" s="30"/>
      <c r="BS1414" s="30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30"/>
      <c r="CE1414" s="30"/>
      <c r="CF1414" s="30"/>
      <c r="CG1414" s="30"/>
      <c r="CH1414" s="30"/>
      <c r="CI1414" s="30"/>
      <c r="CJ1414" s="30"/>
      <c r="CK1414" s="30"/>
      <c r="CL1414" s="30"/>
      <c r="CM1414" s="30"/>
      <c r="CN1414" s="1"/>
      <c r="CO1414" s="1"/>
      <c r="CP1414" s="1"/>
      <c r="CQ1414" s="1"/>
      <c r="CR1414" s="1"/>
      <c r="CS1414" s="1"/>
      <c r="CT1414" s="1"/>
      <c r="CU1414" s="1"/>
      <c r="CV1414" s="1"/>
      <c r="CW1414" s="1"/>
    </row>
    <row r="1415" spans="2:101" ht="15" hidden="1" customHeight="1" x14ac:dyDescent="0.25"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30"/>
      <c r="W1415" s="30"/>
      <c r="X1415" s="30"/>
      <c r="Y1415" s="30"/>
      <c r="Z1415" s="30"/>
      <c r="AA1415" s="30"/>
      <c r="AB1415" s="30"/>
      <c r="AC1415" s="30"/>
      <c r="AD1415" s="30"/>
      <c r="AE1415" s="30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30"/>
      <c r="AQ1415" s="30"/>
      <c r="AR1415" s="30"/>
      <c r="AS1415" s="30"/>
      <c r="AT1415" s="30"/>
      <c r="AU1415" s="30"/>
      <c r="AV1415" s="30"/>
      <c r="AW1415" s="30"/>
      <c r="AX1415" s="30"/>
      <c r="AY1415" s="30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30"/>
      <c r="BK1415" s="30"/>
      <c r="BL1415" s="30"/>
      <c r="BM1415" s="30"/>
      <c r="BN1415" s="30"/>
      <c r="BO1415" s="30"/>
      <c r="BP1415" s="30"/>
      <c r="BQ1415" s="30"/>
      <c r="BR1415" s="30"/>
      <c r="BS1415" s="30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30"/>
      <c r="CE1415" s="30"/>
      <c r="CF1415" s="30"/>
      <c r="CG1415" s="30"/>
      <c r="CH1415" s="30"/>
      <c r="CI1415" s="30"/>
      <c r="CJ1415" s="30"/>
      <c r="CK1415" s="30"/>
      <c r="CL1415" s="30"/>
      <c r="CM1415" s="30"/>
      <c r="CN1415" s="1"/>
      <c r="CO1415" s="1"/>
      <c r="CP1415" s="1"/>
      <c r="CQ1415" s="1"/>
      <c r="CR1415" s="1"/>
      <c r="CS1415" s="1"/>
      <c r="CT1415" s="1"/>
      <c r="CU1415" s="1"/>
      <c r="CV1415" s="1"/>
      <c r="CW1415" s="1"/>
    </row>
    <row r="1416" spans="2:101" ht="15" hidden="1" customHeight="1" x14ac:dyDescent="0.25"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30"/>
      <c r="W1416" s="30"/>
      <c r="X1416" s="30"/>
      <c r="Y1416" s="30"/>
      <c r="Z1416" s="30"/>
      <c r="AA1416" s="30"/>
      <c r="AB1416" s="30"/>
      <c r="AC1416" s="30"/>
      <c r="AD1416" s="30"/>
      <c r="AE1416" s="30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30"/>
      <c r="AQ1416" s="30"/>
      <c r="AR1416" s="30"/>
      <c r="AS1416" s="30"/>
      <c r="AT1416" s="30"/>
      <c r="AU1416" s="30"/>
      <c r="AV1416" s="30"/>
      <c r="AW1416" s="30"/>
      <c r="AX1416" s="30"/>
      <c r="AY1416" s="30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30"/>
      <c r="BK1416" s="30"/>
      <c r="BL1416" s="30"/>
      <c r="BM1416" s="30"/>
      <c r="BN1416" s="30"/>
      <c r="BO1416" s="30"/>
      <c r="BP1416" s="30"/>
      <c r="BQ1416" s="30"/>
      <c r="BR1416" s="30"/>
      <c r="BS1416" s="30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30"/>
      <c r="CE1416" s="30"/>
      <c r="CF1416" s="30"/>
      <c r="CG1416" s="30"/>
      <c r="CH1416" s="30"/>
      <c r="CI1416" s="30"/>
      <c r="CJ1416" s="30"/>
      <c r="CK1416" s="30"/>
      <c r="CL1416" s="30"/>
      <c r="CM1416" s="30"/>
      <c r="CN1416" s="1"/>
      <c r="CO1416" s="1"/>
      <c r="CP1416" s="1"/>
      <c r="CQ1416" s="1"/>
      <c r="CR1416" s="1"/>
      <c r="CS1416" s="1"/>
      <c r="CT1416" s="1"/>
      <c r="CU1416" s="1"/>
      <c r="CV1416" s="1"/>
      <c r="CW1416" s="1"/>
    </row>
    <row r="1417" spans="2:101" ht="15" hidden="1" customHeight="1" x14ac:dyDescent="0.25"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30"/>
      <c r="W1417" s="30"/>
      <c r="X1417" s="30"/>
      <c r="Y1417" s="30"/>
      <c r="Z1417" s="30"/>
      <c r="AA1417" s="30"/>
      <c r="AB1417" s="30"/>
      <c r="AC1417" s="30"/>
      <c r="AD1417" s="30"/>
      <c r="AE1417" s="30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30"/>
      <c r="AQ1417" s="30"/>
      <c r="AR1417" s="30"/>
      <c r="AS1417" s="30"/>
      <c r="AT1417" s="30"/>
      <c r="AU1417" s="30"/>
      <c r="AV1417" s="30"/>
      <c r="AW1417" s="30"/>
      <c r="AX1417" s="30"/>
      <c r="AY1417" s="30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30"/>
      <c r="BK1417" s="30"/>
      <c r="BL1417" s="30"/>
      <c r="BM1417" s="30"/>
      <c r="BN1417" s="30"/>
      <c r="BO1417" s="30"/>
      <c r="BP1417" s="30"/>
      <c r="BQ1417" s="30"/>
      <c r="BR1417" s="30"/>
      <c r="BS1417" s="30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30"/>
      <c r="CE1417" s="30"/>
      <c r="CF1417" s="30"/>
      <c r="CG1417" s="30"/>
      <c r="CH1417" s="30"/>
      <c r="CI1417" s="30"/>
      <c r="CJ1417" s="30"/>
      <c r="CK1417" s="30"/>
      <c r="CL1417" s="30"/>
      <c r="CM1417" s="30"/>
      <c r="CN1417" s="1"/>
      <c r="CO1417" s="1"/>
      <c r="CP1417" s="1"/>
      <c r="CQ1417" s="1"/>
      <c r="CR1417" s="1"/>
      <c r="CS1417" s="1"/>
      <c r="CT1417" s="1"/>
      <c r="CU1417" s="1"/>
      <c r="CV1417" s="1"/>
      <c r="CW1417" s="1"/>
    </row>
    <row r="1418" spans="2:101" ht="15" hidden="1" customHeight="1" x14ac:dyDescent="0.25"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30"/>
      <c r="W1418" s="30"/>
      <c r="X1418" s="30"/>
      <c r="Y1418" s="30"/>
      <c r="Z1418" s="30"/>
      <c r="AA1418" s="30"/>
      <c r="AB1418" s="30"/>
      <c r="AC1418" s="30"/>
      <c r="AD1418" s="30"/>
      <c r="AE1418" s="30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30"/>
      <c r="AQ1418" s="30"/>
      <c r="AR1418" s="30"/>
      <c r="AS1418" s="30"/>
      <c r="AT1418" s="30"/>
      <c r="AU1418" s="30"/>
      <c r="AV1418" s="30"/>
      <c r="AW1418" s="30"/>
      <c r="AX1418" s="30"/>
      <c r="AY1418" s="30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30"/>
      <c r="BK1418" s="30"/>
      <c r="BL1418" s="30"/>
      <c r="BM1418" s="30"/>
      <c r="BN1418" s="30"/>
      <c r="BO1418" s="30"/>
      <c r="BP1418" s="30"/>
      <c r="BQ1418" s="30"/>
      <c r="BR1418" s="30"/>
      <c r="BS1418" s="30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30"/>
      <c r="CE1418" s="30"/>
      <c r="CF1418" s="30"/>
      <c r="CG1418" s="30"/>
      <c r="CH1418" s="30"/>
      <c r="CI1418" s="30"/>
      <c r="CJ1418" s="30"/>
      <c r="CK1418" s="30"/>
      <c r="CL1418" s="30"/>
      <c r="CM1418" s="30"/>
      <c r="CN1418" s="1"/>
      <c r="CO1418" s="1"/>
      <c r="CP1418" s="1"/>
      <c r="CQ1418" s="1"/>
      <c r="CR1418" s="1"/>
      <c r="CS1418" s="1"/>
      <c r="CT1418" s="1"/>
      <c r="CU1418" s="1"/>
      <c r="CV1418" s="1"/>
      <c r="CW1418" s="1"/>
    </row>
    <row r="1419" spans="2:101" ht="15" hidden="1" customHeight="1" x14ac:dyDescent="0.25"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30"/>
      <c r="W1419" s="30"/>
      <c r="X1419" s="30"/>
      <c r="Y1419" s="30"/>
      <c r="Z1419" s="30"/>
      <c r="AA1419" s="30"/>
      <c r="AB1419" s="30"/>
      <c r="AC1419" s="30"/>
      <c r="AD1419" s="30"/>
      <c r="AE1419" s="30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30"/>
      <c r="AQ1419" s="30"/>
      <c r="AR1419" s="30"/>
      <c r="AS1419" s="30"/>
      <c r="AT1419" s="30"/>
      <c r="AU1419" s="30"/>
      <c r="AV1419" s="30"/>
      <c r="AW1419" s="30"/>
      <c r="AX1419" s="30"/>
      <c r="AY1419" s="30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30"/>
      <c r="BK1419" s="30"/>
      <c r="BL1419" s="30"/>
      <c r="BM1419" s="30"/>
      <c r="BN1419" s="30"/>
      <c r="BO1419" s="30"/>
      <c r="BP1419" s="30"/>
      <c r="BQ1419" s="30"/>
      <c r="BR1419" s="30"/>
      <c r="BS1419" s="30"/>
      <c r="BT1419" s="1"/>
      <c r="BU1419" s="1"/>
      <c r="BV1419" s="1"/>
      <c r="BW1419" s="1"/>
      <c r="BX1419" s="1"/>
      <c r="BY1419" s="1"/>
      <c r="BZ1419" s="1"/>
      <c r="CA1419" s="1"/>
      <c r="CB1419" s="1"/>
      <c r="CC1419" s="1"/>
      <c r="CD1419" s="30"/>
      <c r="CE1419" s="30"/>
      <c r="CF1419" s="30"/>
      <c r="CG1419" s="30"/>
      <c r="CH1419" s="30"/>
      <c r="CI1419" s="30"/>
      <c r="CJ1419" s="30"/>
      <c r="CK1419" s="30"/>
      <c r="CL1419" s="30"/>
      <c r="CM1419" s="30"/>
      <c r="CN1419" s="1"/>
      <c r="CO1419" s="1"/>
      <c r="CP1419" s="1"/>
      <c r="CQ1419" s="1"/>
      <c r="CR1419" s="1"/>
      <c r="CS1419" s="1"/>
      <c r="CT1419" s="1"/>
      <c r="CU1419" s="1"/>
      <c r="CV1419" s="1"/>
      <c r="CW1419" s="1"/>
    </row>
    <row r="1420" spans="2:101" ht="15" hidden="1" customHeight="1" x14ac:dyDescent="0.25"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30"/>
      <c r="W1420" s="30"/>
      <c r="X1420" s="30"/>
      <c r="Y1420" s="30"/>
      <c r="Z1420" s="30"/>
      <c r="AA1420" s="30"/>
      <c r="AB1420" s="30"/>
      <c r="AC1420" s="30"/>
      <c r="AD1420" s="30"/>
      <c r="AE1420" s="30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30"/>
      <c r="AQ1420" s="30"/>
      <c r="AR1420" s="30"/>
      <c r="AS1420" s="30"/>
      <c r="AT1420" s="30"/>
      <c r="AU1420" s="30"/>
      <c r="AV1420" s="30"/>
      <c r="AW1420" s="30"/>
      <c r="AX1420" s="30"/>
      <c r="AY1420" s="30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30"/>
      <c r="BK1420" s="30"/>
      <c r="BL1420" s="30"/>
      <c r="BM1420" s="30"/>
      <c r="BN1420" s="30"/>
      <c r="BO1420" s="30"/>
      <c r="BP1420" s="30"/>
      <c r="BQ1420" s="30"/>
      <c r="BR1420" s="30"/>
      <c r="BS1420" s="30"/>
      <c r="BT1420" s="1"/>
      <c r="BU1420" s="1"/>
      <c r="BV1420" s="1"/>
      <c r="BW1420" s="1"/>
      <c r="BX1420" s="1"/>
      <c r="BY1420" s="1"/>
      <c r="BZ1420" s="1"/>
      <c r="CA1420" s="1"/>
      <c r="CB1420" s="1"/>
      <c r="CC1420" s="1"/>
      <c r="CD1420" s="30"/>
      <c r="CE1420" s="30"/>
      <c r="CF1420" s="30"/>
      <c r="CG1420" s="30"/>
      <c r="CH1420" s="30"/>
      <c r="CI1420" s="30"/>
      <c r="CJ1420" s="30"/>
      <c r="CK1420" s="30"/>
      <c r="CL1420" s="30"/>
      <c r="CM1420" s="30"/>
      <c r="CN1420" s="1"/>
      <c r="CO1420" s="1"/>
      <c r="CP1420" s="1"/>
      <c r="CQ1420" s="1"/>
      <c r="CR1420" s="1"/>
      <c r="CS1420" s="1"/>
      <c r="CT1420" s="1"/>
      <c r="CU1420" s="1"/>
      <c r="CV1420" s="1"/>
      <c r="CW1420" s="1"/>
    </row>
    <row r="1421" spans="2:101" ht="15" hidden="1" customHeight="1" x14ac:dyDescent="0.25"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30"/>
      <c r="W1421" s="30"/>
      <c r="X1421" s="30"/>
      <c r="Y1421" s="30"/>
      <c r="Z1421" s="30"/>
      <c r="AA1421" s="30"/>
      <c r="AB1421" s="30"/>
      <c r="AC1421" s="30"/>
      <c r="AD1421" s="30"/>
      <c r="AE1421" s="30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30"/>
      <c r="AQ1421" s="30"/>
      <c r="AR1421" s="30"/>
      <c r="AS1421" s="30"/>
      <c r="AT1421" s="30"/>
      <c r="AU1421" s="30"/>
      <c r="AV1421" s="30"/>
      <c r="AW1421" s="30"/>
      <c r="AX1421" s="30"/>
      <c r="AY1421" s="30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30"/>
      <c r="BK1421" s="30"/>
      <c r="BL1421" s="30"/>
      <c r="BM1421" s="30"/>
      <c r="BN1421" s="30"/>
      <c r="BO1421" s="30"/>
      <c r="BP1421" s="30"/>
      <c r="BQ1421" s="30"/>
      <c r="BR1421" s="30"/>
      <c r="BS1421" s="30"/>
      <c r="BT1421" s="1"/>
      <c r="BU1421" s="1"/>
      <c r="BV1421" s="1"/>
      <c r="BW1421" s="1"/>
      <c r="BX1421" s="1"/>
      <c r="BY1421" s="1"/>
      <c r="BZ1421" s="1"/>
      <c r="CA1421" s="1"/>
      <c r="CB1421" s="1"/>
      <c r="CC1421" s="1"/>
      <c r="CD1421" s="30"/>
      <c r="CE1421" s="30"/>
      <c r="CF1421" s="30"/>
      <c r="CG1421" s="30"/>
      <c r="CH1421" s="30"/>
      <c r="CI1421" s="30"/>
      <c r="CJ1421" s="30"/>
      <c r="CK1421" s="30"/>
      <c r="CL1421" s="30"/>
      <c r="CM1421" s="30"/>
      <c r="CN1421" s="1"/>
      <c r="CO1421" s="1"/>
      <c r="CP1421" s="1"/>
      <c r="CQ1421" s="1"/>
      <c r="CR1421" s="1"/>
      <c r="CS1421" s="1"/>
      <c r="CT1421" s="1"/>
      <c r="CU1421" s="1"/>
      <c r="CV1421" s="1"/>
      <c r="CW1421" s="1"/>
    </row>
    <row r="1422" spans="2:101" ht="15" hidden="1" customHeight="1" x14ac:dyDescent="0.25"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30"/>
      <c r="W1422" s="30"/>
      <c r="X1422" s="30"/>
      <c r="Y1422" s="30"/>
      <c r="Z1422" s="30"/>
      <c r="AA1422" s="30"/>
      <c r="AB1422" s="30"/>
      <c r="AC1422" s="30"/>
      <c r="AD1422" s="30"/>
      <c r="AE1422" s="30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30"/>
      <c r="AQ1422" s="30"/>
      <c r="AR1422" s="30"/>
      <c r="AS1422" s="30"/>
      <c r="AT1422" s="30"/>
      <c r="AU1422" s="30"/>
      <c r="AV1422" s="30"/>
      <c r="AW1422" s="30"/>
      <c r="AX1422" s="30"/>
      <c r="AY1422" s="30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30"/>
      <c r="BK1422" s="30"/>
      <c r="BL1422" s="30"/>
      <c r="BM1422" s="30"/>
      <c r="BN1422" s="30"/>
      <c r="BO1422" s="30"/>
      <c r="BP1422" s="30"/>
      <c r="BQ1422" s="30"/>
      <c r="BR1422" s="30"/>
      <c r="BS1422" s="30"/>
      <c r="BT1422" s="1"/>
      <c r="BU1422" s="1"/>
      <c r="BV1422" s="1"/>
      <c r="BW1422" s="1"/>
      <c r="BX1422" s="1"/>
      <c r="BY1422" s="1"/>
      <c r="BZ1422" s="1"/>
      <c r="CA1422" s="1"/>
      <c r="CB1422" s="1"/>
      <c r="CC1422" s="1"/>
      <c r="CD1422" s="30"/>
      <c r="CE1422" s="30"/>
      <c r="CF1422" s="30"/>
      <c r="CG1422" s="30"/>
      <c r="CH1422" s="30"/>
      <c r="CI1422" s="30"/>
      <c r="CJ1422" s="30"/>
      <c r="CK1422" s="30"/>
      <c r="CL1422" s="30"/>
      <c r="CM1422" s="30"/>
      <c r="CN1422" s="1"/>
      <c r="CO1422" s="1"/>
      <c r="CP1422" s="1"/>
      <c r="CQ1422" s="1"/>
      <c r="CR1422" s="1"/>
      <c r="CS1422" s="1"/>
      <c r="CT1422" s="1"/>
      <c r="CU1422" s="1"/>
      <c r="CV1422" s="1"/>
      <c r="CW1422" s="1"/>
    </row>
    <row r="1423" spans="2:101" ht="15" hidden="1" customHeight="1" x14ac:dyDescent="0.25"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30"/>
      <c r="W1423" s="30"/>
      <c r="X1423" s="30"/>
      <c r="Y1423" s="30"/>
      <c r="Z1423" s="30"/>
      <c r="AA1423" s="30"/>
      <c r="AB1423" s="30"/>
      <c r="AC1423" s="30"/>
      <c r="AD1423" s="30"/>
      <c r="AE1423" s="30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30"/>
      <c r="AQ1423" s="30"/>
      <c r="AR1423" s="30"/>
      <c r="AS1423" s="30"/>
      <c r="AT1423" s="30"/>
      <c r="AU1423" s="30"/>
      <c r="AV1423" s="30"/>
      <c r="AW1423" s="30"/>
      <c r="AX1423" s="30"/>
      <c r="AY1423" s="30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30"/>
      <c r="BK1423" s="30"/>
      <c r="BL1423" s="30"/>
      <c r="BM1423" s="30"/>
      <c r="BN1423" s="30"/>
      <c r="BO1423" s="30"/>
      <c r="BP1423" s="30"/>
      <c r="BQ1423" s="30"/>
      <c r="BR1423" s="30"/>
      <c r="BS1423" s="30"/>
      <c r="BT1423" s="1"/>
      <c r="BU1423" s="1"/>
      <c r="BV1423" s="1"/>
      <c r="BW1423" s="1"/>
      <c r="BX1423" s="1"/>
      <c r="BY1423" s="1"/>
      <c r="BZ1423" s="1"/>
      <c r="CA1423" s="1"/>
      <c r="CB1423" s="1"/>
      <c r="CC1423" s="1"/>
      <c r="CD1423" s="30"/>
      <c r="CE1423" s="30"/>
      <c r="CF1423" s="30"/>
      <c r="CG1423" s="30"/>
      <c r="CH1423" s="30"/>
      <c r="CI1423" s="30"/>
      <c r="CJ1423" s="30"/>
      <c r="CK1423" s="30"/>
      <c r="CL1423" s="30"/>
      <c r="CM1423" s="30"/>
      <c r="CN1423" s="1"/>
      <c r="CO1423" s="1"/>
      <c r="CP1423" s="1"/>
      <c r="CQ1423" s="1"/>
      <c r="CR1423" s="1"/>
      <c r="CS1423" s="1"/>
      <c r="CT1423" s="1"/>
      <c r="CU1423" s="1"/>
      <c r="CV1423" s="1"/>
      <c r="CW1423" s="1"/>
    </row>
    <row r="1424" spans="2:101" ht="15" hidden="1" customHeight="1" x14ac:dyDescent="0.25"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30"/>
      <c r="W1424" s="30"/>
      <c r="X1424" s="30"/>
      <c r="Y1424" s="30"/>
      <c r="Z1424" s="30"/>
      <c r="AA1424" s="30"/>
      <c r="AB1424" s="30"/>
      <c r="AC1424" s="30"/>
      <c r="AD1424" s="30"/>
      <c r="AE1424" s="30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30"/>
      <c r="AQ1424" s="30"/>
      <c r="AR1424" s="30"/>
      <c r="AS1424" s="30"/>
      <c r="AT1424" s="30"/>
      <c r="AU1424" s="30"/>
      <c r="AV1424" s="30"/>
      <c r="AW1424" s="30"/>
      <c r="AX1424" s="30"/>
      <c r="AY1424" s="30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30"/>
      <c r="BK1424" s="30"/>
      <c r="BL1424" s="30"/>
      <c r="BM1424" s="30"/>
      <c r="BN1424" s="30"/>
      <c r="BO1424" s="30"/>
      <c r="BP1424" s="30"/>
      <c r="BQ1424" s="30"/>
      <c r="BR1424" s="30"/>
      <c r="BS1424" s="30"/>
      <c r="BT1424" s="1"/>
      <c r="BU1424" s="1"/>
      <c r="BV1424" s="1"/>
      <c r="BW1424" s="1"/>
      <c r="BX1424" s="1"/>
      <c r="BY1424" s="1"/>
      <c r="BZ1424" s="1"/>
      <c r="CA1424" s="1"/>
      <c r="CB1424" s="1"/>
      <c r="CC1424" s="1"/>
      <c r="CD1424" s="30"/>
      <c r="CE1424" s="30"/>
      <c r="CF1424" s="30"/>
      <c r="CG1424" s="30"/>
      <c r="CH1424" s="30"/>
      <c r="CI1424" s="30"/>
      <c r="CJ1424" s="30"/>
      <c r="CK1424" s="30"/>
      <c r="CL1424" s="30"/>
      <c r="CM1424" s="30"/>
      <c r="CN1424" s="1"/>
      <c r="CO1424" s="1"/>
      <c r="CP1424" s="1"/>
      <c r="CQ1424" s="1"/>
      <c r="CR1424" s="1"/>
      <c r="CS1424" s="1"/>
      <c r="CT1424" s="1"/>
      <c r="CU1424" s="1"/>
      <c r="CV1424" s="1"/>
      <c r="CW1424" s="1"/>
    </row>
    <row r="1425" spans="2:101" ht="15" hidden="1" customHeight="1" x14ac:dyDescent="0.25"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30"/>
      <c r="W1425" s="30"/>
      <c r="X1425" s="30"/>
      <c r="Y1425" s="30"/>
      <c r="Z1425" s="30"/>
      <c r="AA1425" s="30"/>
      <c r="AB1425" s="30"/>
      <c r="AC1425" s="30"/>
      <c r="AD1425" s="30"/>
      <c r="AE1425" s="30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30"/>
      <c r="AQ1425" s="30"/>
      <c r="AR1425" s="30"/>
      <c r="AS1425" s="30"/>
      <c r="AT1425" s="30"/>
      <c r="AU1425" s="30"/>
      <c r="AV1425" s="30"/>
      <c r="AW1425" s="30"/>
      <c r="AX1425" s="30"/>
      <c r="AY1425" s="30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30"/>
      <c r="BK1425" s="30"/>
      <c r="BL1425" s="30"/>
      <c r="BM1425" s="30"/>
      <c r="BN1425" s="30"/>
      <c r="BO1425" s="30"/>
      <c r="BP1425" s="30"/>
      <c r="BQ1425" s="30"/>
      <c r="BR1425" s="30"/>
      <c r="BS1425" s="30"/>
      <c r="BT1425" s="1"/>
      <c r="BU1425" s="1"/>
      <c r="BV1425" s="1"/>
      <c r="BW1425" s="1"/>
      <c r="BX1425" s="1"/>
      <c r="BY1425" s="1"/>
      <c r="BZ1425" s="1"/>
      <c r="CA1425" s="1"/>
      <c r="CB1425" s="1"/>
      <c r="CC1425" s="1"/>
      <c r="CD1425" s="30"/>
      <c r="CE1425" s="30"/>
      <c r="CF1425" s="30"/>
      <c r="CG1425" s="30"/>
      <c r="CH1425" s="30"/>
      <c r="CI1425" s="30"/>
      <c r="CJ1425" s="30"/>
      <c r="CK1425" s="30"/>
      <c r="CL1425" s="30"/>
      <c r="CM1425" s="30"/>
      <c r="CN1425" s="1"/>
      <c r="CO1425" s="1"/>
      <c r="CP1425" s="1"/>
      <c r="CQ1425" s="1"/>
      <c r="CR1425" s="1"/>
      <c r="CS1425" s="1"/>
      <c r="CT1425" s="1"/>
      <c r="CU1425" s="1"/>
      <c r="CV1425" s="1"/>
      <c r="CW1425" s="1"/>
    </row>
    <row r="1426" spans="2:101" ht="15" hidden="1" customHeight="1" x14ac:dyDescent="0.25"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30"/>
      <c r="W1426" s="30"/>
      <c r="X1426" s="30"/>
      <c r="Y1426" s="30"/>
      <c r="Z1426" s="30"/>
      <c r="AA1426" s="30"/>
      <c r="AB1426" s="30"/>
      <c r="AC1426" s="30"/>
      <c r="AD1426" s="30"/>
      <c r="AE1426" s="30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30"/>
      <c r="AQ1426" s="30"/>
      <c r="AR1426" s="30"/>
      <c r="AS1426" s="30"/>
      <c r="AT1426" s="30"/>
      <c r="AU1426" s="30"/>
      <c r="AV1426" s="30"/>
      <c r="AW1426" s="30"/>
      <c r="AX1426" s="30"/>
      <c r="AY1426" s="30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30"/>
      <c r="BK1426" s="30"/>
      <c r="BL1426" s="30"/>
      <c r="BM1426" s="30"/>
      <c r="BN1426" s="30"/>
      <c r="BO1426" s="30"/>
      <c r="BP1426" s="30"/>
      <c r="BQ1426" s="30"/>
      <c r="BR1426" s="30"/>
      <c r="BS1426" s="30"/>
      <c r="BT1426" s="1"/>
      <c r="BU1426" s="1"/>
      <c r="BV1426" s="1"/>
      <c r="BW1426" s="1"/>
      <c r="BX1426" s="1"/>
      <c r="BY1426" s="1"/>
      <c r="BZ1426" s="1"/>
      <c r="CA1426" s="1"/>
      <c r="CB1426" s="1"/>
      <c r="CC1426" s="1"/>
      <c r="CD1426" s="30"/>
      <c r="CE1426" s="30"/>
      <c r="CF1426" s="30"/>
      <c r="CG1426" s="30"/>
      <c r="CH1426" s="30"/>
      <c r="CI1426" s="30"/>
      <c r="CJ1426" s="30"/>
      <c r="CK1426" s="30"/>
      <c r="CL1426" s="30"/>
      <c r="CM1426" s="30"/>
      <c r="CN1426" s="1"/>
      <c r="CO1426" s="1"/>
      <c r="CP1426" s="1"/>
      <c r="CQ1426" s="1"/>
      <c r="CR1426" s="1"/>
      <c r="CS1426" s="1"/>
      <c r="CT1426" s="1"/>
      <c r="CU1426" s="1"/>
      <c r="CV1426" s="1"/>
      <c r="CW1426" s="1"/>
    </row>
    <row r="1427" spans="2:101" ht="15" hidden="1" customHeight="1" x14ac:dyDescent="0.25"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30"/>
      <c r="W1427" s="30"/>
      <c r="X1427" s="30"/>
      <c r="Y1427" s="30"/>
      <c r="Z1427" s="30"/>
      <c r="AA1427" s="30"/>
      <c r="AB1427" s="30"/>
      <c r="AC1427" s="30"/>
      <c r="AD1427" s="30"/>
      <c r="AE1427" s="30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30"/>
      <c r="AQ1427" s="30"/>
      <c r="AR1427" s="30"/>
      <c r="AS1427" s="30"/>
      <c r="AT1427" s="30"/>
      <c r="AU1427" s="30"/>
      <c r="AV1427" s="30"/>
      <c r="AW1427" s="30"/>
      <c r="AX1427" s="30"/>
      <c r="AY1427" s="30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30"/>
      <c r="BK1427" s="30"/>
      <c r="BL1427" s="30"/>
      <c r="BM1427" s="30"/>
      <c r="BN1427" s="30"/>
      <c r="BO1427" s="30"/>
      <c r="BP1427" s="30"/>
      <c r="BQ1427" s="30"/>
      <c r="BR1427" s="30"/>
      <c r="BS1427" s="30"/>
      <c r="BT1427" s="1"/>
      <c r="BU1427" s="1"/>
      <c r="BV1427" s="1"/>
      <c r="BW1427" s="1"/>
      <c r="BX1427" s="1"/>
      <c r="BY1427" s="1"/>
      <c r="BZ1427" s="1"/>
      <c r="CA1427" s="1"/>
      <c r="CB1427" s="1"/>
      <c r="CC1427" s="1"/>
      <c r="CD1427" s="30"/>
      <c r="CE1427" s="30"/>
      <c r="CF1427" s="30"/>
      <c r="CG1427" s="30"/>
      <c r="CH1427" s="30"/>
      <c r="CI1427" s="30"/>
      <c r="CJ1427" s="30"/>
      <c r="CK1427" s="30"/>
      <c r="CL1427" s="30"/>
      <c r="CM1427" s="30"/>
      <c r="CN1427" s="1"/>
      <c r="CO1427" s="1"/>
      <c r="CP1427" s="1"/>
      <c r="CQ1427" s="1"/>
      <c r="CR1427" s="1"/>
      <c r="CS1427" s="1"/>
      <c r="CT1427" s="1"/>
      <c r="CU1427" s="1"/>
      <c r="CV1427" s="1"/>
      <c r="CW1427" s="1"/>
    </row>
    <row r="1428" spans="2:101" ht="15" hidden="1" customHeight="1" x14ac:dyDescent="0.25"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30"/>
      <c r="W1428" s="30"/>
      <c r="X1428" s="30"/>
      <c r="Y1428" s="30"/>
      <c r="Z1428" s="30"/>
      <c r="AA1428" s="30"/>
      <c r="AB1428" s="30"/>
      <c r="AC1428" s="30"/>
      <c r="AD1428" s="30"/>
      <c r="AE1428" s="30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30"/>
      <c r="AQ1428" s="30"/>
      <c r="AR1428" s="30"/>
      <c r="AS1428" s="30"/>
      <c r="AT1428" s="30"/>
      <c r="AU1428" s="30"/>
      <c r="AV1428" s="30"/>
      <c r="AW1428" s="30"/>
      <c r="AX1428" s="30"/>
      <c r="AY1428" s="30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30"/>
      <c r="BK1428" s="30"/>
      <c r="BL1428" s="30"/>
      <c r="BM1428" s="30"/>
      <c r="BN1428" s="30"/>
      <c r="BO1428" s="30"/>
      <c r="BP1428" s="30"/>
      <c r="BQ1428" s="30"/>
      <c r="BR1428" s="30"/>
      <c r="BS1428" s="30"/>
      <c r="BT1428" s="1"/>
      <c r="BU1428" s="1"/>
      <c r="BV1428" s="1"/>
      <c r="BW1428" s="1"/>
      <c r="BX1428" s="1"/>
      <c r="BY1428" s="1"/>
      <c r="BZ1428" s="1"/>
      <c r="CA1428" s="1"/>
      <c r="CB1428" s="1"/>
      <c r="CC1428" s="1"/>
      <c r="CD1428" s="30"/>
      <c r="CE1428" s="30"/>
      <c r="CF1428" s="30"/>
      <c r="CG1428" s="30"/>
      <c r="CH1428" s="30"/>
      <c r="CI1428" s="30"/>
      <c r="CJ1428" s="30"/>
      <c r="CK1428" s="30"/>
      <c r="CL1428" s="30"/>
      <c r="CM1428" s="30"/>
      <c r="CN1428" s="1"/>
      <c r="CO1428" s="1"/>
      <c r="CP1428" s="1"/>
      <c r="CQ1428" s="1"/>
      <c r="CR1428" s="1"/>
      <c r="CS1428" s="1"/>
      <c r="CT1428" s="1"/>
      <c r="CU1428" s="1"/>
      <c r="CV1428" s="1"/>
      <c r="CW1428" s="1"/>
    </row>
    <row r="1429" spans="2:101" ht="15" hidden="1" customHeight="1" x14ac:dyDescent="0.25"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30"/>
      <c r="W1429" s="30"/>
      <c r="X1429" s="30"/>
      <c r="Y1429" s="30"/>
      <c r="Z1429" s="30"/>
      <c r="AA1429" s="30"/>
      <c r="AB1429" s="30"/>
      <c r="AC1429" s="30"/>
      <c r="AD1429" s="30"/>
      <c r="AE1429" s="30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30"/>
      <c r="AQ1429" s="30"/>
      <c r="AR1429" s="30"/>
      <c r="AS1429" s="30"/>
      <c r="AT1429" s="30"/>
      <c r="AU1429" s="30"/>
      <c r="AV1429" s="30"/>
      <c r="AW1429" s="30"/>
      <c r="AX1429" s="30"/>
      <c r="AY1429" s="30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30"/>
      <c r="BK1429" s="30"/>
      <c r="BL1429" s="30"/>
      <c r="BM1429" s="30"/>
      <c r="BN1429" s="30"/>
      <c r="BO1429" s="30"/>
      <c r="BP1429" s="30"/>
      <c r="BQ1429" s="30"/>
      <c r="BR1429" s="30"/>
      <c r="BS1429" s="30"/>
      <c r="BT1429" s="1"/>
      <c r="BU1429" s="1"/>
      <c r="BV1429" s="1"/>
      <c r="BW1429" s="1"/>
      <c r="BX1429" s="1"/>
      <c r="BY1429" s="1"/>
      <c r="BZ1429" s="1"/>
      <c r="CA1429" s="1"/>
      <c r="CB1429" s="1"/>
      <c r="CC1429" s="1"/>
      <c r="CD1429" s="30"/>
      <c r="CE1429" s="30"/>
      <c r="CF1429" s="30"/>
      <c r="CG1429" s="30"/>
      <c r="CH1429" s="30"/>
      <c r="CI1429" s="30"/>
      <c r="CJ1429" s="30"/>
      <c r="CK1429" s="30"/>
      <c r="CL1429" s="30"/>
      <c r="CM1429" s="30"/>
      <c r="CN1429" s="1"/>
      <c r="CO1429" s="1"/>
      <c r="CP1429" s="1"/>
      <c r="CQ1429" s="1"/>
      <c r="CR1429" s="1"/>
      <c r="CS1429" s="1"/>
      <c r="CT1429" s="1"/>
      <c r="CU1429" s="1"/>
      <c r="CV1429" s="1"/>
      <c r="CW1429" s="1"/>
    </row>
    <row r="1430" spans="2:101" ht="15" hidden="1" customHeight="1" x14ac:dyDescent="0.25"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30"/>
      <c r="W1430" s="30"/>
      <c r="X1430" s="30"/>
      <c r="Y1430" s="30"/>
      <c r="Z1430" s="30"/>
      <c r="AA1430" s="30"/>
      <c r="AB1430" s="30"/>
      <c r="AC1430" s="30"/>
      <c r="AD1430" s="30"/>
      <c r="AE1430" s="30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30"/>
      <c r="AQ1430" s="30"/>
      <c r="AR1430" s="30"/>
      <c r="AS1430" s="30"/>
      <c r="AT1430" s="30"/>
      <c r="AU1430" s="30"/>
      <c r="AV1430" s="30"/>
      <c r="AW1430" s="30"/>
      <c r="AX1430" s="30"/>
      <c r="AY1430" s="30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30"/>
      <c r="BK1430" s="30"/>
      <c r="BL1430" s="30"/>
      <c r="BM1430" s="30"/>
      <c r="BN1430" s="30"/>
      <c r="BO1430" s="30"/>
      <c r="BP1430" s="30"/>
      <c r="BQ1430" s="30"/>
      <c r="BR1430" s="30"/>
      <c r="BS1430" s="30"/>
      <c r="BT1430" s="1"/>
      <c r="BU1430" s="1"/>
      <c r="BV1430" s="1"/>
      <c r="BW1430" s="1"/>
      <c r="BX1430" s="1"/>
      <c r="BY1430" s="1"/>
      <c r="BZ1430" s="1"/>
      <c r="CA1430" s="1"/>
      <c r="CB1430" s="1"/>
      <c r="CC1430" s="1"/>
      <c r="CD1430" s="30"/>
      <c r="CE1430" s="30"/>
      <c r="CF1430" s="30"/>
      <c r="CG1430" s="30"/>
      <c r="CH1430" s="30"/>
      <c r="CI1430" s="30"/>
      <c r="CJ1430" s="30"/>
      <c r="CK1430" s="30"/>
      <c r="CL1430" s="30"/>
      <c r="CM1430" s="30"/>
      <c r="CN1430" s="1"/>
      <c r="CO1430" s="1"/>
      <c r="CP1430" s="1"/>
      <c r="CQ1430" s="1"/>
      <c r="CR1430" s="1"/>
      <c r="CS1430" s="1"/>
      <c r="CT1430" s="1"/>
      <c r="CU1430" s="1"/>
      <c r="CV1430" s="1"/>
      <c r="CW1430" s="1"/>
    </row>
    <row r="1431" spans="2:101" ht="15" hidden="1" customHeight="1" x14ac:dyDescent="0.25"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30"/>
      <c r="W1431" s="30"/>
      <c r="X1431" s="30"/>
      <c r="Y1431" s="30"/>
      <c r="Z1431" s="30"/>
      <c r="AA1431" s="30"/>
      <c r="AB1431" s="30"/>
      <c r="AC1431" s="30"/>
      <c r="AD1431" s="30"/>
      <c r="AE1431" s="30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30"/>
      <c r="AQ1431" s="30"/>
      <c r="AR1431" s="30"/>
      <c r="AS1431" s="30"/>
      <c r="AT1431" s="30"/>
      <c r="AU1431" s="30"/>
      <c r="AV1431" s="30"/>
      <c r="AW1431" s="30"/>
      <c r="AX1431" s="30"/>
      <c r="AY1431" s="30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30"/>
      <c r="BK1431" s="30"/>
      <c r="BL1431" s="30"/>
      <c r="BM1431" s="30"/>
      <c r="BN1431" s="30"/>
      <c r="BO1431" s="30"/>
      <c r="BP1431" s="30"/>
      <c r="BQ1431" s="30"/>
      <c r="BR1431" s="30"/>
      <c r="BS1431" s="30"/>
      <c r="BT1431" s="1"/>
      <c r="BU1431" s="1"/>
      <c r="BV1431" s="1"/>
      <c r="BW1431" s="1"/>
      <c r="BX1431" s="1"/>
      <c r="BY1431" s="1"/>
      <c r="BZ1431" s="1"/>
      <c r="CA1431" s="1"/>
      <c r="CB1431" s="1"/>
      <c r="CC1431" s="1"/>
      <c r="CD1431" s="30"/>
      <c r="CE1431" s="30"/>
      <c r="CF1431" s="30"/>
      <c r="CG1431" s="30"/>
      <c r="CH1431" s="30"/>
      <c r="CI1431" s="30"/>
      <c r="CJ1431" s="30"/>
      <c r="CK1431" s="30"/>
      <c r="CL1431" s="30"/>
      <c r="CM1431" s="30"/>
      <c r="CN1431" s="1"/>
      <c r="CO1431" s="1"/>
      <c r="CP1431" s="1"/>
      <c r="CQ1431" s="1"/>
      <c r="CR1431" s="1"/>
      <c r="CS1431" s="1"/>
      <c r="CT1431" s="1"/>
      <c r="CU1431" s="1"/>
      <c r="CV1431" s="1"/>
      <c r="CW1431" s="1"/>
    </row>
    <row r="1432" spans="2:101" ht="15" hidden="1" customHeight="1" x14ac:dyDescent="0.25"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30"/>
      <c r="W1432" s="30"/>
      <c r="X1432" s="30"/>
      <c r="Y1432" s="30"/>
      <c r="Z1432" s="30"/>
      <c r="AA1432" s="30"/>
      <c r="AB1432" s="30"/>
      <c r="AC1432" s="30"/>
      <c r="AD1432" s="30"/>
      <c r="AE1432" s="30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30"/>
      <c r="AQ1432" s="30"/>
      <c r="AR1432" s="30"/>
      <c r="AS1432" s="30"/>
      <c r="AT1432" s="30"/>
      <c r="AU1432" s="30"/>
      <c r="AV1432" s="30"/>
      <c r="AW1432" s="30"/>
      <c r="AX1432" s="30"/>
      <c r="AY1432" s="30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30"/>
      <c r="BK1432" s="30"/>
      <c r="BL1432" s="30"/>
      <c r="BM1432" s="30"/>
      <c r="BN1432" s="30"/>
      <c r="BO1432" s="30"/>
      <c r="BP1432" s="30"/>
      <c r="BQ1432" s="30"/>
      <c r="BR1432" s="30"/>
      <c r="BS1432" s="30"/>
      <c r="BT1432" s="1"/>
      <c r="BU1432" s="1"/>
      <c r="BV1432" s="1"/>
      <c r="BW1432" s="1"/>
      <c r="BX1432" s="1"/>
      <c r="BY1432" s="1"/>
      <c r="BZ1432" s="1"/>
      <c r="CA1432" s="1"/>
      <c r="CB1432" s="1"/>
      <c r="CC1432" s="1"/>
      <c r="CD1432" s="30"/>
      <c r="CE1432" s="30"/>
      <c r="CF1432" s="30"/>
      <c r="CG1432" s="30"/>
      <c r="CH1432" s="30"/>
      <c r="CI1432" s="30"/>
      <c r="CJ1432" s="30"/>
      <c r="CK1432" s="30"/>
      <c r="CL1432" s="30"/>
      <c r="CM1432" s="30"/>
      <c r="CN1432" s="1"/>
      <c r="CO1432" s="1"/>
      <c r="CP1432" s="1"/>
      <c r="CQ1432" s="1"/>
      <c r="CR1432" s="1"/>
      <c r="CS1432" s="1"/>
      <c r="CT1432" s="1"/>
      <c r="CU1432" s="1"/>
      <c r="CV1432" s="1"/>
      <c r="CW1432" s="1"/>
    </row>
    <row r="1433" spans="2:101" ht="15" hidden="1" customHeight="1" x14ac:dyDescent="0.25"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30"/>
      <c r="W1433" s="30"/>
      <c r="X1433" s="30"/>
      <c r="Y1433" s="30"/>
      <c r="Z1433" s="30"/>
      <c r="AA1433" s="30"/>
      <c r="AB1433" s="30"/>
      <c r="AC1433" s="30"/>
      <c r="AD1433" s="30"/>
      <c r="AE1433" s="30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30"/>
      <c r="AQ1433" s="30"/>
      <c r="AR1433" s="30"/>
      <c r="AS1433" s="30"/>
      <c r="AT1433" s="30"/>
      <c r="AU1433" s="30"/>
      <c r="AV1433" s="30"/>
      <c r="AW1433" s="30"/>
      <c r="AX1433" s="30"/>
      <c r="AY1433" s="30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30"/>
      <c r="BK1433" s="30"/>
      <c r="BL1433" s="30"/>
      <c r="BM1433" s="30"/>
      <c r="BN1433" s="30"/>
      <c r="BO1433" s="30"/>
      <c r="BP1433" s="30"/>
      <c r="BQ1433" s="30"/>
      <c r="BR1433" s="30"/>
      <c r="BS1433" s="30"/>
      <c r="BT1433" s="1"/>
      <c r="BU1433" s="1"/>
      <c r="BV1433" s="1"/>
      <c r="BW1433" s="1"/>
      <c r="BX1433" s="1"/>
      <c r="BY1433" s="1"/>
      <c r="BZ1433" s="1"/>
      <c r="CA1433" s="1"/>
      <c r="CB1433" s="1"/>
      <c r="CC1433" s="1"/>
      <c r="CD1433" s="30"/>
      <c r="CE1433" s="30"/>
      <c r="CF1433" s="30"/>
      <c r="CG1433" s="30"/>
      <c r="CH1433" s="30"/>
      <c r="CI1433" s="30"/>
      <c r="CJ1433" s="30"/>
      <c r="CK1433" s="30"/>
      <c r="CL1433" s="30"/>
      <c r="CM1433" s="30"/>
      <c r="CN1433" s="1"/>
      <c r="CO1433" s="1"/>
      <c r="CP1433" s="1"/>
      <c r="CQ1433" s="1"/>
      <c r="CR1433" s="1"/>
      <c r="CS1433" s="1"/>
      <c r="CT1433" s="1"/>
      <c r="CU1433" s="1"/>
      <c r="CV1433" s="1"/>
      <c r="CW1433" s="1"/>
    </row>
    <row r="1434" spans="2:101" ht="15" hidden="1" customHeight="1" x14ac:dyDescent="0.25"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30"/>
      <c r="W1434" s="30"/>
      <c r="X1434" s="30"/>
      <c r="Y1434" s="30"/>
      <c r="Z1434" s="30"/>
      <c r="AA1434" s="30"/>
      <c r="AB1434" s="30"/>
      <c r="AC1434" s="30"/>
      <c r="AD1434" s="30"/>
      <c r="AE1434" s="30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30"/>
      <c r="AQ1434" s="30"/>
      <c r="AR1434" s="30"/>
      <c r="AS1434" s="30"/>
      <c r="AT1434" s="30"/>
      <c r="AU1434" s="30"/>
      <c r="AV1434" s="30"/>
      <c r="AW1434" s="30"/>
      <c r="AX1434" s="30"/>
      <c r="AY1434" s="30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30"/>
      <c r="BK1434" s="30"/>
      <c r="BL1434" s="30"/>
      <c r="BM1434" s="30"/>
      <c r="BN1434" s="30"/>
      <c r="BO1434" s="30"/>
      <c r="BP1434" s="30"/>
      <c r="BQ1434" s="30"/>
      <c r="BR1434" s="30"/>
      <c r="BS1434" s="30"/>
      <c r="BT1434" s="1"/>
      <c r="BU1434" s="1"/>
      <c r="BV1434" s="1"/>
      <c r="BW1434" s="1"/>
      <c r="BX1434" s="1"/>
      <c r="BY1434" s="1"/>
      <c r="BZ1434" s="1"/>
      <c r="CA1434" s="1"/>
      <c r="CB1434" s="1"/>
      <c r="CC1434" s="1"/>
      <c r="CD1434" s="30"/>
      <c r="CE1434" s="30"/>
      <c r="CF1434" s="30"/>
      <c r="CG1434" s="30"/>
      <c r="CH1434" s="30"/>
      <c r="CI1434" s="30"/>
      <c r="CJ1434" s="30"/>
      <c r="CK1434" s="30"/>
      <c r="CL1434" s="30"/>
      <c r="CM1434" s="30"/>
      <c r="CN1434" s="1"/>
      <c r="CO1434" s="1"/>
      <c r="CP1434" s="1"/>
      <c r="CQ1434" s="1"/>
      <c r="CR1434" s="1"/>
      <c r="CS1434" s="1"/>
      <c r="CT1434" s="1"/>
      <c r="CU1434" s="1"/>
      <c r="CV1434" s="1"/>
      <c r="CW1434" s="1"/>
    </row>
    <row r="1435" spans="2:101" ht="15" hidden="1" customHeight="1" x14ac:dyDescent="0.25"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30"/>
      <c r="W1435" s="30"/>
      <c r="X1435" s="30"/>
      <c r="Y1435" s="30"/>
      <c r="Z1435" s="30"/>
      <c r="AA1435" s="30"/>
      <c r="AB1435" s="30"/>
      <c r="AC1435" s="30"/>
      <c r="AD1435" s="30"/>
      <c r="AE1435" s="30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30"/>
      <c r="AQ1435" s="30"/>
      <c r="AR1435" s="30"/>
      <c r="AS1435" s="30"/>
      <c r="AT1435" s="30"/>
      <c r="AU1435" s="30"/>
      <c r="AV1435" s="30"/>
      <c r="AW1435" s="30"/>
      <c r="AX1435" s="30"/>
      <c r="AY1435" s="30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30"/>
      <c r="BK1435" s="30"/>
      <c r="BL1435" s="30"/>
      <c r="BM1435" s="30"/>
      <c r="BN1435" s="30"/>
      <c r="BO1435" s="30"/>
      <c r="BP1435" s="30"/>
      <c r="BQ1435" s="30"/>
      <c r="BR1435" s="30"/>
      <c r="BS1435" s="30"/>
      <c r="BT1435" s="1"/>
      <c r="BU1435" s="1"/>
      <c r="BV1435" s="1"/>
      <c r="BW1435" s="1"/>
      <c r="BX1435" s="1"/>
      <c r="BY1435" s="1"/>
      <c r="BZ1435" s="1"/>
      <c r="CA1435" s="1"/>
      <c r="CB1435" s="1"/>
      <c r="CC1435" s="1"/>
      <c r="CD1435" s="30"/>
      <c r="CE1435" s="30"/>
      <c r="CF1435" s="30"/>
      <c r="CG1435" s="30"/>
      <c r="CH1435" s="30"/>
      <c r="CI1435" s="30"/>
      <c r="CJ1435" s="30"/>
      <c r="CK1435" s="30"/>
      <c r="CL1435" s="30"/>
      <c r="CM1435" s="30"/>
      <c r="CN1435" s="1"/>
      <c r="CO1435" s="1"/>
      <c r="CP1435" s="1"/>
      <c r="CQ1435" s="1"/>
      <c r="CR1435" s="1"/>
      <c r="CS1435" s="1"/>
      <c r="CT1435" s="1"/>
      <c r="CU1435" s="1"/>
      <c r="CV1435" s="1"/>
      <c r="CW1435" s="1"/>
    </row>
    <row r="1436" spans="2:101" ht="15" hidden="1" customHeight="1" x14ac:dyDescent="0.25"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30"/>
      <c r="W1436" s="30"/>
      <c r="X1436" s="30"/>
      <c r="Y1436" s="30"/>
      <c r="Z1436" s="30"/>
      <c r="AA1436" s="30"/>
      <c r="AB1436" s="30"/>
      <c r="AC1436" s="30"/>
      <c r="AD1436" s="30"/>
      <c r="AE1436" s="30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30"/>
      <c r="AQ1436" s="30"/>
      <c r="AR1436" s="30"/>
      <c r="AS1436" s="30"/>
      <c r="AT1436" s="30"/>
      <c r="AU1436" s="30"/>
      <c r="AV1436" s="30"/>
      <c r="AW1436" s="30"/>
      <c r="AX1436" s="30"/>
      <c r="AY1436" s="30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30"/>
      <c r="BK1436" s="30"/>
      <c r="BL1436" s="30"/>
      <c r="BM1436" s="30"/>
      <c r="BN1436" s="30"/>
      <c r="BO1436" s="30"/>
      <c r="BP1436" s="30"/>
      <c r="BQ1436" s="30"/>
      <c r="BR1436" s="30"/>
      <c r="BS1436" s="30"/>
      <c r="BT1436" s="1"/>
      <c r="BU1436" s="1"/>
      <c r="BV1436" s="1"/>
      <c r="BW1436" s="1"/>
      <c r="BX1436" s="1"/>
      <c r="BY1436" s="1"/>
      <c r="BZ1436" s="1"/>
      <c r="CA1436" s="1"/>
      <c r="CB1436" s="1"/>
      <c r="CC1436" s="1"/>
      <c r="CD1436" s="30"/>
      <c r="CE1436" s="30"/>
      <c r="CF1436" s="30"/>
      <c r="CG1436" s="30"/>
      <c r="CH1436" s="30"/>
      <c r="CI1436" s="30"/>
      <c r="CJ1436" s="30"/>
      <c r="CK1436" s="30"/>
      <c r="CL1436" s="30"/>
      <c r="CM1436" s="30"/>
      <c r="CN1436" s="1"/>
      <c r="CO1436" s="1"/>
      <c r="CP1436" s="1"/>
      <c r="CQ1436" s="1"/>
      <c r="CR1436" s="1"/>
      <c r="CS1436" s="1"/>
      <c r="CT1436" s="1"/>
      <c r="CU1436" s="1"/>
      <c r="CV1436" s="1"/>
      <c r="CW1436" s="1"/>
    </row>
    <row r="1437" spans="2:101" ht="15" hidden="1" customHeight="1" x14ac:dyDescent="0.25"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30"/>
      <c r="W1437" s="30"/>
      <c r="X1437" s="30"/>
      <c r="Y1437" s="30"/>
      <c r="Z1437" s="30"/>
      <c r="AA1437" s="30"/>
      <c r="AB1437" s="30"/>
      <c r="AC1437" s="30"/>
      <c r="AD1437" s="30"/>
      <c r="AE1437" s="30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30"/>
      <c r="AQ1437" s="30"/>
      <c r="AR1437" s="30"/>
      <c r="AS1437" s="30"/>
      <c r="AT1437" s="30"/>
      <c r="AU1437" s="30"/>
      <c r="AV1437" s="30"/>
      <c r="AW1437" s="30"/>
      <c r="AX1437" s="30"/>
      <c r="AY1437" s="30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30"/>
      <c r="BK1437" s="30"/>
      <c r="BL1437" s="30"/>
      <c r="BM1437" s="30"/>
      <c r="BN1437" s="30"/>
      <c r="BO1437" s="30"/>
      <c r="BP1437" s="30"/>
      <c r="BQ1437" s="30"/>
      <c r="BR1437" s="30"/>
      <c r="BS1437" s="30"/>
      <c r="BT1437" s="1"/>
      <c r="BU1437" s="1"/>
      <c r="BV1437" s="1"/>
      <c r="BW1437" s="1"/>
      <c r="BX1437" s="1"/>
      <c r="BY1437" s="1"/>
      <c r="BZ1437" s="1"/>
      <c r="CA1437" s="1"/>
      <c r="CB1437" s="1"/>
      <c r="CC1437" s="1"/>
      <c r="CD1437" s="30"/>
      <c r="CE1437" s="30"/>
      <c r="CF1437" s="30"/>
      <c r="CG1437" s="30"/>
      <c r="CH1437" s="30"/>
      <c r="CI1437" s="30"/>
      <c r="CJ1437" s="30"/>
      <c r="CK1437" s="30"/>
      <c r="CL1437" s="30"/>
      <c r="CM1437" s="30"/>
      <c r="CN1437" s="1"/>
      <c r="CO1437" s="1"/>
      <c r="CP1437" s="1"/>
      <c r="CQ1437" s="1"/>
      <c r="CR1437" s="1"/>
      <c r="CS1437" s="1"/>
      <c r="CT1437" s="1"/>
      <c r="CU1437" s="1"/>
      <c r="CV1437" s="1"/>
      <c r="CW1437" s="1"/>
    </row>
    <row r="1438" spans="2:101" ht="15" hidden="1" customHeight="1" x14ac:dyDescent="0.25"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30"/>
      <c r="W1438" s="30"/>
      <c r="X1438" s="30"/>
      <c r="Y1438" s="30"/>
      <c r="Z1438" s="30"/>
      <c r="AA1438" s="30"/>
      <c r="AB1438" s="30"/>
      <c r="AC1438" s="30"/>
      <c r="AD1438" s="30"/>
      <c r="AE1438" s="30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30"/>
      <c r="AQ1438" s="30"/>
      <c r="AR1438" s="30"/>
      <c r="AS1438" s="30"/>
      <c r="AT1438" s="30"/>
      <c r="AU1438" s="30"/>
      <c r="AV1438" s="30"/>
      <c r="AW1438" s="30"/>
      <c r="AX1438" s="30"/>
      <c r="AY1438" s="30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30"/>
      <c r="BK1438" s="30"/>
      <c r="BL1438" s="30"/>
      <c r="BM1438" s="30"/>
      <c r="BN1438" s="30"/>
      <c r="BO1438" s="30"/>
      <c r="BP1438" s="30"/>
      <c r="BQ1438" s="30"/>
      <c r="BR1438" s="30"/>
      <c r="BS1438" s="30"/>
      <c r="BT1438" s="1"/>
      <c r="BU1438" s="1"/>
      <c r="BV1438" s="1"/>
      <c r="BW1438" s="1"/>
      <c r="BX1438" s="1"/>
      <c r="BY1438" s="1"/>
      <c r="BZ1438" s="1"/>
      <c r="CA1438" s="1"/>
      <c r="CB1438" s="1"/>
      <c r="CC1438" s="1"/>
      <c r="CD1438" s="30"/>
      <c r="CE1438" s="30"/>
      <c r="CF1438" s="30"/>
      <c r="CG1438" s="30"/>
      <c r="CH1438" s="30"/>
      <c r="CI1438" s="30"/>
      <c r="CJ1438" s="30"/>
      <c r="CK1438" s="30"/>
      <c r="CL1438" s="30"/>
      <c r="CM1438" s="30"/>
      <c r="CN1438" s="1"/>
      <c r="CO1438" s="1"/>
      <c r="CP1438" s="1"/>
      <c r="CQ1438" s="1"/>
      <c r="CR1438" s="1"/>
      <c r="CS1438" s="1"/>
      <c r="CT1438" s="1"/>
      <c r="CU1438" s="1"/>
      <c r="CV1438" s="1"/>
      <c r="CW1438" s="1"/>
    </row>
    <row r="1439" spans="2:101" ht="15" hidden="1" customHeight="1" x14ac:dyDescent="0.25"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30"/>
      <c r="W1439" s="30"/>
      <c r="X1439" s="30"/>
      <c r="Y1439" s="30"/>
      <c r="Z1439" s="30"/>
      <c r="AA1439" s="30"/>
      <c r="AB1439" s="30"/>
      <c r="AC1439" s="30"/>
      <c r="AD1439" s="30"/>
      <c r="AE1439" s="30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30"/>
      <c r="AQ1439" s="30"/>
      <c r="AR1439" s="30"/>
      <c r="AS1439" s="30"/>
      <c r="AT1439" s="30"/>
      <c r="AU1439" s="30"/>
      <c r="AV1439" s="30"/>
      <c r="AW1439" s="30"/>
      <c r="AX1439" s="30"/>
      <c r="AY1439" s="30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30"/>
      <c r="BK1439" s="30"/>
      <c r="BL1439" s="30"/>
      <c r="BM1439" s="30"/>
      <c r="BN1439" s="30"/>
      <c r="BO1439" s="30"/>
      <c r="BP1439" s="30"/>
      <c r="BQ1439" s="30"/>
      <c r="BR1439" s="30"/>
      <c r="BS1439" s="30"/>
      <c r="BT1439" s="1"/>
      <c r="BU1439" s="1"/>
      <c r="BV1439" s="1"/>
      <c r="BW1439" s="1"/>
      <c r="BX1439" s="1"/>
      <c r="BY1439" s="1"/>
      <c r="BZ1439" s="1"/>
      <c r="CA1439" s="1"/>
      <c r="CB1439" s="1"/>
      <c r="CC1439" s="1"/>
      <c r="CD1439" s="30"/>
      <c r="CE1439" s="30"/>
      <c r="CF1439" s="30"/>
      <c r="CG1439" s="30"/>
      <c r="CH1439" s="30"/>
      <c r="CI1439" s="30"/>
      <c r="CJ1439" s="30"/>
      <c r="CK1439" s="30"/>
      <c r="CL1439" s="30"/>
      <c r="CM1439" s="30"/>
      <c r="CN1439" s="1"/>
      <c r="CO1439" s="1"/>
      <c r="CP1439" s="1"/>
      <c r="CQ1439" s="1"/>
      <c r="CR1439" s="1"/>
      <c r="CS1439" s="1"/>
      <c r="CT1439" s="1"/>
      <c r="CU1439" s="1"/>
      <c r="CV1439" s="1"/>
      <c r="CW1439" s="1"/>
    </row>
    <row r="1440" spans="2:101" ht="15" hidden="1" customHeight="1" x14ac:dyDescent="0.25"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30"/>
      <c r="W1440" s="30"/>
      <c r="X1440" s="30"/>
      <c r="Y1440" s="30"/>
      <c r="Z1440" s="30"/>
      <c r="AA1440" s="30"/>
      <c r="AB1440" s="30"/>
      <c r="AC1440" s="30"/>
      <c r="AD1440" s="30"/>
      <c r="AE1440" s="30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30"/>
      <c r="AQ1440" s="30"/>
      <c r="AR1440" s="30"/>
      <c r="AS1440" s="30"/>
      <c r="AT1440" s="30"/>
      <c r="AU1440" s="30"/>
      <c r="AV1440" s="30"/>
      <c r="AW1440" s="30"/>
      <c r="AX1440" s="30"/>
      <c r="AY1440" s="30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30"/>
      <c r="BK1440" s="30"/>
      <c r="BL1440" s="30"/>
      <c r="BM1440" s="30"/>
      <c r="BN1440" s="30"/>
      <c r="BO1440" s="30"/>
      <c r="BP1440" s="30"/>
      <c r="BQ1440" s="30"/>
      <c r="BR1440" s="30"/>
      <c r="BS1440" s="30"/>
      <c r="BT1440" s="1"/>
      <c r="BU1440" s="1"/>
      <c r="BV1440" s="1"/>
      <c r="BW1440" s="1"/>
      <c r="BX1440" s="1"/>
      <c r="BY1440" s="1"/>
      <c r="BZ1440" s="1"/>
      <c r="CA1440" s="1"/>
      <c r="CB1440" s="1"/>
      <c r="CC1440" s="1"/>
      <c r="CD1440" s="30"/>
      <c r="CE1440" s="30"/>
      <c r="CF1440" s="30"/>
      <c r="CG1440" s="30"/>
      <c r="CH1440" s="30"/>
      <c r="CI1440" s="30"/>
      <c r="CJ1440" s="30"/>
      <c r="CK1440" s="30"/>
      <c r="CL1440" s="30"/>
      <c r="CM1440" s="30"/>
      <c r="CN1440" s="1"/>
      <c r="CO1440" s="1"/>
      <c r="CP1440" s="1"/>
      <c r="CQ1440" s="1"/>
      <c r="CR1440" s="1"/>
      <c r="CS1440" s="1"/>
      <c r="CT1440" s="1"/>
      <c r="CU1440" s="1"/>
      <c r="CV1440" s="1"/>
      <c r="CW1440" s="1"/>
    </row>
    <row r="1441" spans="2:101" ht="15" hidden="1" customHeight="1" x14ac:dyDescent="0.25"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30"/>
      <c r="W1441" s="30"/>
      <c r="X1441" s="30"/>
      <c r="Y1441" s="30"/>
      <c r="Z1441" s="30"/>
      <c r="AA1441" s="30"/>
      <c r="AB1441" s="30"/>
      <c r="AC1441" s="30"/>
      <c r="AD1441" s="30"/>
      <c r="AE1441" s="30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30"/>
      <c r="AQ1441" s="30"/>
      <c r="AR1441" s="30"/>
      <c r="AS1441" s="30"/>
      <c r="AT1441" s="30"/>
      <c r="AU1441" s="30"/>
      <c r="AV1441" s="30"/>
      <c r="AW1441" s="30"/>
      <c r="AX1441" s="30"/>
      <c r="AY1441" s="30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30"/>
      <c r="BK1441" s="30"/>
      <c r="BL1441" s="30"/>
      <c r="BM1441" s="30"/>
      <c r="BN1441" s="30"/>
      <c r="BO1441" s="30"/>
      <c r="BP1441" s="30"/>
      <c r="BQ1441" s="30"/>
      <c r="BR1441" s="30"/>
      <c r="BS1441" s="30"/>
      <c r="BT1441" s="1"/>
      <c r="BU1441" s="1"/>
      <c r="BV1441" s="1"/>
      <c r="BW1441" s="1"/>
      <c r="BX1441" s="1"/>
      <c r="BY1441" s="1"/>
      <c r="BZ1441" s="1"/>
      <c r="CA1441" s="1"/>
      <c r="CB1441" s="1"/>
      <c r="CC1441" s="1"/>
      <c r="CD1441" s="30"/>
      <c r="CE1441" s="30"/>
      <c r="CF1441" s="30"/>
      <c r="CG1441" s="30"/>
      <c r="CH1441" s="30"/>
      <c r="CI1441" s="30"/>
      <c r="CJ1441" s="30"/>
      <c r="CK1441" s="30"/>
      <c r="CL1441" s="30"/>
      <c r="CM1441" s="30"/>
      <c r="CN1441" s="1"/>
      <c r="CO1441" s="1"/>
      <c r="CP1441" s="1"/>
      <c r="CQ1441" s="1"/>
      <c r="CR1441" s="1"/>
      <c r="CS1441" s="1"/>
      <c r="CT1441" s="1"/>
      <c r="CU1441" s="1"/>
      <c r="CV1441" s="1"/>
      <c r="CW1441" s="1"/>
    </row>
    <row r="1442" spans="2:101" ht="15" hidden="1" customHeight="1" x14ac:dyDescent="0.25"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30"/>
      <c r="W1442" s="30"/>
      <c r="X1442" s="30"/>
      <c r="Y1442" s="30"/>
      <c r="Z1442" s="30"/>
      <c r="AA1442" s="30"/>
      <c r="AB1442" s="30"/>
      <c r="AC1442" s="30"/>
      <c r="AD1442" s="30"/>
      <c r="AE1442" s="30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30"/>
      <c r="AQ1442" s="30"/>
      <c r="AR1442" s="30"/>
      <c r="AS1442" s="30"/>
      <c r="AT1442" s="30"/>
      <c r="AU1442" s="30"/>
      <c r="AV1442" s="30"/>
      <c r="AW1442" s="30"/>
      <c r="AX1442" s="30"/>
      <c r="AY1442" s="30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30"/>
      <c r="BK1442" s="30"/>
      <c r="BL1442" s="30"/>
      <c r="BM1442" s="30"/>
      <c r="BN1442" s="30"/>
      <c r="BO1442" s="30"/>
      <c r="BP1442" s="30"/>
      <c r="BQ1442" s="30"/>
      <c r="BR1442" s="30"/>
      <c r="BS1442" s="30"/>
      <c r="BT1442" s="1"/>
      <c r="BU1442" s="1"/>
      <c r="BV1442" s="1"/>
      <c r="BW1442" s="1"/>
      <c r="BX1442" s="1"/>
      <c r="BY1442" s="1"/>
      <c r="BZ1442" s="1"/>
      <c r="CA1442" s="1"/>
      <c r="CB1442" s="1"/>
      <c r="CC1442" s="1"/>
      <c r="CD1442" s="30"/>
      <c r="CE1442" s="30"/>
      <c r="CF1442" s="30"/>
      <c r="CG1442" s="30"/>
      <c r="CH1442" s="30"/>
      <c r="CI1442" s="30"/>
      <c r="CJ1442" s="30"/>
      <c r="CK1442" s="30"/>
      <c r="CL1442" s="30"/>
      <c r="CM1442" s="30"/>
      <c r="CN1442" s="1"/>
      <c r="CO1442" s="1"/>
      <c r="CP1442" s="1"/>
      <c r="CQ1442" s="1"/>
      <c r="CR1442" s="1"/>
      <c r="CS1442" s="1"/>
      <c r="CT1442" s="1"/>
      <c r="CU1442" s="1"/>
      <c r="CV1442" s="1"/>
      <c r="CW1442" s="1"/>
    </row>
    <row r="1443" spans="2:101" ht="15" hidden="1" customHeight="1" x14ac:dyDescent="0.25"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30"/>
      <c r="W1443" s="30"/>
      <c r="X1443" s="30"/>
      <c r="Y1443" s="30"/>
      <c r="Z1443" s="30"/>
      <c r="AA1443" s="30"/>
      <c r="AB1443" s="30"/>
      <c r="AC1443" s="30"/>
      <c r="AD1443" s="30"/>
      <c r="AE1443" s="30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30"/>
      <c r="AQ1443" s="30"/>
      <c r="AR1443" s="30"/>
      <c r="AS1443" s="30"/>
      <c r="AT1443" s="30"/>
      <c r="AU1443" s="30"/>
      <c r="AV1443" s="30"/>
      <c r="AW1443" s="30"/>
      <c r="AX1443" s="30"/>
      <c r="AY1443" s="30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30"/>
      <c r="BK1443" s="30"/>
      <c r="BL1443" s="30"/>
      <c r="BM1443" s="30"/>
      <c r="BN1443" s="30"/>
      <c r="BO1443" s="30"/>
      <c r="BP1443" s="30"/>
      <c r="BQ1443" s="30"/>
      <c r="BR1443" s="30"/>
      <c r="BS1443" s="30"/>
      <c r="BT1443" s="1"/>
      <c r="BU1443" s="1"/>
      <c r="BV1443" s="1"/>
      <c r="BW1443" s="1"/>
      <c r="BX1443" s="1"/>
      <c r="BY1443" s="1"/>
      <c r="BZ1443" s="1"/>
      <c r="CA1443" s="1"/>
      <c r="CB1443" s="1"/>
      <c r="CC1443" s="1"/>
      <c r="CD1443" s="30"/>
      <c r="CE1443" s="30"/>
      <c r="CF1443" s="30"/>
      <c r="CG1443" s="30"/>
      <c r="CH1443" s="30"/>
      <c r="CI1443" s="30"/>
      <c r="CJ1443" s="30"/>
      <c r="CK1443" s="30"/>
      <c r="CL1443" s="30"/>
      <c r="CM1443" s="30"/>
      <c r="CN1443" s="1"/>
      <c r="CO1443" s="1"/>
      <c r="CP1443" s="1"/>
      <c r="CQ1443" s="1"/>
      <c r="CR1443" s="1"/>
      <c r="CS1443" s="1"/>
      <c r="CT1443" s="1"/>
      <c r="CU1443" s="1"/>
      <c r="CV1443" s="1"/>
      <c r="CW1443" s="1"/>
    </row>
    <row r="1444" spans="2:101" ht="15" hidden="1" customHeight="1" x14ac:dyDescent="0.25"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30"/>
      <c r="W1444" s="30"/>
      <c r="X1444" s="30"/>
      <c r="Y1444" s="30"/>
      <c r="Z1444" s="30"/>
      <c r="AA1444" s="30"/>
      <c r="AB1444" s="30"/>
      <c r="AC1444" s="30"/>
      <c r="AD1444" s="30"/>
      <c r="AE1444" s="30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30"/>
      <c r="AQ1444" s="30"/>
      <c r="AR1444" s="30"/>
      <c r="AS1444" s="30"/>
      <c r="AT1444" s="30"/>
      <c r="AU1444" s="30"/>
      <c r="AV1444" s="30"/>
      <c r="AW1444" s="30"/>
      <c r="AX1444" s="30"/>
      <c r="AY1444" s="30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30"/>
      <c r="BK1444" s="30"/>
      <c r="BL1444" s="30"/>
      <c r="BM1444" s="30"/>
      <c r="BN1444" s="30"/>
      <c r="BO1444" s="30"/>
      <c r="BP1444" s="30"/>
      <c r="BQ1444" s="30"/>
      <c r="BR1444" s="30"/>
      <c r="BS1444" s="30"/>
      <c r="BT1444" s="1"/>
      <c r="BU1444" s="1"/>
      <c r="BV1444" s="1"/>
      <c r="BW1444" s="1"/>
      <c r="BX1444" s="1"/>
      <c r="BY1444" s="1"/>
      <c r="BZ1444" s="1"/>
      <c r="CA1444" s="1"/>
      <c r="CB1444" s="1"/>
      <c r="CC1444" s="1"/>
      <c r="CD1444" s="30"/>
      <c r="CE1444" s="30"/>
      <c r="CF1444" s="30"/>
      <c r="CG1444" s="30"/>
      <c r="CH1444" s="30"/>
      <c r="CI1444" s="30"/>
      <c r="CJ1444" s="30"/>
      <c r="CK1444" s="30"/>
      <c r="CL1444" s="30"/>
      <c r="CM1444" s="30"/>
      <c r="CN1444" s="1"/>
      <c r="CO1444" s="1"/>
      <c r="CP1444" s="1"/>
      <c r="CQ1444" s="1"/>
      <c r="CR1444" s="1"/>
      <c r="CS1444" s="1"/>
      <c r="CT1444" s="1"/>
      <c r="CU1444" s="1"/>
      <c r="CV1444" s="1"/>
      <c r="CW1444" s="1"/>
    </row>
    <row r="1445" spans="2:101" ht="15" hidden="1" customHeight="1" x14ac:dyDescent="0.25"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30"/>
      <c r="W1445" s="30"/>
      <c r="X1445" s="30"/>
      <c r="Y1445" s="30"/>
      <c r="Z1445" s="30"/>
      <c r="AA1445" s="30"/>
      <c r="AB1445" s="30"/>
      <c r="AC1445" s="30"/>
      <c r="AD1445" s="30"/>
      <c r="AE1445" s="30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30"/>
      <c r="AQ1445" s="30"/>
      <c r="AR1445" s="30"/>
      <c r="AS1445" s="30"/>
      <c r="AT1445" s="30"/>
      <c r="AU1445" s="30"/>
      <c r="AV1445" s="30"/>
      <c r="AW1445" s="30"/>
      <c r="AX1445" s="30"/>
      <c r="AY1445" s="30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30"/>
      <c r="BK1445" s="30"/>
      <c r="BL1445" s="30"/>
      <c r="BM1445" s="30"/>
      <c r="BN1445" s="30"/>
      <c r="BO1445" s="30"/>
      <c r="BP1445" s="30"/>
      <c r="BQ1445" s="30"/>
      <c r="BR1445" s="30"/>
      <c r="BS1445" s="30"/>
      <c r="BT1445" s="1"/>
      <c r="BU1445" s="1"/>
      <c r="BV1445" s="1"/>
      <c r="BW1445" s="1"/>
      <c r="BX1445" s="1"/>
      <c r="BY1445" s="1"/>
      <c r="BZ1445" s="1"/>
      <c r="CA1445" s="1"/>
      <c r="CB1445" s="1"/>
      <c r="CC1445" s="1"/>
      <c r="CD1445" s="30"/>
      <c r="CE1445" s="30"/>
      <c r="CF1445" s="30"/>
      <c r="CG1445" s="30"/>
      <c r="CH1445" s="30"/>
      <c r="CI1445" s="30"/>
      <c r="CJ1445" s="30"/>
      <c r="CK1445" s="30"/>
      <c r="CL1445" s="30"/>
      <c r="CM1445" s="30"/>
      <c r="CN1445" s="1"/>
      <c r="CO1445" s="1"/>
      <c r="CP1445" s="1"/>
      <c r="CQ1445" s="1"/>
      <c r="CR1445" s="1"/>
      <c r="CS1445" s="1"/>
      <c r="CT1445" s="1"/>
      <c r="CU1445" s="1"/>
      <c r="CV1445" s="1"/>
      <c r="CW1445" s="1"/>
    </row>
    <row r="1446" spans="2:101" ht="15" hidden="1" customHeight="1" x14ac:dyDescent="0.25"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30"/>
      <c r="W1446" s="30"/>
      <c r="X1446" s="30"/>
      <c r="Y1446" s="30"/>
      <c r="Z1446" s="30"/>
      <c r="AA1446" s="30"/>
      <c r="AB1446" s="30"/>
      <c r="AC1446" s="30"/>
      <c r="AD1446" s="30"/>
      <c r="AE1446" s="30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30"/>
      <c r="AQ1446" s="30"/>
      <c r="AR1446" s="30"/>
      <c r="AS1446" s="30"/>
      <c r="AT1446" s="30"/>
      <c r="AU1446" s="30"/>
      <c r="AV1446" s="30"/>
      <c r="AW1446" s="30"/>
      <c r="AX1446" s="30"/>
      <c r="AY1446" s="30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30"/>
      <c r="BK1446" s="30"/>
      <c r="BL1446" s="30"/>
      <c r="BM1446" s="30"/>
      <c r="BN1446" s="30"/>
      <c r="BO1446" s="30"/>
      <c r="BP1446" s="30"/>
      <c r="BQ1446" s="30"/>
      <c r="BR1446" s="30"/>
      <c r="BS1446" s="30"/>
      <c r="BT1446" s="1"/>
      <c r="BU1446" s="1"/>
      <c r="BV1446" s="1"/>
      <c r="BW1446" s="1"/>
      <c r="BX1446" s="1"/>
      <c r="BY1446" s="1"/>
      <c r="BZ1446" s="1"/>
      <c r="CA1446" s="1"/>
      <c r="CB1446" s="1"/>
      <c r="CC1446" s="1"/>
      <c r="CD1446" s="30"/>
      <c r="CE1446" s="30"/>
      <c r="CF1446" s="30"/>
      <c r="CG1446" s="30"/>
      <c r="CH1446" s="30"/>
      <c r="CI1446" s="30"/>
      <c r="CJ1446" s="30"/>
      <c r="CK1446" s="30"/>
      <c r="CL1446" s="30"/>
      <c r="CM1446" s="30"/>
      <c r="CN1446" s="1"/>
      <c r="CO1446" s="1"/>
      <c r="CP1446" s="1"/>
      <c r="CQ1446" s="1"/>
      <c r="CR1446" s="1"/>
      <c r="CS1446" s="1"/>
      <c r="CT1446" s="1"/>
      <c r="CU1446" s="1"/>
      <c r="CV1446" s="1"/>
      <c r="CW1446" s="1"/>
    </row>
    <row r="1447" spans="2:101" ht="15" hidden="1" customHeight="1" x14ac:dyDescent="0.25"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30"/>
      <c r="W1447" s="30"/>
      <c r="X1447" s="30"/>
      <c r="Y1447" s="30"/>
      <c r="Z1447" s="30"/>
      <c r="AA1447" s="30"/>
      <c r="AB1447" s="30"/>
      <c r="AC1447" s="30"/>
      <c r="AD1447" s="30"/>
      <c r="AE1447" s="30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30"/>
      <c r="AQ1447" s="30"/>
      <c r="AR1447" s="30"/>
      <c r="AS1447" s="30"/>
      <c r="AT1447" s="30"/>
      <c r="AU1447" s="30"/>
      <c r="AV1447" s="30"/>
      <c r="AW1447" s="30"/>
      <c r="AX1447" s="30"/>
      <c r="AY1447" s="30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30"/>
      <c r="BK1447" s="30"/>
      <c r="BL1447" s="30"/>
      <c r="BM1447" s="30"/>
      <c r="BN1447" s="30"/>
      <c r="BO1447" s="30"/>
      <c r="BP1447" s="30"/>
      <c r="BQ1447" s="30"/>
      <c r="BR1447" s="30"/>
      <c r="BS1447" s="30"/>
      <c r="BT1447" s="1"/>
      <c r="BU1447" s="1"/>
      <c r="BV1447" s="1"/>
      <c r="BW1447" s="1"/>
      <c r="BX1447" s="1"/>
      <c r="BY1447" s="1"/>
      <c r="BZ1447" s="1"/>
      <c r="CA1447" s="1"/>
      <c r="CB1447" s="1"/>
      <c r="CC1447" s="1"/>
      <c r="CD1447" s="30"/>
      <c r="CE1447" s="30"/>
      <c r="CF1447" s="30"/>
      <c r="CG1447" s="30"/>
      <c r="CH1447" s="30"/>
      <c r="CI1447" s="30"/>
      <c r="CJ1447" s="30"/>
      <c r="CK1447" s="30"/>
      <c r="CL1447" s="30"/>
      <c r="CM1447" s="30"/>
      <c r="CN1447" s="1"/>
      <c r="CO1447" s="1"/>
      <c r="CP1447" s="1"/>
      <c r="CQ1447" s="1"/>
      <c r="CR1447" s="1"/>
      <c r="CS1447" s="1"/>
      <c r="CT1447" s="1"/>
      <c r="CU1447" s="1"/>
      <c r="CV1447" s="1"/>
      <c r="CW1447" s="1"/>
    </row>
    <row r="1448" spans="2:101" ht="15" hidden="1" customHeight="1" x14ac:dyDescent="0.25"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30"/>
      <c r="W1448" s="30"/>
      <c r="X1448" s="30"/>
      <c r="Y1448" s="30"/>
      <c r="Z1448" s="30"/>
      <c r="AA1448" s="30"/>
      <c r="AB1448" s="30"/>
      <c r="AC1448" s="30"/>
      <c r="AD1448" s="30"/>
      <c r="AE1448" s="30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30"/>
      <c r="AQ1448" s="30"/>
      <c r="AR1448" s="30"/>
      <c r="AS1448" s="30"/>
      <c r="AT1448" s="30"/>
      <c r="AU1448" s="30"/>
      <c r="AV1448" s="30"/>
      <c r="AW1448" s="30"/>
      <c r="AX1448" s="30"/>
      <c r="AY1448" s="30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30"/>
      <c r="BK1448" s="30"/>
      <c r="BL1448" s="30"/>
      <c r="BM1448" s="30"/>
      <c r="BN1448" s="30"/>
      <c r="BO1448" s="30"/>
      <c r="BP1448" s="30"/>
      <c r="BQ1448" s="30"/>
      <c r="BR1448" s="30"/>
      <c r="BS1448" s="30"/>
      <c r="BT1448" s="1"/>
      <c r="BU1448" s="1"/>
      <c r="BV1448" s="1"/>
      <c r="BW1448" s="1"/>
      <c r="BX1448" s="1"/>
      <c r="BY1448" s="1"/>
      <c r="BZ1448" s="1"/>
      <c r="CA1448" s="1"/>
      <c r="CB1448" s="1"/>
      <c r="CC1448" s="1"/>
      <c r="CD1448" s="30"/>
      <c r="CE1448" s="30"/>
      <c r="CF1448" s="30"/>
      <c r="CG1448" s="30"/>
      <c r="CH1448" s="30"/>
      <c r="CI1448" s="30"/>
      <c r="CJ1448" s="30"/>
      <c r="CK1448" s="30"/>
      <c r="CL1448" s="30"/>
      <c r="CM1448" s="30"/>
      <c r="CN1448" s="1"/>
      <c r="CO1448" s="1"/>
      <c r="CP1448" s="1"/>
      <c r="CQ1448" s="1"/>
      <c r="CR1448" s="1"/>
      <c r="CS1448" s="1"/>
      <c r="CT1448" s="1"/>
      <c r="CU1448" s="1"/>
      <c r="CV1448" s="1"/>
      <c r="CW1448" s="1"/>
    </row>
    <row r="1449" spans="2:101" ht="15" hidden="1" customHeight="1" x14ac:dyDescent="0.25"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30"/>
      <c r="W1449" s="30"/>
      <c r="X1449" s="30"/>
      <c r="Y1449" s="30"/>
      <c r="Z1449" s="30"/>
      <c r="AA1449" s="30"/>
      <c r="AB1449" s="30"/>
      <c r="AC1449" s="30"/>
      <c r="AD1449" s="30"/>
      <c r="AE1449" s="30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30"/>
      <c r="AQ1449" s="30"/>
      <c r="AR1449" s="30"/>
      <c r="AS1449" s="30"/>
      <c r="AT1449" s="30"/>
      <c r="AU1449" s="30"/>
      <c r="AV1449" s="30"/>
      <c r="AW1449" s="30"/>
      <c r="AX1449" s="30"/>
      <c r="AY1449" s="30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30"/>
      <c r="BK1449" s="30"/>
      <c r="BL1449" s="30"/>
      <c r="BM1449" s="30"/>
      <c r="BN1449" s="30"/>
      <c r="BO1449" s="30"/>
      <c r="BP1449" s="30"/>
      <c r="BQ1449" s="30"/>
      <c r="BR1449" s="30"/>
      <c r="BS1449" s="30"/>
      <c r="BT1449" s="1"/>
      <c r="BU1449" s="1"/>
      <c r="BV1449" s="1"/>
      <c r="BW1449" s="1"/>
      <c r="BX1449" s="1"/>
      <c r="BY1449" s="1"/>
      <c r="BZ1449" s="1"/>
      <c r="CA1449" s="1"/>
      <c r="CB1449" s="1"/>
      <c r="CC1449" s="1"/>
      <c r="CD1449" s="30"/>
      <c r="CE1449" s="30"/>
      <c r="CF1449" s="30"/>
      <c r="CG1449" s="30"/>
      <c r="CH1449" s="30"/>
      <c r="CI1449" s="30"/>
      <c r="CJ1449" s="30"/>
      <c r="CK1449" s="30"/>
      <c r="CL1449" s="30"/>
      <c r="CM1449" s="30"/>
      <c r="CN1449" s="1"/>
      <c r="CO1449" s="1"/>
      <c r="CP1449" s="1"/>
      <c r="CQ1449" s="1"/>
      <c r="CR1449" s="1"/>
      <c r="CS1449" s="1"/>
      <c r="CT1449" s="1"/>
      <c r="CU1449" s="1"/>
      <c r="CV1449" s="1"/>
      <c r="CW1449" s="1"/>
    </row>
    <row r="1450" spans="2:101" ht="15" hidden="1" customHeight="1" x14ac:dyDescent="0.25"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30"/>
      <c r="W1450" s="30"/>
      <c r="X1450" s="30"/>
      <c r="Y1450" s="30"/>
      <c r="Z1450" s="30"/>
      <c r="AA1450" s="30"/>
      <c r="AB1450" s="30"/>
      <c r="AC1450" s="30"/>
      <c r="AD1450" s="30"/>
      <c r="AE1450" s="30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30"/>
      <c r="AQ1450" s="30"/>
      <c r="AR1450" s="30"/>
      <c r="AS1450" s="30"/>
      <c r="AT1450" s="30"/>
      <c r="AU1450" s="30"/>
      <c r="AV1450" s="30"/>
      <c r="AW1450" s="30"/>
      <c r="AX1450" s="30"/>
      <c r="AY1450" s="30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30"/>
      <c r="BK1450" s="30"/>
      <c r="BL1450" s="30"/>
      <c r="BM1450" s="30"/>
      <c r="BN1450" s="30"/>
      <c r="BO1450" s="30"/>
      <c r="BP1450" s="30"/>
      <c r="BQ1450" s="30"/>
      <c r="BR1450" s="30"/>
      <c r="BS1450" s="30"/>
      <c r="BT1450" s="1"/>
      <c r="BU1450" s="1"/>
      <c r="BV1450" s="1"/>
      <c r="BW1450" s="1"/>
      <c r="BX1450" s="1"/>
      <c r="BY1450" s="1"/>
      <c r="BZ1450" s="1"/>
      <c r="CA1450" s="1"/>
      <c r="CB1450" s="1"/>
      <c r="CC1450" s="1"/>
      <c r="CD1450" s="30"/>
      <c r="CE1450" s="30"/>
      <c r="CF1450" s="30"/>
      <c r="CG1450" s="30"/>
      <c r="CH1450" s="30"/>
      <c r="CI1450" s="30"/>
      <c r="CJ1450" s="30"/>
      <c r="CK1450" s="30"/>
      <c r="CL1450" s="30"/>
      <c r="CM1450" s="30"/>
      <c r="CN1450" s="1"/>
      <c r="CO1450" s="1"/>
      <c r="CP1450" s="1"/>
      <c r="CQ1450" s="1"/>
      <c r="CR1450" s="1"/>
      <c r="CS1450" s="1"/>
      <c r="CT1450" s="1"/>
      <c r="CU1450" s="1"/>
      <c r="CV1450" s="1"/>
      <c r="CW1450" s="1"/>
    </row>
    <row r="1451" spans="2:101" ht="15" hidden="1" customHeight="1" x14ac:dyDescent="0.25"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30"/>
      <c r="W1451" s="30"/>
      <c r="X1451" s="30"/>
      <c r="Y1451" s="30"/>
      <c r="Z1451" s="30"/>
      <c r="AA1451" s="30"/>
      <c r="AB1451" s="30"/>
      <c r="AC1451" s="30"/>
      <c r="AD1451" s="30"/>
      <c r="AE1451" s="30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30"/>
      <c r="AQ1451" s="30"/>
      <c r="AR1451" s="30"/>
      <c r="AS1451" s="30"/>
      <c r="AT1451" s="30"/>
      <c r="AU1451" s="30"/>
      <c r="AV1451" s="30"/>
      <c r="AW1451" s="30"/>
      <c r="AX1451" s="30"/>
      <c r="AY1451" s="30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30"/>
      <c r="BK1451" s="30"/>
      <c r="BL1451" s="30"/>
      <c r="BM1451" s="30"/>
      <c r="BN1451" s="30"/>
      <c r="BO1451" s="30"/>
      <c r="BP1451" s="30"/>
      <c r="BQ1451" s="30"/>
      <c r="BR1451" s="30"/>
      <c r="BS1451" s="30"/>
      <c r="BT1451" s="1"/>
      <c r="BU1451" s="1"/>
      <c r="BV1451" s="1"/>
      <c r="BW1451" s="1"/>
      <c r="BX1451" s="1"/>
      <c r="BY1451" s="1"/>
      <c r="BZ1451" s="1"/>
      <c r="CA1451" s="1"/>
      <c r="CB1451" s="1"/>
      <c r="CC1451" s="1"/>
      <c r="CD1451" s="30"/>
      <c r="CE1451" s="30"/>
      <c r="CF1451" s="30"/>
      <c r="CG1451" s="30"/>
      <c r="CH1451" s="30"/>
      <c r="CI1451" s="30"/>
      <c r="CJ1451" s="30"/>
      <c r="CK1451" s="30"/>
      <c r="CL1451" s="30"/>
      <c r="CM1451" s="30"/>
      <c r="CN1451" s="1"/>
      <c r="CO1451" s="1"/>
      <c r="CP1451" s="1"/>
      <c r="CQ1451" s="1"/>
      <c r="CR1451" s="1"/>
      <c r="CS1451" s="1"/>
      <c r="CT1451" s="1"/>
      <c r="CU1451" s="1"/>
      <c r="CV1451" s="1"/>
      <c r="CW1451" s="1"/>
    </row>
    <row r="1452" spans="2:101" ht="15" hidden="1" customHeight="1" x14ac:dyDescent="0.25"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30"/>
      <c r="W1452" s="30"/>
      <c r="X1452" s="30"/>
      <c r="Y1452" s="30"/>
      <c r="Z1452" s="30"/>
      <c r="AA1452" s="30"/>
      <c r="AB1452" s="30"/>
      <c r="AC1452" s="30"/>
      <c r="AD1452" s="30"/>
      <c r="AE1452" s="30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30"/>
      <c r="AQ1452" s="30"/>
      <c r="AR1452" s="30"/>
      <c r="AS1452" s="30"/>
      <c r="AT1452" s="30"/>
      <c r="AU1452" s="30"/>
      <c r="AV1452" s="30"/>
      <c r="AW1452" s="30"/>
      <c r="AX1452" s="30"/>
      <c r="AY1452" s="30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30"/>
      <c r="BK1452" s="30"/>
      <c r="BL1452" s="30"/>
      <c r="BM1452" s="30"/>
      <c r="BN1452" s="30"/>
      <c r="BO1452" s="30"/>
      <c r="BP1452" s="30"/>
      <c r="BQ1452" s="30"/>
      <c r="BR1452" s="30"/>
      <c r="BS1452" s="30"/>
      <c r="BT1452" s="1"/>
      <c r="BU1452" s="1"/>
      <c r="BV1452" s="1"/>
      <c r="BW1452" s="1"/>
      <c r="BX1452" s="1"/>
      <c r="BY1452" s="1"/>
      <c r="BZ1452" s="1"/>
      <c r="CA1452" s="1"/>
      <c r="CB1452" s="1"/>
      <c r="CC1452" s="1"/>
      <c r="CD1452" s="30"/>
      <c r="CE1452" s="30"/>
      <c r="CF1452" s="30"/>
      <c r="CG1452" s="30"/>
      <c r="CH1452" s="30"/>
      <c r="CI1452" s="30"/>
      <c r="CJ1452" s="30"/>
      <c r="CK1452" s="30"/>
      <c r="CL1452" s="30"/>
      <c r="CM1452" s="30"/>
      <c r="CN1452" s="1"/>
      <c r="CO1452" s="1"/>
      <c r="CP1452" s="1"/>
      <c r="CQ1452" s="1"/>
      <c r="CR1452" s="1"/>
      <c r="CS1452" s="1"/>
      <c r="CT1452" s="1"/>
      <c r="CU1452" s="1"/>
      <c r="CV1452" s="1"/>
      <c r="CW1452" s="1"/>
    </row>
    <row r="1453" spans="2:101" ht="15" hidden="1" customHeight="1" x14ac:dyDescent="0.25"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30"/>
      <c r="W1453" s="30"/>
      <c r="X1453" s="30"/>
      <c r="Y1453" s="30"/>
      <c r="Z1453" s="30"/>
      <c r="AA1453" s="30"/>
      <c r="AB1453" s="30"/>
      <c r="AC1453" s="30"/>
      <c r="AD1453" s="30"/>
      <c r="AE1453" s="30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30"/>
      <c r="AQ1453" s="30"/>
      <c r="AR1453" s="30"/>
      <c r="AS1453" s="30"/>
      <c r="AT1453" s="30"/>
      <c r="AU1453" s="30"/>
      <c r="AV1453" s="30"/>
      <c r="AW1453" s="30"/>
      <c r="AX1453" s="30"/>
      <c r="AY1453" s="30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30"/>
      <c r="BK1453" s="30"/>
      <c r="BL1453" s="30"/>
      <c r="BM1453" s="30"/>
      <c r="BN1453" s="30"/>
      <c r="BO1453" s="30"/>
      <c r="BP1453" s="30"/>
      <c r="BQ1453" s="30"/>
      <c r="BR1453" s="30"/>
      <c r="BS1453" s="30"/>
      <c r="BT1453" s="1"/>
      <c r="BU1453" s="1"/>
      <c r="BV1453" s="1"/>
      <c r="BW1453" s="1"/>
      <c r="BX1453" s="1"/>
      <c r="BY1453" s="1"/>
      <c r="BZ1453" s="1"/>
      <c r="CA1453" s="1"/>
      <c r="CB1453" s="1"/>
      <c r="CC1453" s="1"/>
      <c r="CD1453" s="30"/>
      <c r="CE1453" s="30"/>
      <c r="CF1453" s="30"/>
      <c r="CG1453" s="30"/>
      <c r="CH1453" s="30"/>
      <c r="CI1453" s="30"/>
      <c r="CJ1453" s="30"/>
      <c r="CK1453" s="30"/>
      <c r="CL1453" s="30"/>
      <c r="CM1453" s="30"/>
      <c r="CN1453" s="1"/>
      <c r="CO1453" s="1"/>
      <c r="CP1453" s="1"/>
      <c r="CQ1453" s="1"/>
      <c r="CR1453" s="1"/>
      <c r="CS1453" s="1"/>
      <c r="CT1453" s="1"/>
      <c r="CU1453" s="1"/>
      <c r="CV1453" s="1"/>
      <c r="CW1453" s="1"/>
    </row>
    <row r="1454" spans="2:101" ht="15" hidden="1" customHeight="1" x14ac:dyDescent="0.25"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30"/>
      <c r="W1454" s="30"/>
      <c r="X1454" s="30"/>
      <c r="Y1454" s="30"/>
      <c r="Z1454" s="30"/>
      <c r="AA1454" s="30"/>
      <c r="AB1454" s="30"/>
      <c r="AC1454" s="30"/>
      <c r="AD1454" s="30"/>
      <c r="AE1454" s="30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30"/>
      <c r="AQ1454" s="30"/>
      <c r="AR1454" s="30"/>
      <c r="AS1454" s="30"/>
      <c r="AT1454" s="30"/>
      <c r="AU1454" s="30"/>
      <c r="AV1454" s="30"/>
      <c r="AW1454" s="30"/>
      <c r="AX1454" s="30"/>
      <c r="AY1454" s="30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30"/>
      <c r="BK1454" s="30"/>
      <c r="BL1454" s="30"/>
      <c r="BM1454" s="30"/>
      <c r="BN1454" s="30"/>
      <c r="BO1454" s="30"/>
      <c r="BP1454" s="30"/>
      <c r="BQ1454" s="30"/>
      <c r="BR1454" s="30"/>
      <c r="BS1454" s="30"/>
      <c r="BT1454" s="1"/>
      <c r="BU1454" s="1"/>
      <c r="BV1454" s="1"/>
      <c r="BW1454" s="1"/>
      <c r="BX1454" s="1"/>
      <c r="BY1454" s="1"/>
      <c r="BZ1454" s="1"/>
      <c r="CA1454" s="1"/>
      <c r="CB1454" s="1"/>
      <c r="CC1454" s="1"/>
      <c r="CD1454" s="30"/>
      <c r="CE1454" s="30"/>
      <c r="CF1454" s="30"/>
      <c r="CG1454" s="30"/>
      <c r="CH1454" s="30"/>
      <c r="CI1454" s="30"/>
      <c r="CJ1454" s="30"/>
      <c r="CK1454" s="30"/>
      <c r="CL1454" s="30"/>
      <c r="CM1454" s="30"/>
      <c r="CN1454" s="1"/>
      <c r="CO1454" s="1"/>
      <c r="CP1454" s="1"/>
      <c r="CQ1454" s="1"/>
      <c r="CR1454" s="1"/>
      <c r="CS1454" s="1"/>
      <c r="CT1454" s="1"/>
      <c r="CU1454" s="1"/>
      <c r="CV1454" s="1"/>
      <c r="CW1454" s="1"/>
    </row>
    <row r="1455" spans="2:101" ht="15" hidden="1" customHeight="1" x14ac:dyDescent="0.25"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30"/>
      <c r="W1455" s="30"/>
      <c r="X1455" s="30"/>
      <c r="Y1455" s="30"/>
      <c r="Z1455" s="30"/>
      <c r="AA1455" s="30"/>
      <c r="AB1455" s="30"/>
      <c r="AC1455" s="30"/>
      <c r="AD1455" s="30"/>
      <c r="AE1455" s="30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30"/>
      <c r="AQ1455" s="30"/>
      <c r="AR1455" s="30"/>
      <c r="AS1455" s="30"/>
      <c r="AT1455" s="30"/>
      <c r="AU1455" s="30"/>
      <c r="AV1455" s="30"/>
      <c r="AW1455" s="30"/>
      <c r="AX1455" s="30"/>
      <c r="AY1455" s="30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30"/>
      <c r="BK1455" s="30"/>
      <c r="BL1455" s="30"/>
      <c r="BM1455" s="30"/>
      <c r="BN1455" s="30"/>
      <c r="BO1455" s="30"/>
      <c r="BP1455" s="30"/>
      <c r="BQ1455" s="30"/>
      <c r="BR1455" s="30"/>
      <c r="BS1455" s="30"/>
      <c r="BT1455" s="1"/>
      <c r="BU1455" s="1"/>
      <c r="BV1455" s="1"/>
      <c r="BW1455" s="1"/>
      <c r="BX1455" s="1"/>
      <c r="BY1455" s="1"/>
      <c r="BZ1455" s="1"/>
      <c r="CA1455" s="1"/>
      <c r="CB1455" s="1"/>
      <c r="CC1455" s="1"/>
      <c r="CD1455" s="30"/>
      <c r="CE1455" s="30"/>
      <c r="CF1455" s="30"/>
      <c r="CG1455" s="30"/>
      <c r="CH1455" s="30"/>
      <c r="CI1455" s="30"/>
      <c r="CJ1455" s="30"/>
      <c r="CK1455" s="30"/>
      <c r="CL1455" s="30"/>
      <c r="CM1455" s="30"/>
      <c r="CN1455" s="1"/>
      <c r="CO1455" s="1"/>
      <c r="CP1455" s="1"/>
      <c r="CQ1455" s="1"/>
      <c r="CR1455" s="1"/>
      <c r="CS1455" s="1"/>
      <c r="CT1455" s="1"/>
      <c r="CU1455" s="1"/>
      <c r="CV1455" s="1"/>
      <c r="CW1455" s="1"/>
    </row>
    <row r="1456" spans="2:101" ht="15" hidden="1" customHeight="1" x14ac:dyDescent="0.25"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30"/>
      <c r="W1456" s="30"/>
      <c r="X1456" s="30"/>
      <c r="Y1456" s="30"/>
      <c r="Z1456" s="30"/>
      <c r="AA1456" s="30"/>
      <c r="AB1456" s="30"/>
      <c r="AC1456" s="30"/>
      <c r="AD1456" s="30"/>
      <c r="AE1456" s="30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30"/>
      <c r="AQ1456" s="30"/>
      <c r="AR1456" s="30"/>
      <c r="AS1456" s="30"/>
      <c r="AT1456" s="30"/>
      <c r="AU1456" s="30"/>
      <c r="AV1456" s="30"/>
      <c r="AW1456" s="30"/>
      <c r="AX1456" s="30"/>
      <c r="AY1456" s="30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30"/>
      <c r="BK1456" s="30"/>
      <c r="BL1456" s="30"/>
      <c r="BM1456" s="30"/>
      <c r="BN1456" s="30"/>
      <c r="BO1456" s="30"/>
      <c r="BP1456" s="30"/>
      <c r="BQ1456" s="30"/>
      <c r="BR1456" s="30"/>
      <c r="BS1456" s="30"/>
      <c r="BT1456" s="1"/>
      <c r="BU1456" s="1"/>
      <c r="BV1456" s="1"/>
      <c r="BW1456" s="1"/>
      <c r="BX1456" s="1"/>
      <c r="BY1456" s="1"/>
      <c r="BZ1456" s="1"/>
      <c r="CA1456" s="1"/>
      <c r="CB1456" s="1"/>
      <c r="CC1456" s="1"/>
      <c r="CD1456" s="30"/>
      <c r="CE1456" s="30"/>
      <c r="CF1456" s="30"/>
      <c r="CG1456" s="30"/>
      <c r="CH1456" s="30"/>
      <c r="CI1456" s="30"/>
      <c r="CJ1456" s="30"/>
      <c r="CK1456" s="30"/>
      <c r="CL1456" s="30"/>
      <c r="CM1456" s="30"/>
      <c r="CN1456" s="1"/>
      <c r="CO1456" s="1"/>
      <c r="CP1456" s="1"/>
      <c r="CQ1456" s="1"/>
      <c r="CR1456" s="1"/>
      <c r="CS1456" s="1"/>
      <c r="CT1456" s="1"/>
      <c r="CU1456" s="1"/>
      <c r="CV1456" s="1"/>
      <c r="CW1456" s="1"/>
    </row>
    <row r="1457" spans="2:101" ht="15" hidden="1" customHeight="1" x14ac:dyDescent="0.25"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30"/>
      <c r="W1457" s="30"/>
      <c r="X1457" s="30"/>
      <c r="Y1457" s="30"/>
      <c r="Z1457" s="30"/>
      <c r="AA1457" s="30"/>
      <c r="AB1457" s="30"/>
      <c r="AC1457" s="30"/>
      <c r="AD1457" s="30"/>
      <c r="AE1457" s="30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30"/>
      <c r="AQ1457" s="30"/>
      <c r="AR1457" s="30"/>
      <c r="AS1457" s="30"/>
      <c r="AT1457" s="30"/>
      <c r="AU1457" s="30"/>
      <c r="AV1457" s="30"/>
      <c r="AW1457" s="30"/>
      <c r="AX1457" s="30"/>
      <c r="AY1457" s="30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30"/>
      <c r="BK1457" s="30"/>
      <c r="BL1457" s="30"/>
      <c r="BM1457" s="30"/>
      <c r="BN1457" s="30"/>
      <c r="BO1457" s="30"/>
      <c r="BP1457" s="30"/>
      <c r="BQ1457" s="30"/>
      <c r="BR1457" s="30"/>
      <c r="BS1457" s="30"/>
      <c r="BT1457" s="1"/>
      <c r="BU1457" s="1"/>
      <c r="BV1457" s="1"/>
      <c r="BW1457" s="1"/>
      <c r="BX1457" s="1"/>
      <c r="BY1457" s="1"/>
      <c r="BZ1457" s="1"/>
      <c r="CA1457" s="1"/>
      <c r="CB1457" s="1"/>
      <c r="CC1457" s="1"/>
      <c r="CD1457" s="30"/>
      <c r="CE1457" s="30"/>
      <c r="CF1457" s="30"/>
      <c r="CG1457" s="30"/>
      <c r="CH1457" s="30"/>
      <c r="CI1457" s="30"/>
      <c r="CJ1457" s="30"/>
      <c r="CK1457" s="30"/>
      <c r="CL1457" s="30"/>
      <c r="CM1457" s="30"/>
      <c r="CN1457" s="1"/>
      <c r="CO1457" s="1"/>
      <c r="CP1457" s="1"/>
      <c r="CQ1457" s="1"/>
      <c r="CR1457" s="1"/>
      <c r="CS1457" s="1"/>
      <c r="CT1457" s="1"/>
      <c r="CU1457" s="1"/>
      <c r="CV1457" s="1"/>
      <c r="CW1457" s="1"/>
    </row>
    <row r="1458" spans="2:101" ht="15" hidden="1" customHeight="1" x14ac:dyDescent="0.25"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30"/>
      <c r="W1458" s="30"/>
      <c r="X1458" s="30"/>
      <c r="Y1458" s="30"/>
      <c r="Z1458" s="30"/>
      <c r="AA1458" s="30"/>
      <c r="AB1458" s="30"/>
      <c r="AC1458" s="30"/>
      <c r="AD1458" s="30"/>
      <c r="AE1458" s="30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30"/>
      <c r="AQ1458" s="30"/>
      <c r="AR1458" s="30"/>
      <c r="AS1458" s="30"/>
      <c r="AT1458" s="30"/>
      <c r="AU1458" s="30"/>
      <c r="AV1458" s="30"/>
      <c r="AW1458" s="30"/>
      <c r="AX1458" s="30"/>
      <c r="AY1458" s="30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30"/>
      <c r="BK1458" s="30"/>
      <c r="BL1458" s="30"/>
      <c r="BM1458" s="30"/>
      <c r="BN1458" s="30"/>
      <c r="BO1458" s="30"/>
      <c r="BP1458" s="30"/>
      <c r="BQ1458" s="30"/>
      <c r="BR1458" s="30"/>
      <c r="BS1458" s="30"/>
      <c r="BT1458" s="1"/>
      <c r="BU1458" s="1"/>
      <c r="BV1458" s="1"/>
      <c r="BW1458" s="1"/>
      <c r="BX1458" s="1"/>
      <c r="BY1458" s="1"/>
      <c r="BZ1458" s="1"/>
      <c r="CA1458" s="1"/>
      <c r="CB1458" s="1"/>
      <c r="CC1458" s="1"/>
      <c r="CD1458" s="30"/>
      <c r="CE1458" s="30"/>
      <c r="CF1458" s="30"/>
      <c r="CG1458" s="30"/>
      <c r="CH1458" s="30"/>
      <c r="CI1458" s="30"/>
      <c r="CJ1458" s="30"/>
      <c r="CK1458" s="30"/>
      <c r="CL1458" s="30"/>
      <c r="CM1458" s="30"/>
      <c r="CN1458" s="1"/>
      <c r="CO1458" s="1"/>
      <c r="CP1458" s="1"/>
      <c r="CQ1458" s="1"/>
      <c r="CR1458" s="1"/>
      <c r="CS1458" s="1"/>
      <c r="CT1458" s="1"/>
      <c r="CU1458" s="1"/>
      <c r="CV1458" s="1"/>
      <c r="CW1458" s="1"/>
    </row>
    <row r="1459" spans="2:101" ht="15" hidden="1" customHeight="1" x14ac:dyDescent="0.25"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30"/>
      <c r="W1459" s="30"/>
      <c r="X1459" s="30"/>
      <c r="Y1459" s="30"/>
      <c r="Z1459" s="30"/>
      <c r="AA1459" s="30"/>
      <c r="AB1459" s="30"/>
      <c r="AC1459" s="30"/>
      <c r="AD1459" s="30"/>
      <c r="AE1459" s="30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30"/>
      <c r="AQ1459" s="30"/>
      <c r="AR1459" s="30"/>
      <c r="AS1459" s="30"/>
      <c r="AT1459" s="30"/>
      <c r="AU1459" s="30"/>
      <c r="AV1459" s="30"/>
      <c r="AW1459" s="30"/>
      <c r="AX1459" s="30"/>
      <c r="AY1459" s="30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30"/>
      <c r="BK1459" s="30"/>
      <c r="BL1459" s="30"/>
      <c r="BM1459" s="30"/>
      <c r="BN1459" s="30"/>
      <c r="BO1459" s="30"/>
      <c r="BP1459" s="30"/>
      <c r="BQ1459" s="30"/>
      <c r="BR1459" s="30"/>
      <c r="BS1459" s="30"/>
      <c r="BT1459" s="1"/>
      <c r="BU1459" s="1"/>
      <c r="BV1459" s="1"/>
      <c r="BW1459" s="1"/>
      <c r="BX1459" s="1"/>
      <c r="BY1459" s="1"/>
      <c r="BZ1459" s="1"/>
      <c r="CA1459" s="1"/>
      <c r="CB1459" s="1"/>
      <c r="CC1459" s="1"/>
      <c r="CD1459" s="30"/>
      <c r="CE1459" s="30"/>
      <c r="CF1459" s="30"/>
      <c r="CG1459" s="30"/>
      <c r="CH1459" s="30"/>
      <c r="CI1459" s="30"/>
      <c r="CJ1459" s="30"/>
      <c r="CK1459" s="30"/>
      <c r="CL1459" s="30"/>
      <c r="CM1459" s="30"/>
      <c r="CN1459" s="1"/>
      <c r="CO1459" s="1"/>
      <c r="CP1459" s="1"/>
      <c r="CQ1459" s="1"/>
      <c r="CR1459" s="1"/>
      <c r="CS1459" s="1"/>
      <c r="CT1459" s="1"/>
      <c r="CU1459" s="1"/>
      <c r="CV1459" s="1"/>
      <c r="CW1459" s="1"/>
    </row>
    <row r="1460" spans="2:101" ht="15" hidden="1" customHeight="1" x14ac:dyDescent="0.25"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30"/>
      <c r="W1460" s="30"/>
      <c r="X1460" s="30"/>
      <c r="Y1460" s="30"/>
      <c r="Z1460" s="30"/>
      <c r="AA1460" s="30"/>
      <c r="AB1460" s="30"/>
      <c r="AC1460" s="30"/>
      <c r="AD1460" s="30"/>
      <c r="AE1460" s="30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30"/>
      <c r="AQ1460" s="30"/>
      <c r="AR1460" s="30"/>
      <c r="AS1460" s="30"/>
      <c r="AT1460" s="30"/>
      <c r="AU1460" s="30"/>
      <c r="AV1460" s="30"/>
      <c r="AW1460" s="30"/>
      <c r="AX1460" s="30"/>
      <c r="AY1460" s="30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30"/>
      <c r="BK1460" s="30"/>
      <c r="BL1460" s="30"/>
      <c r="BM1460" s="30"/>
      <c r="BN1460" s="30"/>
      <c r="BO1460" s="30"/>
      <c r="BP1460" s="30"/>
      <c r="BQ1460" s="30"/>
      <c r="BR1460" s="30"/>
      <c r="BS1460" s="30"/>
      <c r="BT1460" s="1"/>
      <c r="BU1460" s="1"/>
      <c r="BV1460" s="1"/>
      <c r="BW1460" s="1"/>
      <c r="BX1460" s="1"/>
      <c r="BY1460" s="1"/>
      <c r="BZ1460" s="1"/>
      <c r="CA1460" s="1"/>
      <c r="CB1460" s="1"/>
      <c r="CC1460" s="1"/>
      <c r="CD1460" s="30"/>
      <c r="CE1460" s="30"/>
      <c r="CF1460" s="30"/>
      <c r="CG1460" s="30"/>
      <c r="CH1460" s="30"/>
      <c r="CI1460" s="30"/>
      <c r="CJ1460" s="30"/>
      <c r="CK1460" s="30"/>
      <c r="CL1460" s="30"/>
      <c r="CM1460" s="30"/>
      <c r="CN1460" s="1"/>
      <c r="CO1460" s="1"/>
      <c r="CP1460" s="1"/>
      <c r="CQ1460" s="1"/>
      <c r="CR1460" s="1"/>
      <c r="CS1460" s="1"/>
      <c r="CT1460" s="1"/>
      <c r="CU1460" s="1"/>
      <c r="CV1460" s="1"/>
      <c r="CW1460" s="1"/>
    </row>
    <row r="1461" spans="2:101" ht="15" hidden="1" customHeight="1" x14ac:dyDescent="0.25"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30"/>
      <c r="W1461" s="30"/>
      <c r="X1461" s="30"/>
      <c r="Y1461" s="30"/>
      <c r="Z1461" s="30"/>
      <c r="AA1461" s="30"/>
      <c r="AB1461" s="30"/>
      <c r="AC1461" s="30"/>
      <c r="AD1461" s="30"/>
      <c r="AE1461" s="30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30"/>
      <c r="AQ1461" s="30"/>
      <c r="AR1461" s="30"/>
      <c r="AS1461" s="30"/>
      <c r="AT1461" s="30"/>
      <c r="AU1461" s="30"/>
      <c r="AV1461" s="30"/>
      <c r="AW1461" s="30"/>
      <c r="AX1461" s="30"/>
      <c r="AY1461" s="30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30"/>
      <c r="BK1461" s="30"/>
      <c r="BL1461" s="30"/>
      <c r="BM1461" s="30"/>
      <c r="BN1461" s="30"/>
      <c r="BO1461" s="30"/>
      <c r="BP1461" s="30"/>
      <c r="BQ1461" s="30"/>
      <c r="BR1461" s="30"/>
      <c r="BS1461" s="30"/>
      <c r="BT1461" s="1"/>
      <c r="BU1461" s="1"/>
      <c r="BV1461" s="1"/>
      <c r="BW1461" s="1"/>
      <c r="BX1461" s="1"/>
      <c r="BY1461" s="1"/>
      <c r="BZ1461" s="1"/>
      <c r="CA1461" s="1"/>
      <c r="CB1461" s="1"/>
      <c r="CC1461" s="1"/>
      <c r="CD1461" s="30"/>
      <c r="CE1461" s="30"/>
      <c r="CF1461" s="30"/>
      <c r="CG1461" s="30"/>
      <c r="CH1461" s="30"/>
      <c r="CI1461" s="30"/>
      <c r="CJ1461" s="30"/>
      <c r="CK1461" s="30"/>
      <c r="CL1461" s="30"/>
      <c r="CM1461" s="30"/>
      <c r="CN1461" s="1"/>
      <c r="CO1461" s="1"/>
      <c r="CP1461" s="1"/>
      <c r="CQ1461" s="1"/>
      <c r="CR1461" s="1"/>
      <c r="CS1461" s="1"/>
      <c r="CT1461" s="1"/>
      <c r="CU1461" s="1"/>
      <c r="CV1461" s="1"/>
      <c r="CW1461" s="1"/>
    </row>
    <row r="1462" spans="2:101" ht="15" hidden="1" customHeight="1" x14ac:dyDescent="0.25"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30"/>
      <c r="W1462" s="30"/>
      <c r="X1462" s="30"/>
      <c r="Y1462" s="30"/>
      <c r="Z1462" s="30"/>
      <c r="AA1462" s="30"/>
      <c r="AB1462" s="30"/>
      <c r="AC1462" s="30"/>
      <c r="AD1462" s="30"/>
      <c r="AE1462" s="30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30"/>
      <c r="AQ1462" s="30"/>
      <c r="AR1462" s="30"/>
      <c r="AS1462" s="30"/>
      <c r="AT1462" s="30"/>
      <c r="AU1462" s="30"/>
      <c r="AV1462" s="30"/>
      <c r="AW1462" s="30"/>
      <c r="AX1462" s="30"/>
      <c r="AY1462" s="30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30"/>
      <c r="BK1462" s="30"/>
      <c r="BL1462" s="30"/>
      <c r="BM1462" s="30"/>
      <c r="BN1462" s="30"/>
      <c r="BO1462" s="30"/>
      <c r="BP1462" s="30"/>
      <c r="BQ1462" s="30"/>
      <c r="BR1462" s="30"/>
      <c r="BS1462" s="30"/>
      <c r="BT1462" s="1"/>
      <c r="BU1462" s="1"/>
      <c r="BV1462" s="1"/>
      <c r="BW1462" s="1"/>
      <c r="BX1462" s="1"/>
      <c r="BY1462" s="1"/>
      <c r="BZ1462" s="1"/>
      <c r="CA1462" s="1"/>
      <c r="CB1462" s="1"/>
      <c r="CC1462" s="1"/>
      <c r="CD1462" s="30"/>
      <c r="CE1462" s="30"/>
      <c r="CF1462" s="30"/>
      <c r="CG1462" s="30"/>
      <c r="CH1462" s="30"/>
      <c r="CI1462" s="30"/>
      <c r="CJ1462" s="30"/>
      <c r="CK1462" s="30"/>
      <c r="CL1462" s="30"/>
      <c r="CM1462" s="30"/>
      <c r="CN1462" s="1"/>
      <c r="CO1462" s="1"/>
      <c r="CP1462" s="1"/>
      <c r="CQ1462" s="1"/>
      <c r="CR1462" s="1"/>
      <c r="CS1462" s="1"/>
      <c r="CT1462" s="1"/>
      <c r="CU1462" s="1"/>
      <c r="CV1462" s="1"/>
      <c r="CW1462" s="1"/>
    </row>
    <row r="1463" spans="2:101" ht="15" hidden="1" customHeight="1" x14ac:dyDescent="0.25"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30"/>
      <c r="W1463" s="30"/>
      <c r="X1463" s="30"/>
      <c r="Y1463" s="30"/>
      <c r="Z1463" s="30"/>
      <c r="AA1463" s="30"/>
      <c r="AB1463" s="30"/>
      <c r="AC1463" s="30"/>
      <c r="AD1463" s="30"/>
      <c r="AE1463" s="30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30"/>
      <c r="AQ1463" s="30"/>
      <c r="AR1463" s="30"/>
      <c r="AS1463" s="30"/>
      <c r="AT1463" s="30"/>
      <c r="AU1463" s="30"/>
      <c r="AV1463" s="30"/>
      <c r="AW1463" s="30"/>
      <c r="AX1463" s="30"/>
      <c r="AY1463" s="30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30"/>
      <c r="BK1463" s="30"/>
      <c r="BL1463" s="30"/>
      <c r="BM1463" s="30"/>
      <c r="BN1463" s="30"/>
      <c r="BO1463" s="30"/>
      <c r="BP1463" s="30"/>
      <c r="BQ1463" s="30"/>
      <c r="BR1463" s="30"/>
      <c r="BS1463" s="30"/>
      <c r="BT1463" s="1"/>
      <c r="BU1463" s="1"/>
      <c r="BV1463" s="1"/>
      <c r="BW1463" s="1"/>
      <c r="BX1463" s="1"/>
      <c r="BY1463" s="1"/>
      <c r="BZ1463" s="1"/>
      <c r="CA1463" s="1"/>
      <c r="CB1463" s="1"/>
      <c r="CC1463" s="1"/>
      <c r="CD1463" s="30"/>
      <c r="CE1463" s="30"/>
      <c r="CF1463" s="30"/>
      <c r="CG1463" s="30"/>
      <c r="CH1463" s="30"/>
      <c r="CI1463" s="30"/>
      <c r="CJ1463" s="30"/>
      <c r="CK1463" s="30"/>
      <c r="CL1463" s="30"/>
      <c r="CM1463" s="30"/>
      <c r="CN1463" s="1"/>
      <c r="CO1463" s="1"/>
      <c r="CP1463" s="1"/>
      <c r="CQ1463" s="1"/>
      <c r="CR1463" s="1"/>
      <c r="CS1463" s="1"/>
      <c r="CT1463" s="1"/>
      <c r="CU1463" s="1"/>
      <c r="CV1463" s="1"/>
      <c r="CW1463" s="1"/>
    </row>
    <row r="1464" spans="2:101" ht="15" hidden="1" customHeight="1" x14ac:dyDescent="0.25"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30"/>
      <c r="W1464" s="30"/>
      <c r="X1464" s="30"/>
      <c r="Y1464" s="30"/>
      <c r="Z1464" s="30"/>
      <c r="AA1464" s="30"/>
      <c r="AB1464" s="30"/>
      <c r="AC1464" s="30"/>
      <c r="AD1464" s="30"/>
      <c r="AE1464" s="30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30"/>
      <c r="AQ1464" s="30"/>
      <c r="AR1464" s="30"/>
      <c r="AS1464" s="30"/>
      <c r="AT1464" s="30"/>
      <c r="AU1464" s="30"/>
      <c r="AV1464" s="30"/>
      <c r="AW1464" s="30"/>
      <c r="AX1464" s="30"/>
      <c r="AY1464" s="30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30"/>
      <c r="BK1464" s="30"/>
      <c r="BL1464" s="30"/>
      <c r="BM1464" s="30"/>
      <c r="BN1464" s="30"/>
      <c r="BO1464" s="30"/>
      <c r="BP1464" s="30"/>
      <c r="BQ1464" s="30"/>
      <c r="BR1464" s="30"/>
      <c r="BS1464" s="30"/>
      <c r="BT1464" s="1"/>
      <c r="BU1464" s="1"/>
      <c r="BV1464" s="1"/>
      <c r="BW1464" s="1"/>
      <c r="BX1464" s="1"/>
      <c r="BY1464" s="1"/>
      <c r="BZ1464" s="1"/>
      <c r="CA1464" s="1"/>
      <c r="CB1464" s="1"/>
      <c r="CC1464" s="1"/>
      <c r="CD1464" s="30"/>
      <c r="CE1464" s="30"/>
      <c r="CF1464" s="30"/>
      <c r="CG1464" s="30"/>
      <c r="CH1464" s="30"/>
      <c r="CI1464" s="30"/>
      <c r="CJ1464" s="30"/>
      <c r="CK1464" s="30"/>
      <c r="CL1464" s="30"/>
      <c r="CM1464" s="30"/>
      <c r="CN1464" s="1"/>
      <c r="CO1464" s="1"/>
      <c r="CP1464" s="1"/>
      <c r="CQ1464" s="1"/>
      <c r="CR1464" s="1"/>
      <c r="CS1464" s="1"/>
      <c r="CT1464" s="1"/>
      <c r="CU1464" s="1"/>
      <c r="CV1464" s="1"/>
      <c r="CW1464" s="1"/>
    </row>
    <row r="1465" spans="2:101" ht="15" hidden="1" customHeight="1" x14ac:dyDescent="0.25"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30"/>
      <c r="W1465" s="30"/>
      <c r="X1465" s="30"/>
      <c r="Y1465" s="30"/>
      <c r="Z1465" s="30"/>
      <c r="AA1465" s="30"/>
      <c r="AB1465" s="30"/>
      <c r="AC1465" s="30"/>
      <c r="AD1465" s="30"/>
      <c r="AE1465" s="30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30"/>
      <c r="AQ1465" s="30"/>
      <c r="AR1465" s="30"/>
      <c r="AS1465" s="30"/>
      <c r="AT1465" s="30"/>
      <c r="AU1465" s="30"/>
      <c r="AV1465" s="30"/>
      <c r="AW1465" s="30"/>
      <c r="AX1465" s="30"/>
      <c r="AY1465" s="30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30"/>
      <c r="BK1465" s="30"/>
      <c r="BL1465" s="30"/>
      <c r="BM1465" s="30"/>
      <c r="BN1465" s="30"/>
      <c r="BO1465" s="30"/>
      <c r="BP1465" s="30"/>
      <c r="BQ1465" s="30"/>
      <c r="BR1465" s="30"/>
      <c r="BS1465" s="30"/>
      <c r="BT1465" s="1"/>
      <c r="BU1465" s="1"/>
      <c r="BV1465" s="1"/>
      <c r="BW1465" s="1"/>
      <c r="BX1465" s="1"/>
      <c r="BY1465" s="1"/>
      <c r="BZ1465" s="1"/>
      <c r="CA1465" s="1"/>
      <c r="CB1465" s="1"/>
      <c r="CC1465" s="1"/>
      <c r="CD1465" s="30"/>
      <c r="CE1465" s="30"/>
      <c r="CF1465" s="30"/>
      <c r="CG1465" s="30"/>
      <c r="CH1465" s="30"/>
      <c r="CI1465" s="30"/>
      <c r="CJ1465" s="30"/>
      <c r="CK1465" s="30"/>
      <c r="CL1465" s="30"/>
      <c r="CM1465" s="30"/>
      <c r="CN1465" s="1"/>
      <c r="CO1465" s="1"/>
      <c r="CP1465" s="1"/>
      <c r="CQ1465" s="1"/>
      <c r="CR1465" s="1"/>
      <c r="CS1465" s="1"/>
      <c r="CT1465" s="1"/>
      <c r="CU1465" s="1"/>
      <c r="CV1465" s="1"/>
      <c r="CW1465" s="1"/>
    </row>
    <row r="1466" spans="2:101" ht="15" hidden="1" customHeight="1" x14ac:dyDescent="0.25"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30"/>
      <c r="W1466" s="30"/>
      <c r="X1466" s="30"/>
      <c r="Y1466" s="30"/>
      <c r="Z1466" s="30"/>
      <c r="AA1466" s="30"/>
      <c r="AB1466" s="30"/>
      <c r="AC1466" s="30"/>
      <c r="AD1466" s="30"/>
      <c r="AE1466" s="30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30"/>
      <c r="AQ1466" s="30"/>
      <c r="AR1466" s="30"/>
      <c r="AS1466" s="30"/>
      <c r="AT1466" s="30"/>
      <c r="AU1466" s="30"/>
      <c r="AV1466" s="30"/>
      <c r="AW1466" s="30"/>
      <c r="AX1466" s="30"/>
      <c r="AY1466" s="30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30"/>
      <c r="BK1466" s="30"/>
      <c r="BL1466" s="30"/>
      <c r="BM1466" s="30"/>
      <c r="BN1466" s="30"/>
      <c r="BO1466" s="30"/>
      <c r="BP1466" s="30"/>
      <c r="BQ1466" s="30"/>
      <c r="BR1466" s="30"/>
      <c r="BS1466" s="30"/>
      <c r="BT1466" s="1"/>
      <c r="BU1466" s="1"/>
      <c r="BV1466" s="1"/>
      <c r="BW1466" s="1"/>
      <c r="BX1466" s="1"/>
      <c r="BY1466" s="1"/>
      <c r="BZ1466" s="1"/>
      <c r="CA1466" s="1"/>
      <c r="CB1466" s="1"/>
      <c r="CC1466" s="1"/>
      <c r="CD1466" s="30"/>
      <c r="CE1466" s="30"/>
      <c r="CF1466" s="30"/>
      <c r="CG1466" s="30"/>
      <c r="CH1466" s="30"/>
      <c r="CI1466" s="30"/>
      <c r="CJ1466" s="30"/>
      <c r="CK1466" s="30"/>
      <c r="CL1466" s="30"/>
      <c r="CM1466" s="30"/>
      <c r="CN1466" s="1"/>
      <c r="CO1466" s="1"/>
      <c r="CP1466" s="1"/>
      <c r="CQ1466" s="1"/>
      <c r="CR1466" s="1"/>
      <c r="CS1466" s="1"/>
      <c r="CT1466" s="1"/>
      <c r="CU1466" s="1"/>
      <c r="CV1466" s="1"/>
      <c r="CW1466" s="1"/>
    </row>
    <row r="1467" spans="2:101" ht="15" hidden="1" customHeight="1" x14ac:dyDescent="0.25"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30"/>
      <c r="W1467" s="30"/>
      <c r="X1467" s="30"/>
      <c r="Y1467" s="30"/>
      <c r="Z1467" s="30"/>
      <c r="AA1467" s="30"/>
      <c r="AB1467" s="30"/>
      <c r="AC1467" s="30"/>
      <c r="AD1467" s="30"/>
      <c r="AE1467" s="30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30"/>
      <c r="AQ1467" s="30"/>
      <c r="AR1467" s="30"/>
      <c r="AS1467" s="30"/>
      <c r="AT1467" s="30"/>
      <c r="AU1467" s="30"/>
      <c r="AV1467" s="30"/>
      <c r="AW1467" s="30"/>
      <c r="AX1467" s="30"/>
      <c r="AY1467" s="30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30"/>
      <c r="BK1467" s="30"/>
      <c r="BL1467" s="30"/>
      <c r="BM1467" s="30"/>
      <c r="BN1467" s="30"/>
      <c r="BO1467" s="30"/>
      <c r="BP1467" s="30"/>
      <c r="BQ1467" s="30"/>
      <c r="BR1467" s="30"/>
      <c r="BS1467" s="30"/>
      <c r="BT1467" s="1"/>
      <c r="BU1467" s="1"/>
      <c r="BV1467" s="1"/>
      <c r="BW1467" s="1"/>
      <c r="BX1467" s="1"/>
      <c r="BY1467" s="1"/>
      <c r="BZ1467" s="1"/>
      <c r="CA1467" s="1"/>
      <c r="CB1467" s="1"/>
      <c r="CC1467" s="1"/>
      <c r="CD1467" s="30"/>
      <c r="CE1467" s="30"/>
      <c r="CF1467" s="30"/>
      <c r="CG1467" s="30"/>
      <c r="CH1467" s="30"/>
      <c r="CI1467" s="30"/>
      <c r="CJ1467" s="30"/>
      <c r="CK1467" s="30"/>
      <c r="CL1467" s="30"/>
      <c r="CM1467" s="30"/>
      <c r="CN1467" s="1"/>
      <c r="CO1467" s="1"/>
      <c r="CP1467" s="1"/>
      <c r="CQ1467" s="1"/>
      <c r="CR1467" s="1"/>
      <c r="CS1467" s="1"/>
      <c r="CT1467" s="1"/>
      <c r="CU1467" s="1"/>
      <c r="CV1467" s="1"/>
      <c r="CW1467" s="1"/>
    </row>
    <row r="1468" spans="2:101" ht="15" hidden="1" customHeight="1" x14ac:dyDescent="0.25"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30"/>
      <c r="W1468" s="30"/>
      <c r="X1468" s="30"/>
      <c r="Y1468" s="30"/>
      <c r="Z1468" s="30"/>
      <c r="AA1468" s="30"/>
      <c r="AB1468" s="30"/>
      <c r="AC1468" s="30"/>
      <c r="AD1468" s="30"/>
      <c r="AE1468" s="30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30"/>
      <c r="AQ1468" s="30"/>
      <c r="AR1468" s="30"/>
      <c r="AS1468" s="30"/>
      <c r="AT1468" s="30"/>
      <c r="AU1468" s="30"/>
      <c r="AV1468" s="30"/>
      <c r="AW1468" s="30"/>
      <c r="AX1468" s="30"/>
      <c r="AY1468" s="30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30"/>
      <c r="BK1468" s="30"/>
      <c r="BL1468" s="30"/>
      <c r="BM1468" s="30"/>
      <c r="BN1468" s="30"/>
      <c r="BO1468" s="30"/>
      <c r="BP1468" s="30"/>
      <c r="BQ1468" s="30"/>
      <c r="BR1468" s="30"/>
      <c r="BS1468" s="30"/>
      <c r="BT1468" s="1"/>
      <c r="BU1468" s="1"/>
      <c r="BV1468" s="1"/>
      <c r="BW1468" s="1"/>
      <c r="BX1468" s="1"/>
      <c r="BY1468" s="1"/>
      <c r="BZ1468" s="1"/>
      <c r="CA1468" s="1"/>
      <c r="CB1468" s="1"/>
      <c r="CC1468" s="1"/>
      <c r="CD1468" s="30"/>
      <c r="CE1468" s="30"/>
      <c r="CF1468" s="30"/>
      <c r="CG1468" s="30"/>
      <c r="CH1468" s="30"/>
      <c r="CI1468" s="30"/>
      <c r="CJ1468" s="30"/>
      <c r="CK1468" s="30"/>
      <c r="CL1468" s="30"/>
      <c r="CM1468" s="30"/>
      <c r="CN1468" s="1"/>
      <c r="CO1468" s="1"/>
      <c r="CP1468" s="1"/>
      <c r="CQ1468" s="1"/>
      <c r="CR1468" s="1"/>
      <c r="CS1468" s="1"/>
      <c r="CT1468" s="1"/>
      <c r="CU1468" s="1"/>
      <c r="CV1468" s="1"/>
      <c r="CW1468" s="1"/>
    </row>
    <row r="1469" spans="2:101" ht="15" hidden="1" customHeight="1" x14ac:dyDescent="0.25"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30"/>
      <c r="W1469" s="30"/>
      <c r="X1469" s="30"/>
      <c r="Y1469" s="30"/>
      <c r="Z1469" s="30"/>
      <c r="AA1469" s="30"/>
      <c r="AB1469" s="30"/>
      <c r="AC1469" s="30"/>
      <c r="AD1469" s="30"/>
      <c r="AE1469" s="30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30"/>
      <c r="AQ1469" s="30"/>
      <c r="AR1469" s="30"/>
      <c r="AS1469" s="30"/>
      <c r="AT1469" s="30"/>
      <c r="AU1469" s="30"/>
      <c r="AV1469" s="30"/>
      <c r="AW1469" s="30"/>
      <c r="AX1469" s="30"/>
      <c r="AY1469" s="30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30"/>
      <c r="BK1469" s="30"/>
      <c r="BL1469" s="30"/>
      <c r="BM1469" s="30"/>
      <c r="BN1469" s="30"/>
      <c r="BO1469" s="30"/>
      <c r="BP1469" s="30"/>
      <c r="BQ1469" s="30"/>
      <c r="BR1469" s="30"/>
      <c r="BS1469" s="30"/>
      <c r="BT1469" s="1"/>
      <c r="BU1469" s="1"/>
      <c r="BV1469" s="1"/>
      <c r="BW1469" s="1"/>
      <c r="BX1469" s="1"/>
      <c r="BY1469" s="1"/>
      <c r="BZ1469" s="1"/>
      <c r="CA1469" s="1"/>
      <c r="CB1469" s="1"/>
      <c r="CC1469" s="1"/>
      <c r="CD1469" s="30"/>
      <c r="CE1469" s="30"/>
      <c r="CF1469" s="30"/>
      <c r="CG1469" s="30"/>
      <c r="CH1469" s="30"/>
      <c r="CI1469" s="30"/>
      <c r="CJ1469" s="30"/>
      <c r="CK1469" s="30"/>
      <c r="CL1469" s="30"/>
      <c r="CM1469" s="30"/>
      <c r="CN1469" s="1"/>
      <c r="CO1469" s="1"/>
      <c r="CP1469" s="1"/>
      <c r="CQ1469" s="1"/>
      <c r="CR1469" s="1"/>
      <c r="CS1469" s="1"/>
      <c r="CT1469" s="1"/>
      <c r="CU1469" s="1"/>
      <c r="CV1469" s="1"/>
      <c r="CW1469" s="1"/>
    </row>
    <row r="1470" spans="2:101" ht="15" hidden="1" customHeight="1" x14ac:dyDescent="0.25"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30"/>
      <c r="W1470" s="30"/>
      <c r="X1470" s="30"/>
      <c r="Y1470" s="30"/>
      <c r="Z1470" s="30"/>
      <c r="AA1470" s="30"/>
      <c r="AB1470" s="30"/>
      <c r="AC1470" s="30"/>
      <c r="AD1470" s="30"/>
      <c r="AE1470" s="30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30"/>
      <c r="AQ1470" s="30"/>
      <c r="AR1470" s="30"/>
      <c r="AS1470" s="30"/>
      <c r="AT1470" s="30"/>
      <c r="AU1470" s="30"/>
      <c r="AV1470" s="30"/>
      <c r="AW1470" s="30"/>
      <c r="AX1470" s="30"/>
      <c r="AY1470" s="30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30"/>
      <c r="BK1470" s="30"/>
      <c r="BL1470" s="30"/>
      <c r="BM1470" s="30"/>
      <c r="BN1470" s="30"/>
      <c r="BO1470" s="30"/>
      <c r="BP1470" s="30"/>
      <c r="BQ1470" s="30"/>
      <c r="BR1470" s="30"/>
      <c r="BS1470" s="30"/>
      <c r="BT1470" s="1"/>
      <c r="BU1470" s="1"/>
      <c r="BV1470" s="1"/>
      <c r="BW1470" s="1"/>
      <c r="BX1470" s="1"/>
      <c r="BY1470" s="1"/>
      <c r="BZ1470" s="1"/>
      <c r="CA1470" s="1"/>
      <c r="CB1470" s="1"/>
      <c r="CC1470" s="1"/>
      <c r="CD1470" s="30"/>
      <c r="CE1470" s="30"/>
      <c r="CF1470" s="30"/>
      <c r="CG1470" s="30"/>
      <c r="CH1470" s="30"/>
      <c r="CI1470" s="30"/>
      <c r="CJ1470" s="30"/>
      <c r="CK1470" s="30"/>
      <c r="CL1470" s="30"/>
      <c r="CM1470" s="30"/>
      <c r="CN1470" s="1"/>
      <c r="CO1470" s="1"/>
      <c r="CP1470" s="1"/>
      <c r="CQ1470" s="1"/>
      <c r="CR1470" s="1"/>
      <c r="CS1470" s="1"/>
      <c r="CT1470" s="1"/>
      <c r="CU1470" s="1"/>
      <c r="CV1470" s="1"/>
      <c r="CW1470" s="1"/>
    </row>
    <row r="1471" spans="2:101" ht="15" hidden="1" customHeight="1" x14ac:dyDescent="0.25"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30"/>
      <c r="W1471" s="30"/>
      <c r="X1471" s="30"/>
      <c r="Y1471" s="30"/>
      <c r="Z1471" s="30"/>
      <c r="AA1471" s="30"/>
      <c r="AB1471" s="30"/>
      <c r="AC1471" s="30"/>
      <c r="AD1471" s="30"/>
      <c r="AE1471" s="30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30"/>
      <c r="AQ1471" s="30"/>
      <c r="AR1471" s="30"/>
      <c r="AS1471" s="30"/>
      <c r="AT1471" s="30"/>
      <c r="AU1471" s="30"/>
      <c r="AV1471" s="30"/>
      <c r="AW1471" s="30"/>
      <c r="AX1471" s="30"/>
      <c r="AY1471" s="30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30"/>
      <c r="BK1471" s="30"/>
      <c r="BL1471" s="30"/>
      <c r="BM1471" s="30"/>
      <c r="BN1471" s="30"/>
      <c r="BO1471" s="30"/>
      <c r="BP1471" s="30"/>
      <c r="BQ1471" s="30"/>
      <c r="BR1471" s="30"/>
      <c r="BS1471" s="30"/>
      <c r="BT1471" s="1"/>
      <c r="BU1471" s="1"/>
      <c r="BV1471" s="1"/>
      <c r="BW1471" s="1"/>
      <c r="BX1471" s="1"/>
      <c r="BY1471" s="1"/>
      <c r="BZ1471" s="1"/>
      <c r="CA1471" s="1"/>
      <c r="CB1471" s="1"/>
      <c r="CC1471" s="1"/>
      <c r="CD1471" s="30"/>
      <c r="CE1471" s="30"/>
      <c r="CF1471" s="30"/>
      <c r="CG1471" s="30"/>
      <c r="CH1471" s="30"/>
      <c r="CI1471" s="30"/>
      <c r="CJ1471" s="30"/>
      <c r="CK1471" s="30"/>
      <c r="CL1471" s="30"/>
      <c r="CM1471" s="30"/>
      <c r="CN1471" s="1"/>
      <c r="CO1471" s="1"/>
      <c r="CP1471" s="1"/>
      <c r="CQ1471" s="1"/>
      <c r="CR1471" s="1"/>
      <c r="CS1471" s="1"/>
      <c r="CT1471" s="1"/>
      <c r="CU1471" s="1"/>
      <c r="CV1471" s="1"/>
      <c r="CW1471" s="1"/>
    </row>
    <row r="1472" spans="2:101" ht="15" hidden="1" customHeight="1" x14ac:dyDescent="0.25"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30"/>
      <c r="W1472" s="30"/>
      <c r="X1472" s="30"/>
      <c r="Y1472" s="30"/>
      <c r="Z1472" s="30"/>
      <c r="AA1472" s="30"/>
      <c r="AB1472" s="30"/>
      <c r="AC1472" s="30"/>
      <c r="AD1472" s="30"/>
      <c r="AE1472" s="30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30"/>
      <c r="AQ1472" s="30"/>
      <c r="AR1472" s="30"/>
      <c r="AS1472" s="30"/>
      <c r="AT1472" s="30"/>
      <c r="AU1472" s="30"/>
      <c r="AV1472" s="30"/>
      <c r="AW1472" s="30"/>
      <c r="AX1472" s="30"/>
      <c r="AY1472" s="30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30"/>
      <c r="BK1472" s="30"/>
      <c r="BL1472" s="30"/>
      <c r="BM1472" s="30"/>
      <c r="BN1472" s="30"/>
      <c r="BO1472" s="30"/>
      <c r="BP1472" s="30"/>
      <c r="BQ1472" s="30"/>
      <c r="BR1472" s="30"/>
      <c r="BS1472" s="30"/>
      <c r="BT1472" s="1"/>
      <c r="BU1472" s="1"/>
      <c r="BV1472" s="1"/>
      <c r="BW1472" s="1"/>
      <c r="BX1472" s="1"/>
      <c r="BY1472" s="1"/>
      <c r="BZ1472" s="1"/>
      <c r="CA1472" s="1"/>
      <c r="CB1472" s="1"/>
      <c r="CC1472" s="1"/>
      <c r="CD1472" s="30"/>
      <c r="CE1472" s="30"/>
      <c r="CF1472" s="30"/>
      <c r="CG1472" s="30"/>
      <c r="CH1472" s="30"/>
      <c r="CI1472" s="30"/>
      <c r="CJ1472" s="30"/>
      <c r="CK1472" s="30"/>
      <c r="CL1472" s="30"/>
      <c r="CM1472" s="30"/>
      <c r="CN1472" s="1"/>
      <c r="CO1472" s="1"/>
      <c r="CP1472" s="1"/>
      <c r="CQ1472" s="1"/>
      <c r="CR1472" s="1"/>
      <c r="CS1472" s="1"/>
      <c r="CT1472" s="1"/>
      <c r="CU1472" s="1"/>
      <c r="CV1472" s="1"/>
      <c r="CW1472" s="1"/>
    </row>
    <row r="1473" spans="2:101" ht="15" hidden="1" customHeight="1" x14ac:dyDescent="0.25"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30"/>
      <c r="W1473" s="30"/>
      <c r="X1473" s="30"/>
      <c r="Y1473" s="30"/>
      <c r="Z1473" s="30"/>
      <c r="AA1473" s="30"/>
      <c r="AB1473" s="30"/>
      <c r="AC1473" s="30"/>
      <c r="AD1473" s="30"/>
      <c r="AE1473" s="30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30"/>
      <c r="AQ1473" s="30"/>
      <c r="AR1473" s="30"/>
      <c r="AS1473" s="30"/>
      <c r="AT1473" s="30"/>
      <c r="AU1473" s="30"/>
      <c r="AV1473" s="30"/>
      <c r="AW1473" s="30"/>
      <c r="AX1473" s="30"/>
      <c r="AY1473" s="30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30"/>
      <c r="BK1473" s="30"/>
      <c r="BL1473" s="30"/>
      <c r="BM1473" s="30"/>
      <c r="BN1473" s="30"/>
      <c r="BO1473" s="30"/>
      <c r="BP1473" s="30"/>
      <c r="BQ1473" s="30"/>
      <c r="BR1473" s="30"/>
      <c r="BS1473" s="30"/>
      <c r="BT1473" s="1"/>
      <c r="BU1473" s="1"/>
      <c r="BV1473" s="1"/>
      <c r="BW1473" s="1"/>
      <c r="BX1473" s="1"/>
      <c r="BY1473" s="1"/>
      <c r="BZ1473" s="1"/>
      <c r="CA1473" s="1"/>
      <c r="CB1473" s="1"/>
      <c r="CC1473" s="1"/>
      <c r="CD1473" s="30"/>
      <c r="CE1473" s="30"/>
      <c r="CF1473" s="30"/>
      <c r="CG1473" s="30"/>
      <c r="CH1473" s="30"/>
      <c r="CI1473" s="30"/>
      <c r="CJ1473" s="30"/>
      <c r="CK1473" s="30"/>
      <c r="CL1473" s="30"/>
      <c r="CM1473" s="30"/>
      <c r="CN1473" s="1"/>
      <c r="CO1473" s="1"/>
      <c r="CP1473" s="1"/>
      <c r="CQ1473" s="1"/>
      <c r="CR1473" s="1"/>
      <c r="CS1473" s="1"/>
      <c r="CT1473" s="1"/>
      <c r="CU1473" s="1"/>
      <c r="CV1473" s="1"/>
      <c r="CW1473" s="1"/>
    </row>
    <row r="1474" spans="2:101" ht="15" hidden="1" customHeight="1" x14ac:dyDescent="0.25"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30"/>
      <c r="W1474" s="30"/>
      <c r="X1474" s="30"/>
      <c r="Y1474" s="30"/>
      <c r="Z1474" s="30"/>
      <c r="AA1474" s="30"/>
      <c r="AB1474" s="30"/>
      <c r="AC1474" s="30"/>
      <c r="AD1474" s="30"/>
      <c r="AE1474" s="30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30"/>
      <c r="AQ1474" s="30"/>
      <c r="AR1474" s="30"/>
      <c r="AS1474" s="30"/>
      <c r="AT1474" s="30"/>
      <c r="AU1474" s="30"/>
      <c r="AV1474" s="30"/>
      <c r="AW1474" s="30"/>
      <c r="AX1474" s="30"/>
      <c r="AY1474" s="30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30"/>
      <c r="BK1474" s="30"/>
      <c r="BL1474" s="30"/>
      <c r="BM1474" s="30"/>
      <c r="BN1474" s="30"/>
      <c r="BO1474" s="30"/>
      <c r="BP1474" s="30"/>
      <c r="BQ1474" s="30"/>
      <c r="BR1474" s="30"/>
      <c r="BS1474" s="30"/>
      <c r="BT1474" s="1"/>
      <c r="BU1474" s="1"/>
      <c r="BV1474" s="1"/>
      <c r="BW1474" s="1"/>
      <c r="BX1474" s="1"/>
      <c r="BY1474" s="1"/>
      <c r="BZ1474" s="1"/>
      <c r="CA1474" s="1"/>
      <c r="CB1474" s="1"/>
      <c r="CC1474" s="1"/>
      <c r="CD1474" s="30"/>
      <c r="CE1474" s="30"/>
      <c r="CF1474" s="30"/>
      <c r="CG1474" s="30"/>
      <c r="CH1474" s="30"/>
      <c r="CI1474" s="30"/>
      <c r="CJ1474" s="30"/>
      <c r="CK1474" s="30"/>
      <c r="CL1474" s="30"/>
      <c r="CM1474" s="30"/>
      <c r="CN1474" s="1"/>
      <c r="CO1474" s="1"/>
      <c r="CP1474" s="1"/>
      <c r="CQ1474" s="1"/>
      <c r="CR1474" s="1"/>
      <c r="CS1474" s="1"/>
      <c r="CT1474" s="1"/>
      <c r="CU1474" s="1"/>
      <c r="CV1474" s="1"/>
      <c r="CW1474" s="1"/>
    </row>
    <row r="1475" spans="2:101" ht="15" hidden="1" customHeight="1" x14ac:dyDescent="0.25"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30"/>
      <c r="W1475" s="30"/>
      <c r="X1475" s="30"/>
      <c r="Y1475" s="30"/>
      <c r="Z1475" s="30"/>
      <c r="AA1475" s="30"/>
      <c r="AB1475" s="30"/>
      <c r="AC1475" s="30"/>
      <c r="AD1475" s="30"/>
      <c r="AE1475" s="30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30"/>
      <c r="AQ1475" s="30"/>
      <c r="AR1475" s="30"/>
      <c r="AS1475" s="30"/>
      <c r="AT1475" s="30"/>
      <c r="AU1475" s="30"/>
      <c r="AV1475" s="30"/>
      <c r="AW1475" s="30"/>
      <c r="AX1475" s="30"/>
      <c r="AY1475" s="30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30"/>
      <c r="BK1475" s="30"/>
      <c r="BL1475" s="30"/>
      <c r="BM1475" s="30"/>
      <c r="BN1475" s="30"/>
      <c r="BO1475" s="30"/>
      <c r="BP1475" s="30"/>
      <c r="BQ1475" s="30"/>
      <c r="BR1475" s="30"/>
      <c r="BS1475" s="30"/>
      <c r="BT1475" s="1"/>
      <c r="BU1475" s="1"/>
      <c r="BV1475" s="1"/>
      <c r="BW1475" s="1"/>
      <c r="BX1475" s="1"/>
      <c r="BY1475" s="1"/>
      <c r="BZ1475" s="1"/>
      <c r="CA1475" s="1"/>
      <c r="CB1475" s="1"/>
      <c r="CC1475" s="1"/>
      <c r="CD1475" s="30"/>
      <c r="CE1475" s="30"/>
      <c r="CF1475" s="30"/>
      <c r="CG1475" s="30"/>
      <c r="CH1475" s="30"/>
      <c r="CI1475" s="30"/>
      <c r="CJ1475" s="30"/>
      <c r="CK1475" s="30"/>
      <c r="CL1475" s="30"/>
      <c r="CM1475" s="30"/>
      <c r="CN1475" s="1"/>
      <c r="CO1475" s="1"/>
      <c r="CP1475" s="1"/>
      <c r="CQ1475" s="1"/>
      <c r="CR1475" s="1"/>
      <c r="CS1475" s="1"/>
      <c r="CT1475" s="1"/>
      <c r="CU1475" s="1"/>
      <c r="CV1475" s="1"/>
      <c r="CW1475" s="1"/>
    </row>
    <row r="1476" spans="2:101" ht="15" hidden="1" customHeight="1" x14ac:dyDescent="0.25"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30"/>
      <c r="W1476" s="30"/>
      <c r="X1476" s="30"/>
      <c r="Y1476" s="30"/>
      <c r="Z1476" s="30"/>
      <c r="AA1476" s="30"/>
      <c r="AB1476" s="30"/>
      <c r="AC1476" s="30"/>
      <c r="AD1476" s="30"/>
      <c r="AE1476" s="30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30"/>
      <c r="AQ1476" s="30"/>
      <c r="AR1476" s="30"/>
      <c r="AS1476" s="30"/>
      <c r="AT1476" s="30"/>
      <c r="AU1476" s="30"/>
      <c r="AV1476" s="30"/>
      <c r="AW1476" s="30"/>
      <c r="AX1476" s="30"/>
      <c r="AY1476" s="30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30"/>
      <c r="BK1476" s="30"/>
      <c r="BL1476" s="30"/>
      <c r="BM1476" s="30"/>
      <c r="BN1476" s="30"/>
      <c r="BO1476" s="30"/>
      <c r="BP1476" s="30"/>
      <c r="BQ1476" s="30"/>
      <c r="BR1476" s="30"/>
      <c r="BS1476" s="30"/>
      <c r="BT1476" s="1"/>
      <c r="BU1476" s="1"/>
      <c r="BV1476" s="1"/>
      <c r="BW1476" s="1"/>
      <c r="BX1476" s="1"/>
      <c r="BY1476" s="1"/>
      <c r="BZ1476" s="1"/>
      <c r="CA1476" s="1"/>
      <c r="CB1476" s="1"/>
      <c r="CC1476" s="1"/>
      <c r="CD1476" s="30"/>
      <c r="CE1476" s="30"/>
      <c r="CF1476" s="30"/>
      <c r="CG1476" s="30"/>
      <c r="CH1476" s="30"/>
      <c r="CI1476" s="30"/>
      <c r="CJ1476" s="30"/>
      <c r="CK1476" s="30"/>
      <c r="CL1476" s="30"/>
      <c r="CM1476" s="30"/>
      <c r="CN1476" s="1"/>
      <c r="CO1476" s="1"/>
      <c r="CP1476" s="1"/>
      <c r="CQ1476" s="1"/>
      <c r="CR1476" s="1"/>
      <c r="CS1476" s="1"/>
      <c r="CT1476" s="1"/>
      <c r="CU1476" s="1"/>
      <c r="CV1476" s="1"/>
      <c r="CW1476" s="1"/>
    </row>
    <row r="1477" spans="2:101" ht="15" hidden="1" customHeight="1" x14ac:dyDescent="0.25"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30"/>
      <c r="W1477" s="30"/>
      <c r="X1477" s="30"/>
      <c r="Y1477" s="30"/>
      <c r="Z1477" s="30"/>
      <c r="AA1477" s="30"/>
      <c r="AB1477" s="30"/>
      <c r="AC1477" s="30"/>
      <c r="AD1477" s="30"/>
      <c r="AE1477" s="30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30"/>
      <c r="AQ1477" s="30"/>
      <c r="AR1477" s="30"/>
      <c r="AS1477" s="30"/>
      <c r="AT1477" s="30"/>
      <c r="AU1477" s="30"/>
      <c r="AV1477" s="30"/>
      <c r="AW1477" s="30"/>
      <c r="AX1477" s="30"/>
      <c r="AY1477" s="30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30"/>
      <c r="BK1477" s="30"/>
      <c r="BL1477" s="30"/>
      <c r="BM1477" s="30"/>
      <c r="BN1477" s="30"/>
      <c r="BO1477" s="30"/>
      <c r="BP1477" s="30"/>
      <c r="BQ1477" s="30"/>
      <c r="BR1477" s="30"/>
      <c r="BS1477" s="30"/>
      <c r="BT1477" s="1"/>
      <c r="BU1477" s="1"/>
      <c r="BV1477" s="1"/>
      <c r="BW1477" s="1"/>
      <c r="BX1477" s="1"/>
      <c r="BY1477" s="1"/>
      <c r="BZ1477" s="1"/>
      <c r="CA1477" s="1"/>
      <c r="CB1477" s="1"/>
      <c r="CC1477" s="1"/>
      <c r="CD1477" s="30"/>
      <c r="CE1477" s="30"/>
      <c r="CF1477" s="30"/>
      <c r="CG1477" s="30"/>
      <c r="CH1477" s="30"/>
      <c r="CI1477" s="30"/>
      <c r="CJ1477" s="30"/>
      <c r="CK1477" s="30"/>
      <c r="CL1477" s="30"/>
      <c r="CM1477" s="30"/>
      <c r="CN1477" s="1"/>
      <c r="CO1477" s="1"/>
      <c r="CP1477" s="1"/>
      <c r="CQ1477" s="1"/>
      <c r="CR1477" s="1"/>
      <c r="CS1477" s="1"/>
      <c r="CT1477" s="1"/>
      <c r="CU1477" s="1"/>
      <c r="CV1477" s="1"/>
      <c r="CW1477" s="1"/>
    </row>
    <row r="1478" spans="2:101" ht="15" hidden="1" customHeight="1" x14ac:dyDescent="0.25"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30"/>
      <c r="W1478" s="30"/>
      <c r="X1478" s="30"/>
      <c r="Y1478" s="30"/>
      <c r="Z1478" s="30"/>
      <c r="AA1478" s="30"/>
      <c r="AB1478" s="30"/>
      <c r="AC1478" s="30"/>
      <c r="AD1478" s="30"/>
      <c r="AE1478" s="30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30"/>
      <c r="AQ1478" s="30"/>
      <c r="AR1478" s="30"/>
      <c r="AS1478" s="30"/>
      <c r="AT1478" s="30"/>
      <c r="AU1478" s="30"/>
      <c r="AV1478" s="30"/>
      <c r="AW1478" s="30"/>
      <c r="AX1478" s="30"/>
      <c r="AY1478" s="30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30"/>
      <c r="BK1478" s="30"/>
      <c r="BL1478" s="30"/>
      <c r="BM1478" s="30"/>
      <c r="BN1478" s="30"/>
      <c r="BO1478" s="30"/>
      <c r="BP1478" s="30"/>
      <c r="BQ1478" s="30"/>
      <c r="BR1478" s="30"/>
      <c r="BS1478" s="30"/>
      <c r="BT1478" s="1"/>
      <c r="BU1478" s="1"/>
      <c r="BV1478" s="1"/>
      <c r="BW1478" s="1"/>
      <c r="BX1478" s="1"/>
      <c r="BY1478" s="1"/>
      <c r="BZ1478" s="1"/>
      <c r="CA1478" s="1"/>
      <c r="CB1478" s="1"/>
      <c r="CC1478" s="1"/>
      <c r="CD1478" s="30"/>
      <c r="CE1478" s="30"/>
      <c r="CF1478" s="30"/>
      <c r="CG1478" s="30"/>
      <c r="CH1478" s="30"/>
      <c r="CI1478" s="30"/>
      <c r="CJ1478" s="30"/>
      <c r="CK1478" s="30"/>
      <c r="CL1478" s="30"/>
      <c r="CM1478" s="30"/>
      <c r="CN1478" s="1"/>
      <c r="CO1478" s="1"/>
      <c r="CP1478" s="1"/>
      <c r="CQ1478" s="1"/>
      <c r="CR1478" s="1"/>
      <c r="CS1478" s="1"/>
      <c r="CT1478" s="1"/>
      <c r="CU1478" s="1"/>
      <c r="CV1478" s="1"/>
      <c r="CW1478" s="1"/>
    </row>
    <row r="1479" spans="2:101" ht="15" hidden="1" customHeight="1" x14ac:dyDescent="0.25"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30"/>
      <c r="W1479" s="30"/>
      <c r="X1479" s="30"/>
      <c r="Y1479" s="30"/>
      <c r="Z1479" s="30"/>
      <c r="AA1479" s="30"/>
      <c r="AB1479" s="30"/>
      <c r="AC1479" s="30"/>
      <c r="AD1479" s="30"/>
      <c r="AE1479" s="30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30"/>
      <c r="AQ1479" s="30"/>
      <c r="AR1479" s="30"/>
      <c r="AS1479" s="30"/>
      <c r="AT1479" s="30"/>
      <c r="AU1479" s="30"/>
      <c r="AV1479" s="30"/>
      <c r="AW1479" s="30"/>
      <c r="AX1479" s="30"/>
      <c r="AY1479" s="30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30"/>
      <c r="BK1479" s="30"/>
      <c r="BL1479" s="30"/>
      <c r="BM1479" s="30"/>
      <c r="BN1479" s="30"/>
      <c r="BO1479" s="30"/>
      <c r="BP1479" s="30"/>
      <c r="BQ1479" s="30"/>
      <c r="BR1479" s="30"/>
      <c r="BS1479" s="30"/>
      <c r="BT1479" s="1"/>
      <c r="BU1479" s="1"/>
      <c r="BV1479" s="1"/>
      <c r="BW1479" s="1"/>
      <c r="BX1479" s="1"/>
      <c r="BY1479" s="1"/>
      <c r="BZ1479" s="1"/>
      <c r="CA1479" s="1"/>
      <c r="CB1479" s="1"/>
      <c r="CC1479" s="1"/>
      <c r="CD1479" s="30"/>
      <c r="CE1479" s="30"/>
      <c r="CF1479" s="30"/>
      <c r="CG1479" s="30"/>
      <c r="CH1479" s="30"/>
      <c r="CI1479" s="30"/>
      <c r="CJ1479" s="30"/>
      <c r="CK1479" s="30"/>
      <c r="CL1479" s="30"/>
      <c r="CM1479" s="30"/>
      <c r="CN1479" s="1"/>
      <c r="CO1479" s="1"/>
      <c r="CP1479" s="1"/>
      <c r="CQ1479" s="1"/>
      <c r="CR1479" s="1"/>
      <c r="CS1479" s="1"/>
      <c r="CT1479" s="1"/>
      <c r="CU1479" s="1"/>
      <c r="CV1479" s="1"/>
      <c r="CW1479" s="1"/>
    </row>
    <row r="1480" spans="2:101" ht="15" hidden="1" customHeight="1" x14ac:dyDescent="0.25"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30"/>
      <c r="W1480" s="30"/>
      <c r="X1480" s="30"/>
      <c r="Y1480" s="30"/>
      <c r="Z1480" s="30"/>
      <c r="AA1480" s="30"/>
      <c r="AB1480" s="30"/>
      <c r="AC1480" s="30"/>
      <c r="AD1480" s="30"/>
      <c r="AE1480" s="30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30"/>
      <c r="AQ1480" s="30"/>
      <c r="AR1480" s="30"/>
      <c r="AS1480" s="30"/>
      <c r="AT1480" s="30"/>
      <c r="AU1480" s="30"/>
      <c r="AV1480" s="30"/>
      <c r="AW1480" s="30"/>
      <c r="AX1480" s="30"/>
      <c r="AY1480" s="30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30"/>
      <c r="BK1480" s="30"/>
      <c r="BL1480" s="30"/>
      <c r="BM1480" s="30"/>
      <c r="BN1480" s="30"/>
      <c r="BO1480" s="30"/>
      <c r="BP1480" s="30"/>
      <c r="BQ1480" s="30"/>
      <c r="BR1480" s="30"/>
      <c r="BS1480" s="30"/>
      <c r="BT1480" s="1"/>
      <c r="BU1480" s="1"/>
      <c r="BV1480" s="1"/>
      <c r="BW1480" s="1"/>
      <c r="BX1480" s="1"/>
      <c r="BY1480" s="1"/>
      <c r="BZ1480" s="1"/>
      <c r="CA1480" s="1"/>
      <c r="CB1480" s="1"/>
      <c r="CC1480" s="1"/>
      <c r="CD1480" s="30"/>
      <c r="CE1480" s="30"/>
      <c r="CF1480" s="30"/>
      <c r="CG1480" s="30"/>
      <c r="CH1480" s="30"/>
      <c r="CI1480" s="30"/>
      <c r="CJ1480" s="30"/>
      <c r="CK1480" s="30"/>
      <c r="CL1480" s="30"/>
      <c r="CM1480" s="30"/>
      <c r="CN1480" s="1"/>
      <c r="CO1480" s="1"/>
      <c r="CP1480" s="1"/>
      <c r="CQ1480" s="1"/>
      <c r="CR1480" s="1"/>
      <c r="CS1480" s="1"/>
      <c r="CT1480" s="1"/>
      <c r="CU1480" s="1"/>
      <c r="CV1480" s="1"/>
      <c r="CW1480" s="1"/>
    </row>
    <row r="1481" spans="2:101" ht="15" hidden="1" customHeight="1" x14ac:dyDescent="0.25"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30"/>
      <c r="W1481" s="30"/>
      <c r="X1481" s="30"/>
      <c r="Y1481" s="30"/>
      <c r="Z1481" s="30"/>
      <c r="AA1481" s="30"/>
      <c r="AB1481" s="30"/>
      <c r="AC1481" s="30"/>
      <c r="AD1481" s="30"/>
      <c r="AE1481" s="30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30"/>
      <c r="AQ1481" s="30"/>
      <c r="AR1481" s="30"/>
      <c r="AS1481" s="30"/>
      <c r="AT1481" s="30"/>
      <c r="AU1481" s="30"/>
      <c r="AV1481" s="30"/>
      <c r="AW1481" s="30"/>
      <c r="AX1481" s="30"/>
      <c r="AY1481" s="30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30"/>
      <c r="BK1481" s="30"/>
      <c r="BL1481" s="30"/>
      <c r="BM1481" s="30"/>
      <c r="BN1481" s="30"/>
      <c r="BO1481" s="30"/>
      <c r="BP1481" s="30"/>
      <c r="BQ1481" s="30"/>
      <c r="BR1481" s="30"/>
      <c r="BS1481" s="30"/>
      <c r="BT1481" s="1"/>
      <c r="BU1481" s="1"/>
      <c r="BV1481" s="1"/>
      <c r="BW1481" s="1"/>
      <c r="BX1481" s="1"/>
      <c r="BY1481" s="1"/>
      <c r="BZ1481" s="1"/>
      <c r="CA1481" s="1"/>
      <c r="CB1481" s="1"/>
      <c r="CC1481" s="1"/>
      <c r="CD1481" s="30"/>
      <c r="CE1481" s="30"/>
      <c r="CF1481" s="30"/>
      <c r="CG1481" s="30"/>
      <c r="CH1481" s="30"/>
      <c r="CI1481" s="30"/>
      <c r="CJ1481" s="30"/>
      <c r="CK1481" s="30"/>
      <c r="CL1481" s="30"/>
      <c r="CM1481" s="30"/>
      <c r="CN1481" s="1"/>
      <c r="CO1481" s="1"/>
      <c r="CP1481" s="1"/>
      <c r="CQ1481" s="1"/>
      <c r="CR1481" s="1"/>
      <c r="CS1481" s="1"/>
      <c r="CT1481" s="1"/>
      <c r="CU1481" s="1"/>
      <c r="CV1481" s="1"/>
      <c r="CW1481" s="1"/>
    </row>
    <row r="1482" spans="2:101" ht="15" hidden="1" customHeight="1" x14ac:dyDescent="0.25"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30"/>
      <c r="W1482" s="30"/>
      <c r="X1482" s="30"/>
      <c r="Y1482" s="30"/>
      <c r="Z1482" s="30"/>
      <c r="AA1482" s="30"/>
      <c r="AB1482" s="30"/>
      <c r="AC1482" s="30"/>
      <c r="AD1482" s="30"/>
      <c r="AE1482" s="30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30"/>
      <c r="AQ1482" s="30"/>
      <c r="AR1482" s="30"/>
      <c r="AS1482" s="30"/>
      <c r="AT1482" s="30"/>
      <c r="AU1482" s="30"/>
      <c r="AV1482" s="30"/>
      <c r="AW1482" s="30"/>
      <c r="AX1482" s="30"/>
      <c r="AY1482" s="30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30"/>
      <c r="BK1482" s="30"/>
      <c r="BL1482" s="30"/>
      <c r="BM1482" s="30"/>
      <c r="BN1482" s="30"/>
      <c r="BO1482" s="30"/>
      <c r="BP1482" s="30"/>
      <c r="BQ1482" s="30"/>
      <c r="BR1482" s="30"/>
      <c r="BS1482" s="30"/>
      <c r="BT1482" s="1"/>
      <c r="BU1482" s="1"/>
      <c r="BV1482" s="1"/>
      <c r="BW1482" s="1"/>
      <c r="BX1482" s="1"/>
      <c r="BY1482" s="1"/>
      <c r="BZ1482" s="1"/>
      <c r="CA1482" s="1"/>
      <c r="CB1482" s="1"/>
      <c r="CC1482" s="1"/>
      <c r="CD1482" s="30"/>
      <c r="CE1482" s="30"/>
      <c r="CF1482" s="30"/>
      <c r="CG1482" s="30"/>
      <c r="CH1482" s="30"/>
      <c r="CI1482" s="30"/>
      <c r="CJ1482" s="30"/>
      <c r="CK1482" s="30"/>
      <c r="CL1482" s="30"/>
      <c r="CM1482" s="30"/>
      <c r="CN1482" s="1"/>
      <c r="CO1482" s="1"/>
      <c r="CP1482" s="1"/>
      <c r="CQ1482" s="1"/>
      <c r="CR1482" s="1"/>
      <c r="CS1482" s="1"/>
      <c r="CT1482" s="1"/>
      <c r="CU1482" s="1"/>
      <c r="CV1482" s="1"/>
      <c r="CW1482" s="1"/>
    </row>
    <row r="1483" spans="2:101" ht="15" hidden="1" customHeight="1" x14ac:dyDescent="0.25"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30"/>
      <c r="W1483" s="30"/>
      <c r="X1483" s="30"/>
      <c r="Y1483" s="30"/>
      <c r="Z1483" s="30"/>
      <c r="AA1483" s="30"/>
      <c r="AB1483" s="30"/>
      <c r="AC1483" s="30"/>
      <c r="AD1483" s="30"/>
      <c r="AE1483" s="30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30"/>
      <c r="AQ1483" s="30"/>
      <c r="AR1483" s="30"/>
      <c r="AS1483" s="30"/>
      <c r="AT1483" s="30"/>
      <c r="AU1483" s="30"/>
      <c r="AV1483" s="30"/>
      <c r="AW1483" s="30"/>
      <c r="AX1483" s="30"/>
      <c r="AY1483" s="30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30"/>
      <c r="BK1483" s="30"/>
      <c r="BL1483" s="30"/>
      <c r="BM1483" s="30"/>
      <c r="BN1483" s="30"/>
      <c r="BO1483" s="30"/>
      <c r="BP1483" s="30"/>
      <c r="BQ1483" s="30"/>
      <c r="BR1483" s="30"/>
      <c r="BS1483" s="30"/>
      <c r="BT1483" s="1"/>
      <c r="BU1483" s="1"/>
      <c r="BV1483" s="1"/>
      <c r="BW1483" s="1"/>
      <c r="BX1483" s="1"/>
      <c r="BY1483" s="1"/>
      <c r="BZ1483" s="1"/>
      <c r="CA1483" s="1"/>
      <c r="CB1483" s="1"/>
      <c r="CC1483" s="1"/>
      <c r="CD1483" s="30"/>
      <c r="CE1483" s="30"/>
      <c r="CF1483" s="30"/>
      <c r="CG1483" s="30"/>
      <c r="CH1483" s="30"/>
      <c r="CI1483" s="30"/>
      <c r="CJ1483" s="30"/>
      <c r="CK1483" s="30"/>
      <c r="CL1483" s="30"/>
      <c r="CM1483" s="30"/>
      <c r="CN1483" s="1"/>
      <c r="CO1483" s="1"/>
      <c r="CP1483" s="1"/>
      <c r="CQ1483" s="1"/>
      <c r="CR1483" s="1"/>
      <c r="CS1483" s="1"/>
      <c r="CT1483" s="1"/>
      <c r="CU1483" s="1"/>
      <c r="CV1483" s="1"/>
      <c r="CW1483" s="1"/>
    </row>
    <row r="1484" spans="2:101" ht="15" hidden="1" customHeight="1" x14ac:dyDescent="0.25"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30"/>
      <c r="W1484" s="30"/>
      <c r="X1484" s="30"/>
      <c r="Y1484" s="30"/>
      <c r="Z1484" s="30"/>
      <c r="AA1484" s="30"/>
      <c r="AB1484" s="30"/>
      <c r="AC1484" s="30"/>
      <c r="AD1484" s="30"/>
      <c r="AE1484" s="30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30"/>
      <c r="AQ1484" s="30"/>
      <c r="AR1484" s="30"/>
      <c r="AS1484" s="30"/>
      <c r="AT1484" s="30"/>
      <c r="AU1484" s="30"/>
      <c r="AV1484" s="30"/>
      <c r="AW1484" s="30"/>
      <c r="AX1484" s="30"/>
      <c r="AY1484" s="30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30"/>
      <c r="BK1484" s="30"/>
      <c r="BL1484" s="30"/>
      <c r="BM1484" s="30"/>
      <c r="BN1484" s="30"/>
      <c r="BO1484" s="30"/>
      <c r="BP1484" s="30"/>
      <c r="BQ1484" s="30"/>
      <c r="BR1484" s="30"/>
      <c r="BS1484" s="30"/>
      <c r="BT1484" s="1"/>
      <c r="BU1484" s="1"/>
      <c r="BV1484" s="1"/>
      <c r="BW1484" s="1"/>
      <c r="BX1484" s="1"/>
      <c r="BY1484" s="1"/>
      <c r="BZ1484" s="1"/>
      <c r="CA1484" s="1"/>
      <c r="CB1484" s="1"/>
      <c r="CC1484" s="1"/>
      <c r="CD1484" s="30"/>
      <c r="CE1484" s="30"/>
      <c r="CF1484" s="30"/>
      <c r="CG1484" s="30"/>
      <c r="CH1484" s="30"/>
      <c r="CI1484" s="30"/>
      <c r="CJ1484" s="30"/>
      <c r="CK1484" s="30"/>
      <c r="CL1484" s="30"/>
      <c r="CM1484" s="30"/>
      <c r="CN1484" s="1"/>
      <c r="CO1484" s="1"/>
      <c r="CP1484" s="1"/>
      <c r="CQ1484" s="1"/>
      <c r="CR1484" s="1"/>
      <c r="CS1484" s="1"/>
      <c r="CT1484" s="1"/>
      <c r="CU1484" s="1"/>
      <c r="CV1484" s="1"/>
      <c r="CW1484" s="1"/>
    </row>
    <row r="1485" spans="2:101" ht="15" hidden="1" customHeight="1" x14ac:dyDescent="0.25"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30"/>
      <c r="W1485" s="30"/>
      <c r="X1485" s="30"/>
      <c r="Y1485" s="30"/>
      <c r="Z1485" s="30"/>
      <c r="AA1485" s="30"/>
      <c r="AB1485" s="30"/>
      <c r="AC1485" s="30"/>
      <c r="AD1485" s="30"/>
      <c r="AE1485" s="30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30"/>
      <c r="AQ1485" s="30"/>
      <c r="AR1485" s="30"/>
      <c r="AS1485" s="30"/>
      <c r="AT1485" s="30"/>
      <c r="AU1485" s="30"/>
      <c r="AV1485" s="30"/>
      <c r="AW1485" s="30"/>
      <c r="AX1485" s="30"/>
      <c r="AY1485" s="30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30"/>
      <c r="BK1485" s="30"/>
      <c r="BL1485" s="30"/>
      <c r="BM1485" s="30"/>
      <c r="BN1485" s="30"/>
      <c r="BO1485" s="30"/>
      <c r="BP1485" s="30"/>
      <c r="BQ1485" s="30"/>
      <c r="BR1485" s="30"/>
      <c r="BS1485" s="30"/>
      <c r="BT1485" s="1"/>
      <c r="BU1485" s="1"/>
      <c r="BV1485" s="1"/>
      <c r="BW1485" s="1"/>
      <c r="BX1485" s="1"/>
      <c r="BY1485" s="1"/>
      <c r="BZ1485" s="1"/>
      <c r="CA1485" s="1"/>
      <c r="CB1485" s="1"/>
      <c r="CC1485" s="1"/>
      <c r="CD1485" s="30"/>
      <c r="CE1485" s="30"/>
      <c r="CF1485" s="30"/>
      <c r="CG1485" s="30"/>
      <c r="CH1485" s="30"/>
      <c r="CI1485" s="30"/>
      <c r="CJ1485" s="30"/>
      <c r="CK1485" s="30"/>
      <c r="CL1485" s="30"/>
      <c r="CM1485" s="30"/>
      <c r="CN1485" s="1"/>
      <c r="CO1485" s="1"/>
      <c r="CP1485" s="1"/>
      <c r="CQ1485" s="1"/>
      <c r="CR1485" s="1"/>
      <c r="CS1485" s="1"/>
      <c r="CT1485" s="1"/>
      <c r="CU1485" s="1"/>
      <c r="CV1485" s="1"/>
      <c r="CW1485" s="1"/>
    </row>
    <row r="1486" spans="2:101" ht="15" hidden="1" customHeight="1" x14ac:dyDescent="0.25"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30"/>
      <c r="W1486" s="30"/>
      <c r="X1486" s="30"/>
      <c r="Y1486" s="30"/>
      <c r="Z1486" s="30"/>
      <c r="AA1486" s="30"/>
      <c r="AB1486" s="30"/>
      <c r="AC1486" s="30"/>
      <c r="AD1486" s="30"/>
      <c r="AE1486" s="30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30"/>
      <c r="AQ1486" s="30"/>
      <c r="AR1486" s="30"/>
      <c r="AS1486" s="30"/>
      <c r="AT1486" s="30"/>
      <c r="AU1486" s="30"/>
      <c r="AV1486" s="30"/>
      <c r="AW1486" s="30"/>
      <c r="AX1486" s="30"/>
      <c r="AY1486" s="30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30"/>
      <c r="BK1486" s="30"/>
      <c r="BL1486" s="30"/>
      <c r="BM1486" s="30"/>
      <c r="BN1486" s="30"/>
      <c r="BO1486" s="30"/>
      <c r="BP1486" s="30"/>
      <c r="BQ1486" s="30"/>
      <c r="BR1486" s="30"/>
      <c r="BS1486" s="30"/>
      <c r="BT1486" s="1"/>
      <c r="BU1486" s="1"/>
      <c r="BV1486" s="1"/>
      <c r="BW1486" s="1"/>
      <c r="BX1486" s="1"/>
      <c r="BY1486" s="1"/>
      <c r="BZ1486" s="1"/>
      <c r="CA1486" s="1"/>
      <c r="CB1486" s="1"/>
      <c r="CC1486" s="1"/>
      <c r="CD1486" s="30"/>
      <c r="CE1486" s="30"/>
      <c r="CF1486" s="30"/>
      <c r="CG1486" s="30"/>
      <c r="CH1486" s="30"/>
      <c r="CI1486" s="30"/>
      <c r="CJ1486" s="30"/>
      <c r="CK1486" s="30"/>
      <c r="CL1486" s="30"/>
      <c r="CM1486" s="30"/>
      <c r="CN1486" s="1"/>
      <c r="CO1486" s="1"/>
      <c r="CP1486" s="1"/>
      <c r="CQ1486" s="1"/>
      <c r="CR1486" s="1"/>
      <c r="CS1486" s="1"/>
      <c r="CT1486" s="1"/>
      <c r="CU1486" s="1"/>
      <c r="CV1486" s="1"/>
      <c r="CW1486" s="1"/>
    </row>
    <row r="1487" spans="2:101" ht="15" hidden="1" customHeight="1" x14ac:dyDescent="0.25"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30"/>
      <c r="W1487" s="30"/>
      <c r="X1487" s="30"/>
      <c r="Y1487" s="30"/>
      <c r="Z1487" s="30"/>
      <c r="AA1487" s="30"/>
      <c r="AB1487" s="30"/>
      <c r="AC1487" s="30"/>
      <c r="AD1487" s="30"/>
      <c r="AE1487" s="30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30"/>
      <c r="AQ1487" s="30"/>
      <c r="AR1487" s="30"/>
      <c r="AS1487" s="30"/>
      <c r="AT1487" s="30"/>
      <c r="AU1487" s="30"/>
      <c r="AV1487" s="30"/>
      <c r="AW1487" s="30"/>
      <c r="AX1487" s="30"/>
      <c r="AY1487" s="30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30"/>
      <c r="BK1487" s="30"/>
      <c r="BL1487" s="30"/>
      <c r="BM1487" s="30"/>
      <c r="BN1487" s="30"/>
      <c r="BO1487" s="30"/>
      <c r="BP1487" s="30"/>
      <c r="BQ1487" s="30"/>
      <c r="BR1487" s="30"/>
      <c r="BS1487" s="30"/>
      <c r="BT1487" s="1"/>
      <c r="BU1487" s="1"/>
      <c r="BV1487" s="1"/>
      <c r="BW1487" s="1"/>
      <c r="BX1487" s="1"/>
      <c r="BY1487" s="1"/>
      <c r="BZ1487" s="1"/>
      <c r="CA1487" s="1"/>
      <c r="CB1487" s="1"/>
      <c r="CC1487" s="1"/>
      <c r="CD1487" s="30"/>
      <c r="CE1487" s="30"/>
      <c r="CF1487" s="30"/>
      <c r="CG1487" s="30"/>
      <c r="CH1487" s="30"/>
      <c r="CI1487" s="30"/>
      <c r="CJ1487" s="30"/>
      <c r="CK1487" s="30"/>
      <c r="CL1487" s="30"/>
      <c r="CM1487" s="30"/>
      <c r="CN1487" s="1"/>
      <c r="CO1487" s="1"/>
      <c r="CP1487" s="1"/>
      <c r="CQ1487" s="1"/>
      <c r="CR1487" s="1"/>
      <c r="CS1487" s="1"/>
      <c r="CT1487" s="1"/>
      <c r="CU1487" s="1"/>
      <c r="CV1487" s="1"/>
      <c r="CW1487" s="1"/>
    </row>
    <row r="1488" spans="2:101" ht="15" hidden="1" customHeight="1" x14ac:dyDescent="0.25"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30"/>
      <c r="W1488" s="30"/>
      <c r="X1488" s="30"/>
      <c r="Y1488" s="30"/>
      <c r="Z1488" s="30"/>
      <c r="AA1488" s="30"/>
      <c r="AB1488" s="30"/>
      <c r="AC1488" s="30"/>
      <c r="AD1488" s="30"/>
      <c r="AE1488" s="30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30"/>
      <c r="AQ1488" s="30"/>
      <c r="AR1488" s="30"/>
      <c r="AS1488" s="30"/>
      <c r="AT1488" s="30"/>
      <c r="AU1488" s="30"/>
      <c r="AV1488" s="30"/>
      <c r="AW1488" s="30"/>
      <c r="AX1488" s="30"/>
      <c r="AY1488" s="30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30"/>
      <c r="BK1488" s="30"/>
      <c r="BL1488" s="30"/>
      <c r="BM1488" s="30"/>
      <c r="BN1488" s="30"/>
      <c r="BO1488" s="30"/>
      <c r="BP1488" s="30"/>
      <c r="BQ1488" s="30"/>
      <c r="BR1488" s="30"/>
      <c r="BS1488" s="30"/>
      <c r="BT1488" s="1"/>
      <c r="BU1488" s="1"/>
      <c r="BV1488" s="1"/>
      <c r="BW1488" s="1"/>
      <c r="BX1488" s="1"/>
      <c r="BY1488" s="1"/>
      <c r="BZ1488" s="1"/>
      <c r="CA1488" s="1"/>
      <c r="CB1488" s="1"/>
      <c r="CC1488" s="1"/>
      <c r="CD1488" s="30"/>
      <c r="CE1488" s="30"/>
      <c r="CF1488" s="30"/>
      <c r="CG1488" s="30"/>
      <c r="CH1488" s="30"/>
      <c r="CI1488" s="30"/>
      <c r="CJ1488" s="30"/>
      <c r="CK1488" s="30"/>
      <c r="CL1488" s="30"/>
      <c r="CM1488" s="30"/>
      <c r="CN1488" s="1"/>
      <c r="CO1488" s="1"/>
      <c r="CP1488" s="1"/>
      <c r="CQ1488" s="1"/>
      <c r="CR1488" s="1"/>
      <c r="CS1488" s="1"/>
      <c r="CT1488" s="1"/>
      <c r="CU1488" s="1"/>
      <c r="CV1488" s="1"/>
      <c r="CW1488" s="1"/>
    </row>
    <row r="1489" spans="2:101" ht="15" hidden="1" customHeight="1" x14ac:dyDescent="0.25"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30"/>
      <c r="W1489" s="30"/>
      <c r="X1489" s="30"/>
      <c r="Y1489" s="30"/>
      <c r="Z1489" s="30"/>
      <c r="AA1489" s="30"/>
      <c r="AB1489" s="30"/>
      <c r="AC1489" s="30"/>
      <c r="AD1489" s="30"/>
      <c r="AE1489" s="30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30"/>
      <c r="AQ1489" s="30"/>
      <c r="AR1489" s="30"/>
      <c r="AS1489" s="30"/>
      <c r="AT1489" s="30"/>
      <c r="AU1489" s="30"/>
      <c r="AV1489" s="30"/>
      <c r="AW1489" s="30"/>
      <c r="AX1489" s="30"/>
      <c r="AY1489" s="30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30"/>
      <c r="BK1489" s="30"/>
      <c r="BL1489" s="30"/>
      <c r="BM1489" s="30"/>
      <c r="BN1489" s="30"/>
      <c r="BO1489" s="30"/>
      <c r="BP1489" s="30"/>
      <c r="BQ1489" s="30"/>
      <c r="BR1489" s="30"/>
      <c r="BS1489" s="30"/>
      <c r="BT1489" s="1"/>
      <c r="BU1489" s="1"/>
      <c r="BV1489" s="1"/>
      <c r="BW1489" s="1"/>
      <c r="BX1489" s="1"/>
      <c r="BY1489" s="1"/>
      <c r="BZ1489" s="1"/>
      <c r="CA1489" s="1"/>
      <c r="CB1489" s="1"/>
      <c r="CC1489" s="1"/>
      <c r="CD1489" s="30"/>
      <c r="CE1489" s="30"/>
      <c r="CF1489" s="30"/>
      <c r="CG1489" s="30"/>
      <c r="CH1489" s="30"/>
      <c r="CI1489" s="30"/>
      <c r="CJ1489" s="30"/>
      <c r="CK1489" s="30"/>
      <c r="CL1489" s="30"/>
      <c r="CM1489" s="30"/>
      <c r="CN1489" s="1"/>
      <c r="CO1489" s="1"/>
      <c r="CP1489" s="1"/>
      <c r="CQ1489" s="1"/>
      <c r="CR1489" s="1"/>
      <c r="CS1489" s="1"/>
      <c r="CT1489" s="1"/>
      <c r="CU1489" s="1"/>
      <c r="CV1489" s="1"/>
      <c r="CW1489" s="1"/>
    </row>
    <row r="1490" spans="2:101" ht="15" hidden="1" customHeight="1" x14ac:dyDescent="0.25"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30"/>
      <c r="W1490" s="30"/>
      <c r="X1490" s="30"/>
      <c r="Y1490" s="30"/>
      <c r="Z1490" s="30"/>
      <c r="AA1490" s="30"/>
      <c r="AB1490" s="30"/>
      <c r="AC1490" s="30"/>
      <c r="AD1490" s="30"/>
      <c r="AE1490" s="30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30"/>
      <c r="AQ1490" s="30"/>
      <c r="AR1490" s="30"/>
      <c r="AS1490" s="30"/>
      <c r="AT1490" s="30"/>
      <c r="AU1490" s="30"/>
      <c r="AV1490" s="30"/>
      <c r="AW1490" s="30"/>
      <c r="AX1490" s="30"/>
      <c r="AY1490" s="30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30"/>
      <c r="BK1490" s="30"/>
      <c r="BL1490" s="30"/>
      <c r="BM1490" s="30"/>
      <c r="BN1490" s="30"/>
      <c r="BO1490" s="30"/>
      <c r="BP1490" s="30"/>
      <c r="BQ1490" s="30"/>
      <c r="BR1490" s="30"/>
      <c r="BS1490" s="30"/>
      <c r="BT1490" s="1"/>
      <c r="BU1490" s="1"/>
      <c r="BV1490" s="1"/>
      <c r="BW1490" s="1"/>
      <c r="BX1490" s="1"/>
      <c r="BY1490" s="1"/>
      <c r="BZ1490" s="1"/>
      <c r="CA1490" s="1"/>
      <c r="CB1490" s="1"/>
      <c r="CC1490" s="1"/>
      <c r="CD1490" s="30"/>
      <c r="CE1490" s="30"/>
      <c r="CF1490" s="30"/>
      <c r="CG1490" s="30"/>
      <c r="CH1490" s="30"/>
      <c r="CI1490" s="30"/>
      <c r="CJ1490" s="30"/>
      <c r="CK1490" s="30"/>
      <c r="CL1490" s="30"/>
      <c r="CM1490" s="30"/>
      <c r="CN1490" s="1"/>
      <c r="CO1490" s="1"/>
      <c r="CP1490" s="1"/>
      <c r="CQ1490" s="1"/>
      <c r="CR1490" s="1"/>
      <c r="CS1490" s="1"/>
      <c r="CT1490" s="1"/>
      <c r="CU1490" s="1"/>
      <c r="CV1490" s="1"/>
      <c r="CW1490" s="1"/>
    </row>
    <row r="1491" spans="2:101" ht="15" hidden="1" customHeight="1" x14ac:dyDescent="0.25"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30"/>
      <c r="W1491" s="30"/>
      <c r="X1491" s="30"/>
      <c r="Y1491" s="30"/>
      <c r="Z1491" s="30"/>
      <c r="AA1491" s="30"/>
      <c r="AB1491" s="30"/>
      <c r="AC1491" s="30"/>
      <c r="AD1491" s="30"/>
      <c r="AE1491" s="30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30"/>
      <c r="AQ1491" s="30"/>
      <c r="AR1491" s="30"/>
      <c r="AS1491" s="30"/>
      <c r="AT1491" s="30"/>
      <c r="AU1491" s="30"/>
      <c r="AV1491" s="30"/>
      <c r="AW1491" s="30"/>
      <c r="AX1491" s="30"/>
      <c r="AY1491" s="30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30"/>
      <c r="BK1491" s="30"/>
      <c r="BL1491" s="30"/>
      <c r="BM1491" s="30"/>
      <c r="BN1491" s="30"/>
      <c r="BO1491" s="30"/>
      <c r="BP1491" s="30"/>
      <c r="BQ1491" s="30"/>
      <c r="BR1491" s="30"/>
      <c r="BS1491" s="30"/>
      <c r="BT1491" s="1"/>
      <c r="BU1491" s="1"/>
      <c r="BV1491" s="1"/>
      <c r="BW1491" s="1"/>
      <c r="BX1491" s="1"/>
      <c r="BY1491" s="1"/>
      <c r="BZ1491" s="1"/>
      <c r="CA1491" s="1"/>
      <c r="CB1491" s="1"/>
      <c r="CC1491" s="1"/>
      <c r="CD1491" s="30"/>
      <c r="CE1491" s="30"/>
      <c r="CF1491" s="30"/>
      <c r="CG1491" s="30"/>
      <c r="CH1491" s="30"/>
      <c r="CI1491" s="30"/>
      <c r="CJ1491" s="30"/>
      <c r="CK1491" s="30"/>
      <c r="CL1491" s="30"/>
      <c r="CM1491" s="30"/>
      <c r="CN1491" s="1"/>
      <c r="CO1491" s="1"/>
      <c r="CP1491" s="1"/>
      <c r="CQ1491" s="1"/>
      <c r="CR1491" s="1"/>
      <c r="CS1491" s="1"/>
      <c r="CT1491" s="1"/>
      <c r="CU1491" s="1"/>
      <c r="CV1491" s="1"/>
      <c r="CW1491" s="1"/>
    </row>
    <row r="1492" spans="2:101" ht="15" hidden="1" customHeight="1" x14ac:dyDescent="0.25"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30"/>
      <c r="W1492" s="30"/>
      <c r="X1492" s="30"/>
      <c r="Y1492" s="30"/>
      <c r="Z1492" s="30"/>
      <c r="AA1492" s="30"/>
      <c r="AB1492" s="30"/>
      <c r="AC1492" s="30"/>
      <c r="AD1492" s="30"/>
      <c r="AE1492" s="30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30"/>
      <c r="AQ1492" s="30"/>
      <c r="AR1492" s="30"/>
      <c r="AS1492" s="30"/>
      <c r="AT1492" s="30"/>
      <c r="AU1492" s="30"/>
      <c r="AV1492" s="30"/>
      <c r="AW1492" s="30"/>
      <c r="AX1492" s="30"/>
      <c r="AY1492" s="30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30"/>
      <c r="BK1492" s="30"/>
      <c r="BL1492" s="30"/>
      <c r="BM1492" s="30"/>
      <c r="BN1492" s="30"/>
      <c r="BO1492" s="30"/>
      <c r="BP1492" s="30"/>
      <c r="BQ1492" s="30"/>
      <c r="BR1492" s="30"/>
      <c r="BS1492" s="30"/>
      <c r="BT1492" s="1"/>
      <c r="BU1492" s="1"/>
      <c r="BV1492" s="1"/>
      <c r="BW1492" s="1"/>
      <c r="BX1492" s="1"/>
      <c r="BY1492" s="1"/>
      <c r="BZ1492" s="1"/>
      <c r="CA1492" s="1"/>
      <c r="CB1492" s="1"/>
      <c r="CC1492" s="1"/>
      <c r="CD1492" s="30"/>
      <c r="CE1492" s="30"/>
      <c r="CF1492" s="30"/>
      <c r="CG1492" s="30"/>
      <c r="CH1492" s="30"/>
      <c r="CI1492" s="30"/>
      <c r="CJ1492" s="30"/>
      <c r="CK1492" s="30"/>
      <c r="CL1492" s="30"/>
      <c r="CM1492" s="30"/>
      <c r="CN1492" s="1"/>
      <c r="CO1492" s="1"/>
      <c r="CP1492" s="1"/>
      <c r="CQ1492" s="1"/>
      <c r="CR1492" s="1"/>
      <c r="CS1492" s="1"/>
      <c r="CT1492" s="1"/>
      <c r="CU1492" s="1"/>
      <c r="CV1492" s="1"/>
      <c r="CW1492" s="1"/>
    </row>
    <row r="1493" spans="2:101" ht="15" hidden="1" customHeight="1" x14ac:dyDescent="0.25"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30"/>
      <c r="W1493" s="30"/>
      <c r="X1493" s="30"/>
      <c r="Y1493" s="30"/>
      <c r="Z1493" s="30"/>
      <c r="AA1493" s="30"/>
      <c r="AB1493" s="30"/>
      <c r="AC1493" s="30"/>
      <c r="AD1493" s="30"/>
      <c r="AE1493" s="30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30"/>
      <c r="AQ1493" s="30"/>
      <c r="AR1493" s="30"/>
      <c r="AS1493" s="30"/>
      <c r="AT1493" s="30"/>
      <c r="AU1493" s="30"/>
      <c r="AV1493" s="30"/>
      <c r="AW1493" s="30"/>
      <c r="AX1493" s="30"/>
      <c r="AY1493" s="30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30"/>
      <c r="BK1493" s="30"/>
      <c r="BL1493" s="30"/>
      <c r="BM1493" s="30"/>
      <c r="BN1493" s="30"/>
      <c r="BO1493" s="30"/>
      <c r="BP1493" s="30"/>
      <c r="BQ1493" s="30"/>
      <c r="BR1493" s="30"/>
      <c r="BS1493" s="30"/>
      <c r="BT1493" s="1"/>
      <c r="BU1493" s="1"/>
      <c r="BV1493" s="1"/>
      <c r="BW1493" s="1"/>
      <c r="BX1493" s="1"/>
      <c r="BY1493" s="1"/>
      <c r="BZ1493" s="1"/>
      <c r="CA1493" s="1"/>
      <c r="CB1493" s="1"/>
      <c r="CC1493" s="1"/>
      <c r="CD1493" s="30"/>
      <c r="CE1493" s="30"/>
      <c r="CF1493" s="30"/>
      <c r="CG1493" s="30"/>
      <c r="CH1493" s="30"/>
      <c r="CI1493" s="30"/>
      <c r="CJ1493" s="30"/>
      <c r="CK1493" s="30"/>
      <c r="CL1493" s="30"/>
      <c r="CM1493" s="30"/>
      <c r="CN1493" s="1"/>
      <c r="CO1493" s="1"/>
      <c r="CP1493" s="1"/>
      <c r="CQ1493" s="1"/>
      <c r="CR1493" s="1"/>
      <c r="CS1493" s="1"/>
      <c r="CT1493" s="1"/>
      <c r="CU1493" s="1"/>
      <c r="CV1493" s="1"/>
      <c r="CW1493" s="1"/>
    </row>
    <row r="1494" spans="2:101" ht="15" hidden="1" customHeight="1" x14ac:dyDescent="0.25"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30"/>
      <c r="W1494" s="30"/>
      <c r="X1494" s="30"/>
      <c r="Y1494" s="30"/>
      <c r="Z1494" s="30"/>
      <c r="AA1494" s="30"/>
      <c r="AB1494" s="30"/>
      <c r="AC1494" s="30"/>
      <c r="AD1494" s="30"/>
      <c r="AE1494" s="30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30"/>
      <c r="AQ1494" s="30"/>
      <c r="AR1494" s="30"/>
      <c r="AS1494" s="30"/>
      <c r="AT1494" s="30"/>
      <c r="AU1494" s="30"/>
      <c r="AV1494" s="30"/>
      <c r="AW1494" s="30"/>
      <c r="AX1494" s="30"/>
      <c r="AY1494" s="30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30"/>
      <c r="BK1494" s="30"/>
      <c r="BL1494" s="30"/>
      <c r="BM1494" s="30"/>
      <c r="BN1494" s="30"/>
      <c r="BO1494" s="30"/>
      <c r="BP1494" s="30"/>
      <c r="BQ1494" s="30"/>
      <c r="BR1494" s="30"/>
      <c r="BS1494" s="30"/>
      <c r="BT1494" s="1"/>
      <c r="BU1494" s="1"/>
      <c r="BV1494" s="1"/>
      <c r="BW1494" s="1"/>
      <c r="BX1494" s="1"/>
      <c r="BY1494" s="1"/>
      <c r="BZ1494" s="1"/>
      <c r="CA1494" s="1"/>
      <c r="CB1494" s="1"/>
      <c r="CC1494" s="1"/>
      <c r="CD1494" s="30"/>
      <c r="CE1494" s="30"/>
      <c r="CF1494" s="30"/>
      <c r="CG1494" s="30"/>
      <c r="CH1494" s="30"/>
      <c r="CI1494" s="30"/>
      <c r="CJ1494" s="30"/>
      <c r="CK1494" s="30"/>
      <c r="CL1494" s="30"/>
      <c r="CM1494" s="30"/>
      <c r="CN1494" s="1"/>
      <c r="CO1494" s="1"/>
      <c r="CP1494" s="1"/>
      <c r="CQ1494" s="1"/>
      <c r="CR1494" s="1"/>
      <c r="CS1494" s="1"/>
      <c r="CT1494" s="1"/>
      <c r="CU1494" s="1"/>
      <c r="CV1494" s="1"/>
      <c r="CW1494" s="1"/>
    </row>
    <row r="1495" spans="2:101" ht="15" hidden="1" customHeight="1" x14ac:dyDescent="0.25"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30"/>
      <c r="W1495" s="30"/>
      <c r="X1495" s="30"/>
      <c r="Y1495" s="30"/>
      <c r="Z1495" s="30"/>
      <c r="AA1495" s="30"/>
      <c r="AB1495" s="30"/>
      <c r="AC1495" s="30"/>
      <c r="AD1495" s="30"/>
      <c r="AE1495" s="30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30"/>
      <c r="AQ1495" s="30"/>
      <c r="AR1495" s="30"/>
      <c r="AS1495" s="30"/>
      <c r="AT1495" s="30"/>
      <c r="AU1495" s="30"/>
      <c r="AV1495" s="30"/>
      <c r="AW1495" s="30"/>
      <c r="AX1495" s="30"/>
      <c r="AY1495" s="30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30"/>
      <c r="BK1495" s="30"/>
      <c r="BL1495" s="30"/>
      <c r="BM1495" s="30"/>
      <c r="BN1495" s="30"/>
      <c r="BO1495" s="30"/>
      <c r="BP1495" s="30"/>
      <c r="BQ1495" s="30"/>
      <c r="BR1495" s="30"/>
      <c r="BS1495" s="30"/>
      <c r="BT1495" s="1"/>
      <c r="BU1495" s="1"/>
      <c r="BV1495" s="1"/>
      <c r="BW1495" s="1"/>
      <c r="BX1495" s="1"/>
      <c r="BY1495" s="1"/>
      <c r="BZ1495" s="1"/>
      <c r="CA1495" s="1"/>
      <c r="CB1495" s="1"/>
      <c r="CC1495" s="1"/>
      <c r="CD1495" s="30"/>
      <c r="CE1495" s="30"/>
      <c r="CF1495" s="30"/>
      <c r="CG1495" s="30"/>
      <c r="CH1495" s="30"/>
      <c r="CI1495" s="30"/>
      <c r="CJ1495" s="30"/>
      <c r="CK1495" s="30"/>
      <c r="CL1495" s="30"/>
      <c r="CM1495" s="30"/>
      <c r="CN1495" s="1"/>
      <c r="CO1495" s="1"/>
      <c r="CP1495" s="1"/>
      <c r="CQ1495" s="1"/>
      <c r="CR1495" s="1"/>
      <c r="CS1495" s="1"/>
      <c r="CT1495" s="1"/>
      <c r="CU1495" s="1"/>
      <c r="CV1495" s="1"/>
      <c r="CW1495" s="1"/>
    </row>
    <row r="1496" spans="2:101" ht="15" hidden="1" customHeight="1" x14ac:dyDescent="0.25"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30"/>
      <c r="W1496" s="30"/>
      <c r="X1496" s="30"/>
      <c r="Y1496" s="30"/>
      <c r="Z1496" s="30"/>
      <c r="AA1496" s="30"/>
      <c r="AB1496" s="30"/>
      <c r="AC1496" s="30"/>
      <c r="AD1496" s="30"/>
      <c r="AE1496" s="30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30"/>
      <c r="AQ1496" s="30"/>
      <c r="AR1496" s="30"/>
      <c r="AS1496" s="30"/>
      <c r="AT1496" s="30"/>
      <c r="AU1496" s="30"/>
      <c r="AV1496" s="30"/>
      <c r="AW1496" s="30"/>
      <c r="AX1496" s="30"/>
      <c r="AY1496" s="30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30"/>
      <c r="BK1496" s="30"/>
      <c r="BL1496" s="30"/>
      <c r="BM1496" s="30"/>
      <c r="BN1496" s="30"/>
      <c r="BO1496" s="30"/>
      <c r="BP1496" s="30"/>
      <c r="BQ1496" s="30"/>
      <c r="BR1496" s="30"/>
      <c r="BS1496" s="30"/>
      <c r="BT1496" s="1"/>
      <c r="BU1496" s="1"/>
      <c r="BV1496" s="1"/>
      <c r="BW1496" s="1"/>
      <c r="BX1496" s="1"/>
      <c r="BY1496" s="1"/>
      <c r="BZ1496" s="1"/>
      <c r="CA1496" s="1"/>
      <c r="CB1496" s="1"/>
      <c r="CC1496" s="1"/>
      <c r="CD1496" s="30"/>
      <c r="CE1496" s="30"/>
      <c r="CF1496" s="30"/>
      <c r="CG1496" s="30"/>
      <c r="CH1496" s="30"/>
      <c r="CI1496" s="30"/>
      <c r="CJ1496" s="30"/>
      <c r="CK1496" s="30"/>
      <c r="CL1496" s="30"/>
      <c r="CM1496" s="30"/>
      <c r="CN1496" s="1"/>
      <c r="CO1496" s="1"/>
      <c r="CP1496" s="1"/>
      <c r="CQ1496" s="1"/>
      <c r="CR1496" s="1"/>
      <c r="CS1496" s="1"/>
      <c r="CT1496" s="1"/>
      <c r="CU1496" s="1"/>
      <c r="CV1496" s="1"/>
      <c r="CW1496" s="1"/>
    </row>
    <row r="1497" spans="2:101" ht="15" hidden="1" customHeight="1" x14ac:dyDescent="0.25"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30"/>
      <c r="W1497" s="30"/>
      <c r="X1497" s="30"/>
      <c r="Y1497" s="30"/>
      <c r="Z1497" s="30"/>
      <c r="AA1497" s="30"/>
      <c r="AB1497" s="30"/>
      <c r="AC1497" s="30"/>
      <c r="AD1497" s="30"/>
      <c r="AE1497" s="30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30"/>
      <c r="AQ1497" s="30"/>
      <c r="AR1497" s="30"/>
      <c r="AS1497" s="30"/>
      <c r="AT1497" s="30"/>
      <c r="AU1497" s="30"/>
      <c r="AV1497" s="30"/>
      <c r="AW1497" s="30"/>
      <c r="AX1497" s="30"/>
      <c r="AY1497" s="30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30"/>
      <c r="BK1497" s="30"/>
      <c r="BL1497" s="30"/>
      <c r="BM1497" s="30"/>
      <c r="BN1497" s="30"/>
      <c r="BO1497" s="30"/>
      <c r="BP1497" s="30"/>
      <c r="BQ1497" s="30"/>
      <c r="BR1497" s="30"/>
      <c r="BS1497" s="30"/>
      <c r="BT1497" s="1"/>
      <c r="BU1497" s="1"/>
      <c r="BV1497" s="1"/>
      <c r="BW1497" s="1"/>
      <c r="BX1497" s="1"/>
      <c r="BY1497" s="1"/>
      <c r="BZ1497" s="1"/>
      <c r="CA1497" s="1"/>
      <c r="CB1497" s="1"/>
      <c r="CC1497" s="1"/>
      <c r="CD1497" s="30"/>
      <c r="CE1497" s="30"/>
      <c r="CF1497" s="30"/>
      <c r="CG1497" s="30"/>
      <c r="CH1497" s="30"/>
      <c r="CI1497" s="30"/>
      <c r="CJ1497" s="30"/>
      <c r="CK1497" s="30"/>
      <c r="CL1497" s="30"/>
      <c r="CM1497" s="30"/>
      <c r="CN1497" s="1"/>
      <c r="CO1497" s="1"/>
      <c r="CP1497" s="1"/>
      <c r="CQ1497" s="1"/>
      <c r="CR1497" s="1"/>
      <c r="CS1497" s="1"/>
      <c r="CT1497" s="1"/>
      <c r="CU1497" s="1"/>
      <c r="CV1497" s="1"/>
      <c r="CW1497" s="1"/>
    </row>
    <row r="1498" spans="2:101" ht="15" hidden="1" customHeight="1" x14ac:dyDescent="0.25"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30"/>
      <c r="W1498" s="30"/>
      <c r="X1498" s="30"/>
      <c r="Y1498" s="30"/>
      <c r="Z1498" s="30"/>
      <c r="AA1498" s="30"/>
      <c r="AB1498" s="30"/>
      <c r="AC1498" s="30"/>
      <c r="AD1498" s="30"/>
      <c r="AE1498" s="30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30"/>
      <c r="AQ1498" s="30"/>
      <c r="AR1498" s="30"/>
      <c r="AS1498" s="30"/>
      <c r="AT1498" s="30"/>
      <c r="AU1498" s="30"/>
      <c r="AV1498" s="30"/>
      <c r="AW1498" s="30"/>
      <c r="AX1498" s="30"/>
      <c r="AY1498" s="30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30"/>
      <c r="BK1498" s="30"/>
      <c r="BL1498" s="30"/>
      <c r="BM1498" s="30"/>
      <c r="BN1498" s="30"/>
      <c r="BO1498" s="30"/>
      <c r="BP1498" s="30"/>
      <c r="BQ1498" s="30"/>
      <c r="BR1498" s="30"/>
      <c r="BS1498" s="30"/>
      <c r="BT1498" s="1"/>
      <c r="BU1498" s="1"/>
      <c r="BV1498" s="1"/>
      <c r="BW1498" s="1"/>
      <c r="BX1498" s="1"/>
      <c r="BY1498" s="1"/>
      <c r="BZ1498" s="1"/>
      <c r="CA1498" s="1"/>
      <c r="CB1498" s="1"/>
      <c r="CC1498" s="1"/>
      <c r="CD1498" s="30"/>
      <c r="CE1498" s="30"/>
      <c r="CF1498" s="30"/>
      <c r="CG1498" s="30"/>
      <c r="CH1498" s="30"/>
      <c r="CI1498" s="30"/>
      <c r="CJ1498" s="30"/>
      <c r="CK1498" s="30"/>
      <c r="CL1498" s="30"/>
      <c r="CM1498" s="30"/>
      <c r="CN1498" s="1"/>
      <c r="CO1498" s="1"/>
      <c r="CP1498" s="1"/>
      <c r="CQ1498" s="1"/>
      <c r="CR1498" s="1"/>
      <c r="CS1498" s="1"/>
      <c r="CT1498" s="1"/>
      <c r="CU1498" s="1"/>
      <c r="CV1498" s="1"/>
      <c r="CW1498" s="1"/>
    </row>
    <row r="1499" spans="2:101" ht="15" hidden="1" customHeight="1" x14ac:dyDescent="0.25"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30"/>
      <c r="W1499" s="30"/>
      <c r="X1499" s="30"/>
      <c r="Y1499" s="30"/>
      <c r="Z1499" s="30"/>
      <c r="AA1499" s="30"/>
      <c r="AB1499" s="30"/>
      <c r="AC1499" s="30"/>
      <c r="AD1499" s="30"/>
      <c r="AE1499" s="30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30"/>
      <c r="AQ1499" s="30"/>
      <c r="AR1499" s="30"/>
      <c r="AS1499" s="30"/>
      <c r="AT1499" s="30"/>
      <c r="AU1499" s="30"/>
      <c r="AV1499" s="30"/>
      <c r="AW1499" s="30"/>
      <c r="AX1499" s="30"/>
      <c r="AY1499" s="30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30"/>
      <c r="BK1499" s="30"/>
      <c r="BL1499" s="30"/>
      <c r="BM1499" s="30"/>
      <c r="BN1499" s="30"/>
      <c r="BO1499" s="30"/>
      <c r="BP1499" s="30"/>
      <c r="BQ1499" s="30"/>
      <c r="BR1499" s="30"/>
      <c r="BS1499" s="30"/>
      <c r="BT1499" s="1"/>
      <c r="BU1499" s="1"/>
      <c r="BV1499" s="1"/>
      <c r="BW1499" s="1"/>
      <c r="BX1499" s="1"/>
      <c r="BY1499" s="1"/>
      <c r="BZ1499" s="1"/>
      <c r="CA1499" s="1"/>
      <c r="CB1499" s="1"/>
      <c r="CC1499" s="1"/>
      <c r="CD1499" s="30"/>
      <c r="CE1499" s="30"/>
      <c r="CF1499" s="30"/>
      <c r="CG1499" s="30"/>
      <c r="CH1499" s="30"/>
      <c r="CI1499" s="30"/>
      <c r="CJ1499" s="30"/>
      <c r="CK1499" s="30"/>
      <c r="CL1499" s="30"/>
      <c r="CM1499" s="30"/>
      <c r="CN1499" s="1"/>
      <c r="CO1499" s="1"/>
      <c r="CP1499" s="1"/>
      <c r="CQ1499" s="1"/>
      <c r="CR1499" s="1"/>
      <c r="CS1499" s="1"/>
      <c r="CT1499" s="1"/>
      <c r="CU1499" s="1"/>
      <c r="CV1499" s="1"/>
      <c r="CW1499" s="1"/>
    </row>
    <row r="1500" spans="2:101" ht="15" hidden="1" customHeight="1" x14ac:dyDescent="0.25"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30"/>
      <c r="W1500" s="30"/>
      <c r="X1500" s="30"/>
      <c r="Y1500" s="30"/>
      <c r="Z1500" s="30"/>
      <c r="AA1500" s="30"/>
      <c r="AB1500" s="30"/>
      <c r="AC1500" s="30"/>
      <c r="AD1500" s="30"/>
      <c r="AE1500" s="30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30"/>
      <c r="AQ1500" s="30"/>
      <c r="AR1500" s="30"/>
      <c r="AS1500" s="30"/>
      <c r="AT1500" s="30"/>
      <c r="AU1500" s="30"/>
      <c r="AV1500" s="30"/>
      <c r="AW1500" s="30"/>
      <c r="AX1500" s="30"/>
      <c r="AY1500" s="30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30"/>
      <c r="BK1500" s="30"/>
      <c r="BL1500" s="30"/>
      <c r="BM1500" s="30"/>
      <c r="BN1500" s="30"/>
      <c r="BO1500" s="30"/>
      <c r="BP1500" s="30"/>
      <c r="BQ1500" s="30"/>
      <c r="BR1500" s="30"/>
      <c r="BS1500" s="30"/>
      <c r="BT1500" s="1"/>
      <c r="BU1500" s="1"/>
      <c r="BV1500" s="1"/>
      <c r="BW1500" s="1"/>
      <c r="BX1500" s="1"/>
      <c r="BY1500" s="1"/>
      <c r="BZ1500" s="1"/>
      <c r="CA1500" s="1"/>
      <c r="CB1500" s="1"/>
      <c r="CC1500" s="1"/>
      <c r="CD1500" s="30"/>
      <c r="CE1500" s="30"/>
      <c r="CF1500" s="30"/>
      <c r="CG1500" s="30"/>
      <c r="CH1500" s="30"/>
      <c r="CI1500" s="30"/>
      <c r="CJ1500" s="30"/>
      <c r="CK1500" s="30"/>
      <c r="CL1500" s="30"/>
      <c r="CM1500" s="30"/>
      <c r="CN1500" s="1"/>
      <c r="CO1500" s="1"/>
      <c r="CP1500" s="1"/>
      <c r="CQ1500" s="1"/>
      <c r="CR1500" s="1"/>
      <c r="CS1500" s="1"/>
      <c r="CT1500" s="1"/>
      <c r="CU1500" s="1"/>
      <c r="CV1500" s="1"/>
      <c r="CW1500" s="1"/>
    </row>
    <row r="1501" spans="2:101" ht="15" hidden="1" customHeight="1" x14ac:dyDescent="0.25"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30"/>
      <c r="W1501" s="30"/>
      <c r="X1501" s="30"/>
      <c r="Y1501" s="30"/>
      <c r="Z1501" s="30"/>
      <c r="AA1501" s="30"/>
      <c r="AB1501" s="30"/>
      <c r="AC1501" s="30"/>
      <c r="AD1501" s="30"/>
      <c r="AE1501" s="30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30"/>
      <c r="AQ1501" s="30"/>
      <c r="AR1501" s="30"/>
      <c r="AS1501" s="30"/>
      <c r="AT1501" s="30"/>
      <c r="AU1501" s="30"/>
      <c r="AV1501" s="30"/>
      <c r="AW1501" s="30"/>
      <c r="AX1501" s="30"/>
      <c r="AY1501" s="30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30"/>
      <c r="BK1501" s="30"/>
      <c r="BL1501" s="30"/>
      <c r="BM1501" s="30"/>
      <c r="BN1501" s="30"/>
      <c r="BO1501" s="30"/>
      <c r="BP1501" s="30"/>
      <c r="BQ1501" s="30"/>
      <c r="BR1501" s="30"/>
      <c r="BS1501" s="30"/>
      <c r="BT1501" s="1"/>
      <c r="BU1501" s="1"/>
      <c r="BV1501" s="1"/>
      <c r="BW1501" s="1"/>
      <c r="BX1501" s="1"/>
      <c r="BY1501" s="1"/>
      <c r="BZ1501" s="1"/>
      <c r="CA1501" s="1"/>
      <c r="CB1501" s="1"/>
      <c r="CC1501" s="1"/>
      <c r="CD1501" s="30"/>
      <c r="CE1501" s="30"/>
      <c r="CF1501" s="30"/>
      <c r="CG1501" s="30"/>
      <c r="CH1501" s="30"/>
      <c r="CI1501" s="30"/>
      <c r="CJ1501" s="30"/>
      <c r="CK1501" s="30"/>
      <c r="CL1501" s="30"/>
      <c r="CM1501" s="30"/>
      <c r="CN1501" s="1"/>
      <c r="CO1501" s="1"/>
      <c r="CP1501" s="1"/>
      <c r="CQ1501" s="1"/>
      <c r="CR1501" s="1"/>
      <c r="CS1501" s="1"/>
      <c r="CT1501" s="1"/>
      <c r="CU1501" s="1"/>
      <c r="CV1501" s="1"/>
      <c r="CW1501" s="1"/>
    </row>
    <row r="1502" spans="2:101" ht="15" hidden="1" customHeight="1" x14ac:dyDescent="0.25"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30"/>
      <c r="W1502" s="30"/>
      <c r="X1502" s="30"/>
      <c r="Y1502" s="30"/>
      <c r="Z1502" s="30"/>
      <c r="AA1502" s="30"/>
      <c r="AB1502" s="30"/>
      <c r="AC1502" s="30"/>
      <c r="AD1502" s="30"/>
      <c r="AE1502" s="30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30"/>
      <c r="AQ1502" s="30"/>
      <c r="AR1502" s="30"/>
      <c r="AS1502" s="30"/>
      <c r="AT1502" s="30"/>
      <c r="AU1502" s="30"/>
      <c r="AV1502" s="30"/>
      <c r="AW1502" s="30"/>
      <c r="AX1502" s="30"/>
      <c r="AY1502" s="30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30"/>
      <c r="BK1502" s="30"/>
      <c r="BL1502" s="30"/>
      <c r="BM1502" s="30"/>
      <c r="BN1502" s="30"/>
      <c r="BO1502" s="30"/>
      <c r="BP1502" s="30"/>
      <c r="BQ1502" s="30"/>
      <c r="BR1502" s="30"/>
      <c r="BS1502" s="30"/>
      <c r="BT1502" s="1"/>
      <c r="BU1502" s="1"/>
      <c r="BV1502" s="1"/>
      <c r="BW1502" s="1"/>
      <c r="BX1502" s="1"/>
      <c r="BY1502" s="1"/>
      <c r="BZ1502" s="1"/>
      <c r="CA1502" s="1"/>
      <c r="CB1502" s="1"/>
      <c r="CC1502" s="1"/>
      <c r="CD1502" s="30"/>
      <c r="CE1502" s="30"/>
      <c r="CF1502" s="30"/>
      <c r="CG1502" s="30"/>
      <c r="CH1502" s="30"/>
      <c r="CI1502" s="30"/>
      <c r="CJ1502" s="30"/>
      <c r="CK1502" s="30"/>
      <c r="CL1502" s="30"/>
      <c r="CM1502" s="30"/>
      <c r="CN1502" s="1"/>
      <c r="CO1502" s="1"/>
      <c r="CP1502" s="1"/>
      <c r="CQ1502" s="1"/>
      <c r="CR1502" s="1"/>
      <c r="CS1502" s="1"/>
      <c r="CT1502" s="1"/>
      <c r="CU1502" s="1"/>
      <c r="CV1502" s="1"/>
      <c r="CW1502" s="1"/>
    </row>
    <row r="1503" spans="2:101" ht="15" hidden="1" customHeight="1" x14ac:dyDescent="0.25"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30"/>
      <c r="W1503" s="30"/>
      <c r="X1503" s="30"/>
      <c r="Y1503" s="30"/>
      <c r="Z1503" s="30"/>
      <c r="AA1503" s="30"/>
      <c r="AB1503" s="30"/>
      <c r="AC1503" s="30"/>
      <c r="AD1503" s="30"/>
      <c r="AE1503" s="30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30"/>
      <c r="AQ1503" s="30"/>
      <c r="AR1503" s="30"/>
      <c r="AS1503" s="30"/>
      <c r="AT1503" s="30"/>
      <c r="AU1503" s="30"/>
      <c r="AV1503" s="30"/>
      <c r="AW1503" s="30"/>
      <c r="AX1503" s="30"/>
      <c r="AY1503" s="30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30"/>
      <c r="BK1503" s="30"/>
      <c r="BL1503" s="30"/>
      <c r="BM1503" s="30"/>
      <c r="BN1503" s="30"/>
      <c r="BO1503" s="30"/>
      <c r="BP1503" s="30"/>
      <c r="BQ1503" s="30"/>
      <c r="BR1503" s="30"/>
      <c r="BS1503" s="30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30"/>
      <c r="CE1503" s="30"/>
      <c r="CF1503" s="30"/>
      <c r="CG1503" s="30"/>
      <c r="CH1503" s="30"/>
      <c r="CI1503" s="30"/>
      <c r="CJ1503" s="30"/>
      <c r="CK1503" s="30"/>
      <c r="CL1503" s="30"/>
      <c r="CM1503" s="30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</row>
    <row r="1504" spans="2:101" ht="15" hidden="1" customHeight="1" x14ac:dyDescent="0.25"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30"/>
      <c r="W1504" s="30"/>
      <c r="X1504" s="30"/>
      <c r="Y1504" s="30"/>
      <c r="Z1504" s="30"/>
      <c r="AA1504" s="30"/>
      <c r="AB1504" s="30"/>
      <c r="AC1504" s="30"/>
      <c r="AD1504" s="30"/>
      <c r="AE1504" s="30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30"/>
      <c r="AQ1504" s="30"/>
      <c r="AR1504" s="30"/>
      <c r="AS1504" s="30"/>
      <c r="AT1504" s="30"/>
      <c r="AU1504" s="30"/>
      <c r="AV1504" s="30"/>
      <c r="AW1504" s="30"/>
      <c r="AX1504" s="30"/>
      <c r="AY1504" s="30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30"/>
      <c r="BK1504" s="30"/>
      <c r="BL1504" s="30"/>
      <c r="BM1504" s="30"/>
      <c r="BN1504" s="30"/>
      <c r="BO1504" s="30"/>
      <c r="BP1504" s="30"/>
      <c r="BQ1504" s="30"/>
      <c r="BR1504" s="30"/>
      <c r="BS1504" s="30"/>
      <c r="BT1504" s="1"/>
      <c r="BU1504" s="1"/>
      <c r="BV1504" s="1"/>
      <c r="BW1504" s="1"/>
      <c r="BX1504" s="1"/>
      <c r="BY1504" s="1"/>
      <c r="BZ1504" s="1"/>
      <c r="CA1504" s="1"/>
      <c r="CB1504" s="1"/>
      <c r="CC1504" s="1"/>
      <c r="CD1504" s="30"/>
      <c r="CE1504" s="30"/>
      <c r="CF1504" s="30"/>
      <c r="CG1504" s="30"/>
      <c r="CH1504" s="30"/>
      <c r="CI1504" s="30"/>
      <c r="CJ1504" s="30"/>
      <c r="CK1504" s="30"/>
      <c r="CL1504" s="30"/>
      <c r="CM1504" s="30"/>
      <c r="CN1504" s="1"/>
      <c r="CO1504" s="1"/>
      <c r="CP1504" s="1"/>
      <c r="CQ1504" s="1"/>
      <c r="CR1504" s="1"/>
      <c r="CS1504" s="1"/>
      <c r="CT1504" s="1"/>
      <c r="CU1504" s="1"/>
      <c r="CV1504" s="1"/>
      <c r="CW1504" s="1"/>
    </row>
    <row r="1505" spans="2:101" ht="15" hidden="1" customHeight="1" x14ac:dyDescent="0.25"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30"/>
      <c r="W1505" s="30"/>
      <c r="X1505" s="30"/>
      <c r="Y1505" s="30"/>
      <c r="Z1505" s="30"/>
      <c r="AA1505" s="30"/>
      <c r="AB1505" s="30"/>
      <c r="AC1505" s="30"/>
      <c r="AD1505" s="30"/>
      <c r="AE1505" s="30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30"/>
      <c r="AQ1505" s="30"/>
      <c r="AR1505" s="30"/>
      <c r="AS1505" s="30"/>
      <c r="AT1505" s="30"/>
      <c r="AU1505" s="30"/>
      <c r="AV1505" s="30"/>
      <c r="AW1505" s="30"/>
      <c r="AX1505" s="30"/>
      <c r="AY1505" s="30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30"/>
      <c r="BK1505" s="30"/>
      <c r="BL1505" s="30"/>
      <c r="BM1505" s="30"/>
      <c r="BN1505" s="30"/>
      <c r="BO1505" s="30"/>
      <c r="BP1505" s="30"/>
      <c r="BQ1505" s="30"/>
      <c r="BR1505" s="30"/>
      <c r="BS1505" s="30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30"/>
      <c r="CE1505" s="30"/>
      <c r="CF1505" s="30"/>
      <c r="CG1505" s="30"/>
      <c r="CH1505" s="30"/>
      <c r="CI1505" s="30"/>
      <c r="CJ1505" s="30"/>
      <c r="CK1505" s="30"/>
      <c r="CL1505" s="30"/>
      <c r="CM1505" s="30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</row>
    <row r="1506" spans="2:101" ht="15" hidden="1" customHeight="1" x14ac:dyDescent="0.25"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30"/>
      <c r="W1506" s="30"/>
      <c r="X1506" s="30"/>
      <c r="Y1506" s="30"/>
      <c r="Z1506" s="30"/>
      <c r="AA1506" s="30"/>
      <c r="AB1506" s="30"/>
      <c r="AC1506" s="30"/>
      <c r="AD1506" s="30"/>
      <c r="AE1506" s="30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30"/>
      <c r="AQ1506" s="30"/>
      <c r="AR1506" s="30"/>
      <c r="AS1506" s="30"/>
      <c r="AT1506" s="30"/>
      <c r="AU1506" s="30"/>
      <c r="AV1506" s="30"/>
      <c r="AW1506" s="30"/>
      <c r="AX1506" s="30"/>
      <c r="AY1506" s="30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30"/>
      <c r="BK1506" s="30"/>
      <c r="BL1506" s="30"/>
      <c r="BM1506" s="30"/>
      <c r="BN1506" s="30"/>
      <c r="BO1506" s="30"/>
      <c r="BP1506" s="30"/>
      <c r="BQ1506" s="30"/>
      <c r="BR1506" s="30"/>
      <c r="BS1506" s="30"/>
      <c r="BT1506" s="1"/>
      <c r="BU1506" s="1"/>
      <c r="BV1506" s="1"/>
      <c r="BW1506" s="1"/>
      <c r="BX1506" s="1"/>
      <c r="BY1506" s="1"/>
      <c r="BZ1506" s="1"/>
      <c r="CA1506" s="1"/>
      <c r="CB1506" s="1"/>
      <c r="CC1506" s="1"/>
      <c r="CD1506" s="30"/>
      <c r="CE1506" s="30"/>
      <c r="CF1506" s="30"/>
      <c r="CG1506" s="30"/>
      <c r="CH1506" s="30"/>
      <c r="CI1506" s="30"/>
      <c r="CJ1506" s="30"/>
      <c r="CK1506" s="30"/>
      <c r="CL1506" s="30"/>
      <c r="CM1506" s="30"/>
      <c r="CN1506" s="1"/>
      <c r="CO1506" s="1"/>
      <c r="CP1506" s="1"/>
      <c r="CQ1506" s="1"/>
      <c r="CR1506" s="1"/>
      <c r="CS1506" s="1"/>
      <c r="CT1506" s="1"/>
      <c r="CU1506" s="1"/>
      <c r="CV1506" s="1"/>
      <c r="CW1506" s="1"/>
    </row>
    <row r="1507" spans="2:101" ht="15" hidden="1" customHeight="1" x14ac:dyDescent="0.25"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30"/>
      <c r="W1507" s="30"/>
      <c r="X1507" s="30"/>
      <c r="Y1507" s="30"/>
      <c r="Z1507" s="30"/>
      <c r="AA1507" s="30"/>
      <c r="AB1507" s="30"/>
      <c r="AC1507" s="30"/>
      <c r="AD1507" s="30"/>
      <c r="AE1507" s="30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30"/>
      <c r="AQ1507" s="30"/>
      <c r="AR1507" s="30"/>
      <c r="AS1507" s="30"/>
      <c r="AT1507" s="30"/>
      <c r="AU1507" s="30"/>
      <c r="AV1507" s="30"/>
      <c r="AW1507" s="30"/>
      <c r="AX1507" s="30"/>
      <c r="AY1507" s="30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30"/>
      <c r="BK1507" s="30"/>
      <c r="BL1507" s="30"/>
      <c r="BM1507" s="30"/>
      <c r="BN1507" s="30"/>
      <c r="BO1507" s="30"/>
      <c r="BP1507" s="30"/>
      <c r="BQ1507" s="30"/>
      <c r="BR1507" s="30"/>
      <c r="BS1507" s="30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30"/>
      <c r="CE1507" s="30"/>
      <c r="CF1507" s="30"/>
      <c r="CG1507" s="30"/>
      <c r="CH1507" s="30"/>
      <c r="CI1507" s="30"/>
      <c r="CJ1507" s="30"/>
      <c r="CK1507" s="30"/>
      <c r="CL1507" s="30"/>
      <c r="CM1507" s="30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</row>
    <row r="1508" spans="2:101" ht="15" hidden="1" customHeight="1" x14ac:dyDescent="0.25"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30"/>
      <c r="W1508" s="30"/>
      <c r="X1508" s="30"/>
      <c r="Y1508" s="30"/>
      <c r="Z1508" s="30"/>
      <c r="AA1508" s="30"/>
      <c r="AB1508" s="30"/>
      <c r="AC1508" s="30"/>
      <c r="AD1508" s="30"/>
      <c r="AE1508" s="30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30"/>
      <c r="AQ1508" s="30"/>
      <c r="AR1508" s="30"/>
      <c r="AS1508" s="30"/>
      <c r="AT1508" s="30"/>
      <c r="AU1508" s="30"/>
      <c r="AV1508" s="30"/>
      <c r="AW1508" s="30"/>
      <c r="AX1508" s="30"/>
      <c r="AY1508" s="30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30"/>
      <c r="BK1508" s="30"/>
      <c r="BL1508" s="30"/>
      <c r="BM1508" s="30"/>
      <c r="BN1508" s="30"/>
      <c r="BO1508" s="30"/>
      <c r="BP1508" s="30"/>
      <c r="BQ1508" s="30"/>
      <c r="BR1508" s="30"/>
      <c r="BS1508" s="30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30"/>
      <c r="CE1508" s="30"/>
      <c r="CF1508" s="30"/>
      <c r="CG1508" s="30"/>
      <c r="CH1508" s="30"/>
      <c r="CI1508" s="30"/>
      <c r="CJ1508" s="30"/>
      <c r="CK1508" s="30"/>
      <c r="CL1508" s="30"/>
      <c r="CM1508" s="30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</row>
    <row r="1509" spans="2:101" ht="15" hidden="1" customHeight="1" x14ac:dyDescent="0.25"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30"/>
      <c r="W1509" s="30"/>
      <c r="X1509" s="30"/>
      <c r="Y1509" s="30"/>
      <c r="Z1509" s="30"/>
      <c r="AA1509" s="30"/>
      <c r="AB1509" s="30"/>
      <c r="AC1509" s="30"/>
      <c r="AD1509" s="30"/>
      <c r="AE1509" s="30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30"/>
      <c r="AQ1509" s="30"/>
      <c r="AR1509" s="30"/>
      <c r="AS1509" s="30"/>
      <c r="AT1509" s="30"/>
      <c r="AU1509" s="30"/>
      <c r="AV1509" s="30"/>
      <c r="AW1509" s="30"/>
      <c r="AX1509" s="30"/>
      <c r="AY1509" s="30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30"/>
      <c r="BK1509" s="30"/>
      <c r="BL1509" s="30"/>
      <c r="BM1509" s="30"/>
      <c r="BN1509" s="30"/>
      <c r="BO1509" s="30"/>
      <c r="BP1509" s="30"/>
      <c r="BQ1509" s="30"/>
      <c r="BR1509" s="30"/>
      <c r="BS1509" s="30"/>
      <c r="BT1509" s="1"/>
      <c r="BU1509" s="1"/>
      <c r="BV1509" s="1"/>
      <c r="BW1509" s="1"/>
      <c r="BX1509" s="1"/>
      <c r="BY1509" s="1"/>
      <c r="BZ1509" s="1"/>
      <c r="CA1509" s="1"/>
      <c r="CB1509" s="1"/>
      <c r="CC1509" s="1"/>
      <c r="CD1509" s="30"/>
      <c r="CE1509" s="30"/>
      <c r="CF1509" s="30"/>
      <c r="CG1509" s="30"/>
      <c r="CH1509" s="30"/>
      <c r="CI1509" s="30"/>
      <c r="CJ1509" s="30"/>
      <c r="CK1509" s="30"/>
      <c r="CL1509" s="30"/>
      <c r="CM1509" s="30"/>
      <c r="CN1509" s="1"/>
      <c r="CO1509" s="1"/>
      <c r="CP1509" s="1"/>
      <c r="CQ1509" s="1"/>
      <c r="CR1509" s="1"/>
      <c r="CS1509" s="1"/>
      <c r="CT1509" s="1"/>
      <c r="CU1509" s="1"/>
      <c r="CV1509" s="1"/>
      <c r="CW1509" s="1"/>
    </row>
    <row r="1510" spans="2:101" ht="15" hidden="1" customHeight="1" x14ac:dyDescent="0.25"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30"/>
      <c r="W1510" s="30"/>
      <c r="X1510" s="30"/>
      <c r="Y1510" s="30"/>
      <c r="Z1510" s="30"/>
      <c r="AA1510" s="30"/>
      <c r="AB1510" s="30"/>
      <c r="AC1510" s="30"/>
      <c r="AD1510" s="30"/>
      <c r="AE1510" s="30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30"/>
      <c r="AQ1510" s="30"/>
      <c r="AR1510" s="30"/>
      <c r="AS1510" s="30"/>
      <c r="AT1510" s="30"/>
      <c r="AU1510" s="30"/>
      <c r="AV1510" s="30"/>
      <c r="AW1510" s="30"/>
      <c r="AX1510" s="30"/>
      <c r="AY1510" s="30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30"/>
      <c r="BK1510" s="30"/>
      <c r="BL1510" s="30"/>
      <c r="BM1510" s="30"/>
      <c r="BN1510" s="30"/>
      <c r="BO1510" s="30"/>
      <c r="BP1510" s="30"/>
      <c r="BQ1510" s="30"/>
      <c r="BR1510" s="30"/>
      <c r="BS1510" s="30"/>
      <c r="BT1510" s="1"/>
      <c r="BU1510" s="1"/>
      <c r="BV1510" s="1"/>
      <c r="BW1510" s="1"/>
      <c r="BX1510" s="1"/>
      <c r="BY1510" s="1"/>
      <c r="BZ1510" s="1"/>
      <c r="CA1510" s="1"/>
      <c r="CB1510" s="1"/>
      <c r="CC1510" s="1"/>
      <c r="CD1510" s="30"/>
      <c r="CE1510" s="30"/>
      <c r="CF1510" s="30"/>
      <c r="CG1510" s="30"/>
      <c r="CH1510" s="30"/>
      <c r="CI1510" s="30"/>
      <c r="CJ1510" s="30"/>
      <c r="CK1510" s="30"/>
      <c r="CL1510" s="30"/>
      <c r="CM1510" s="30"/>
      <c r="CN1510" s="1"/>
      <c r="CO1510" s="1"/>
      <c r="CP1510" s="1"/>
      <c r="CQ1510" s="1"/>
      <c r="CR1510" s="1"/>
      <c r="CS1510" s="1"/>
      <c r="CT1510" s="1"/>
      <c r="CU1510" s="1"/>
      <c r="CV1510" s="1"/>
      <c r="CW1510" s="1"/>
    </row>
    <row r="1511" spans="2:101" ht="15" hidden="1" customHeight="1" x14ac:dyDescent="0.25"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30"/>
      <c r="W1511" s="30"/>
      <c r="X1511" s="30"/>
      <c r="Y1511" s="30"/>
      <c r="Z1511" s="30"/>
      <c r="AA1511" s="30"/>
      <c r="AB1511" s="30"/>
      <c r="AC1511" s="30"/>
      <c r="AD1511" s="30"/>
      <c r="AE1511" s="30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30"/>
      <c r="AQ1511" s="30"/>
      <c r="AR1511" s="30"/>
      <c r="AS1511" s="30"/>
      <c r="AT1511" s="30"/>
      <c r="AU1511" s="30"/>
      <c r="AV1511" s="30"/>
      <c r="AW1511" s="30"/>
      <c r="AX1511" s="30"/>
      <c r="AY1511" s="30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30"/>
      <c r="BK1511" s="30"/>
      <c r="BL1511" s="30"/>
      <c r="BM1511" s="30"/>
      <c r="BN1511" s="30"/>
      <c r="BO1511" s="30"/>
      <c r="BP1511" s="30"/>
      <c r="BQ1511" s="30"/>
      <c r="BR1511" s="30"/>
      <c r="BS1511" s="30"/>
      <c r="BT1511" s="1"/>
      <c r="BU1511" s="1"/>
      <c r="BV1511" s="1"/>
      <c r="BW1511" s="1"/>
      <c r="BX1511" s="1"/>
      <c r="BY1511" s="1"/>
      <c r="BZ1511" s="1"/>
      <c r="CA1511" s="1"/>
      <c r="CB1511" s="1"/>
      <c r="CC1511" s="1"/>
      <c r="CD1511" s="30"/>
      <c r="CE1511" s="30"/>
      <c r="CF1511" s="30"/>
      <c r="CG1511" s="30"/>
      <c r="CH1511" s="30"/>
      <c r="CI1511" s="30"/>
      <c r="CJ1511" s="30"/>
      <c r="CK1511" s="30"/>
      <c r="CL1511" s="30"/>
      <c r="CM1511" s="30"/>
      <c r="CN1511" s="1"/>
      <c r="CO1511" s="1"/>
      <c r="CP1511" s="1"/>
      <c r="CQ1511" s="1"/>
      <c r="CR1511" s="1"/>
      <c r="CS1511" s="1"/>
      <c r="CT1511" s="1"/>
      <c r="CU1511" s="1"/>
      <c r="CV1511" s="1"/>
      <c r="CW1511" s="1"/>
    </row>
    <row r="1512" spans="2:101" ht="15" hidden="1" customHeight="1" x14ac:dyDescent="0.25"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30"/>
      <c r="W1512" s="30"/>
      <c r="X1512" s="30"/>
      <c r="Y1512" s="30"/>
      <c r="Z1512" s="30"/>
      <c r="AA1512" s="30"/>
      <c r="AB1512" s="30"/>
      <c r="AC1512" s="30"/>
      <c r="AD1512" s="30"/>
      <c r="AE1512" s="30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30"/>
      <c r="AQ1512" s="30"/>
      <c r="AR1512" s="30"/>
      <c r="AS1512" s="30"/>
      <c r="AT1512" s="30"/>
      <c r="AU1512" s="30"/>
      <c r="AV1512" s="30"/>
      <c r="AW1512" s="30"/>
      <c r="AX1512" s="30"/>
      <c r="AY1512" s="30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30"/>
      <c r="BK1512" s="30"/>
      <c r="BL1512" s="30"/>
      <c r="BM1512" s="30"/>
      <c r="BN1512" s="30"/>
      <c r="BO1512" s="30"/>
      <c r="BP1512" s="30"/>
      <c r="BQ1512" s="30"/>
      <c r="BR1512" s="30"/>
      <c r="BS1512" s="30"/>
      <c r="BT1512" s="1"/>
      <c r="BU1512" s="1"/>
      <c r="BV1512" s="1"/>
      <c r="BW1512" s="1"/>
      <c r="BX1512" s="1"/>
      <c r="BY1512" s="1"/>
      <c r="BZ1512" s="1"/>
      <c r="CA1512" s="1"/>
      <c r="CB1512" s="1"/>
      <c r="CC1512" s="1"/>
      <c r="CD1512" s="30"/>
      <c r="CE1512" s="30"/>
      <c r="CF1512" s="30"/>
      <c r="CG1512" s="30"/>
      <c r="CH1512" s="30"/>
      <c r="CI1512" s="30"/>
      <c r="CJ1512" s="30"/>
      <c r="CK1512" s="30"/>
      <c r="CL1512" s="30"/>
      <c r="CM1512" s="30"/>
      <c r="CN1512" s="1"/>
      <c r="CO1512" s="1"/>
      <c r="CP1512" s="1"/>
      <c r="CQ1512" s="1"/>
      <c r="CR1512" s="1"/>
      <c r="CS1512" s="1"/>
      <c r="CT1512" s="1"/>
      <c r="CU1512" s="1"/>
      <c r="CV1512" s="1"/>
      <c r="CW1512" s="1"/>
    </row>
    <row r="1513" spans="2:101" ht="15" hidden="1" customHeight="1" x14ac:dyDescent="0.25"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30"/>
      <c r="W1513" s="30"/>
      <c r="X1513" s="30"/>
      <c r="Y1513" s="30"/>
      <c r="Z1513" s="30"/>
      <c r="AA1513" s="30"/>
      <c r="AB1513" s="30"/>
      <c r="AC1513" s="30"/>
      <c r="AD1513" s="30"/>
      <c r="AE1513" s="30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30"/>
      <c r="AQ1513" s="30"/>
      <c r="AR1513" s="30"/>
      <c r="AS1513" s="30"/>
      <c r="AT1513" s="30"/>
      <c r="AU1513" s="30"/>
      <c r="AV1513" s="30"/>
      <c r="AW1513" s="30"/>
      <c r="AX1513" s="30"/>
      <c r="AY1513" s="30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30"/>
      <c r="BK1513" s="30"/>
      <c r="BL1513" s="30"/>
      <c r="BM1513" s="30"/>
      <c r="BN1513" s="30"/>
      <c r="BO1513" s="30"/>
      <c r="BP1513" s="30"/>
      <c r="BQ1513" s="30"/>
      <c r="BR1513" s="30"/>
      <c r="BS1513" s="30"/>
      <c r="BT1513" s="1"/>
      <c r="BU1513" s="1"/>
      <c r="BV1513" s="1"/>
      <c r="BW1513" s="1"/>
      <c r="BX1513" s="1"/>
      <c r="BY1513" s="1"/>
      <c r="BZ1513" s="1"/>
      <c r="CA1513" s="1"/>
      <c r="CB1513" s="1"/>
      <c r="CC1513" s="1"/>
      <c r="CD1513" s="30"/>
      <c r="CE1513" s="30"/>
      <c r="CF1513" s="30"/>
      <c r="CG1513" s="30"/>
      <c r="CH1513" s="30"/>
      <c r="CI1513" s="30"/>
      <c r="CJ1513" s="30"/>
      <c r="CK1513" s="30"/>
      <c r="CL1513" s="30"/>
      <c r="CM1513" s="30"/>
      <c r="CN1513" s="1"/>
      <c r="CO1513" s="1"/>
      <c r="CP1513" s="1"/>
      <c r="CQ1513" s="1"/>
      <c r="CR1513" s="1"/>
      <c r="CS1513" s="1"/>
      <c r="CT1513" s="1"/>
      <c r="CU1513" s="1"/>
      <c r="CV1513" s="1"/>
      <c r="CW1513" s="1"/>
    </row>
    <row r="1514" spans="2:101" ht="15" hidden="1" customHeight="1" x14ac:dyDescent="0.25"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30"/>
      <c r="W1514" s="30"/>
      <c r="X1514" s="30"/>
      <c r="Y1514" s="30"/>
      <c r="Z1514" s="30"/>
      <c r="AA1514" s="30"/>
      <c r="AB1514" s="30"/>
      <c r="AC1514" s="30"/>
      <c r="AD1514" s="30"/>
      <c r="AE1514" s="30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30"/>
      <c r="AQ1514" s="30"/>
      <c r="AR1514" s="30"/>
      <c r="AS1514" s="30"/>
      <c r="AT1514" s="30"/>
      <c r="AU1514" s="30"/>
      <c r="AV1514" s="30"/>
      <c r="AW1514" s="30"/>
      <c r="AX1514" s="30"/>
      <c r="AY1514" s="30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30"/>
      <c r="BK1514" s="30"/>
      <c r="BL1514" s="30"/>
      <c r="BM1514" s="30"/>
      <c r="BN1514" s="30"/>
      <c r="BO1514" s="30"/>
      <c r="BP1514" s="30"/>
      <c r="BQ1514" s="30"/>
      <c r="BR1514" s="30"/>
      <c r="BS1514" s="30"/>
      <c r="BT1514" s="1"/>
      <c r="BU1514" s="1"/>
      <c r="BV1514" s="1"/>
      <c r="BW1514" s="1"/>
      <c r="BX1514" s="1"/>
      <c r="BY1514" s="1"/>
      <c r="BZ1514" s="1"/>
      <c r="CA1514" s="1"/>
      <c r="CB1514" s="1"/>
      <c r="CC1514" s="1"/>
      <c r="CD1514" s="30"/>
      <c r="CE1514" s="30"/>
      <c r="CF1514" s="30"/>
      <c r="CG1514" s="30"/>
      <c r="CH1514" s="30"/>
      <c r="CI1514" s="30"/>
      <c r="CJ1514" s="30"/>
      <c r="CK1514" s="30"/>
      <c r="CL1514" s="30"/>
      <c r="CM1514" s="30"/>
      <c r="CN1514" s="1"/>
      <c r="CO1514" s="1"/>
      <c r="CP1514" s="1"/>
      <c r="CQ1514" s="1"/>
      <c r="CR1514" s="1"/>
      <c r="CS1514" s="1"/>
      <c r="CT1514" s="1"/>
      <c r="CU1514" s="1"/>
      <c r="CV1514" s="1"/>
      <c r="CW1514" s="1"/>
    </row>
    <row r="1515" spans="2:101" ht="15" hidden="1" customHeight="1" x14ac:dyDescent="0.25"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30"/>
      <c r="W1515" s="30"/>
      <c r="X1515" s="30"/>
      <c r="Y1515" s="30"/>
      <c r="Z1515" s="30"/>
      <c r="AA1515" s="30"/>
      <c r="AB1515" s="30"/>
      <c r="AC1515" s="30"/>
      <c r="AD1515" s="30"/>
      <c r="AE1515" s="30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30"/>
      <c r="AQ1515" s="30"/>
      <c r="AR1515" s="30"/>
      <c r="AS1515" s="30"/>
      <c r="AT1515" s="30"/>
      <c r="AU1515" s="30"/>
      <c r="AV1515" s="30"/>
      <c r="AW1515" s="30"/>
      <c r="AX1515" s="30"/>
      <c r="AY1515" s="30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30"/>
      <c r="BK1515" s="30"/>
      <c r="BL1515" s="30"/>
      <c r="BM1515" s="30"/>
      <c r="BN1515" s="30"/>
      <c r="BO1515" s="30"/>
      <c r="BP1515" s="30"/>
      <c r="BQ1515" s="30"/>
      <c r="BR1515" s="30"/>
      <c r="BS1515" s="30"/>
      <c r="BT1515" s="1"/>
      <c r="BU1515" s="1"/>
      <c r="BV1515" s="1"/>
      <c r="BW1515" s="1"/>
      <c r="BX1515" s="1"/>
      <c r="BY1515" s="1"/>
      <c r="BZ1515" s="1"/>
      <c r="CA1515" s="1"/>
      <c r="CB1515" s="1"/>
      <c r="CC1515" s="1"/>
      <c r="CD1515" s="30"/>
      <c r="CE1515" s="30"/>
      <c r="CF1515" s="30"/>
      <c r="CG1515" s="30"/>
      <c r="CH1515" s="30"/>
      <c r="CI1515" s="30"/>
      <c r="CJ1515" s="30"/>
      <c r="CK1515" s="30"/>
      <c r="CL1515" s="30"/>
      <c r="CM1515" s="30"/>
      <c r="CN1515" s="1"/>
      <c r="CO1515" s="1"/>
      <c r="CP1515" s="1"/>
      <c r="CQ1515" s="1"/>
      <c r="CR1515" s="1"/>
      <c r="CS1515" s="1"/>
      <c r="CT1515" s="1"/>
      <c r="CU1515" s="1"/>
      <c r="CV1515" s="1"/>
      <c r="CW1515" s="1"/>
    </row>
    <row r="1516" spans="2:101" ht="15" hidden="1" customHeight="1" x14ac:dyDescent="0.25"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30"/>
      <c r="W1516" s="30"/>
      <c r="X1516" s="30"/>
      <c r="Y1516" s="30"/>
      <c r="Z1516" s="30"/>
      <c r="AA1516" s="30"/>
      <c r="AB1516" s="30"/>
      <c r="AC1516" s="30"/>
      <c r="AD1516" s="30"/>
      <c r="AE1516" s="30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30"/>
      <c r="AQ1516" s="30"/>
      <c r="AR1516" s="30"/>
      <c r="AS1516" s="30"/>
      <c r="AT1516" s="30"/>
      <c r="AU1516" s="30"/>
      <c r="AV1516" s="30"/>
      <c r="AW1516" s="30"/>
      <c r="AX1516" s="30"/>
      <c r="AY1516" s="30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30"/>
      <c r="BK1516" s="30"/>
      <c r="BL1516" s="30"/>
      <c r="BM1516" s="30"/>
      <c r="BN1516" s="30"/>
      <c r="BO1516" s="30"/>
      <c r="BP1516" s="30"/>
      <c r="BQ1516" s="30"/>
      <c r="BR1516" s="30"/>
      <c r="BS1516" s="30"/>
      <c r="BT1516" s="1"/>
      <c r="BU1516" s="1"/>
      <c r="BV1516" s="1"/>
      <c r="BW1516" s="1"/>
      <c r="BX1516" s="1"/>
      <c r="BY1516" s="1"/>
      <c r="BZ1516" s="1"/>
      <c r="CA1516" s="1"/>
      <c r="CB1516" s="1"/>
      <c r="CC1516" s="1"/>
      <c r="CD1516" s="30"/>
      <c r="CE1516" s="30"/>
      <c r="CF1516" s="30"/>
      <c r="CG1516" s="30"/>
      <c r="CH1516" s="30"/>
      <c r="CI1516" s="30"/>
      <c r="CJ1516" s="30"/>
      <c r="CK1516" s="30"/>
      <c r="CL1516" s="30"/>
      <c r="CM1516" s="30"/>
      <c r="CN1516" s="1"/>
      <c r="CO1516" s="1"/>
      <c r="CP1516" s="1"/>
      <c r="CQ1516" s="1"/>
      <c r="CR1516" s="1"/>
      <c r="CS1516" s="1"/>
      <c r="CT1516" s="1"/>
      <c r="CU1516" s="1"/>
      <c r="CV1516" s="1"/>
      <c r="CW1516" s="1"/>
    </row>
    <row r="1517" spans="2:101" ht="15" hidden="1" customHeight="1" x14ac:dyDescent="0.25"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30"/>
      <c r="W1517" s="30"/>
      <c r="X1517" s="30"/>
      <c r="Y1517" s="30"/>
      <c r="Z1517" s="30"/>
      <c r="AA1517" s="30"/>
      <c r="AB1517" s="30"/>
      <c r="AC1517" s="30"/>
      <c r="AD1517" s="30"/>
      <c r="AE1517" s="30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30"/>
      <c r="AQ1517" s="30"/>
      <c r="AR1517" s="30"/>
      <c r="AS1517" s="30"/>
      <c r="AT1517" s="30"/>
      <c r="AU1517" s="30"/>
      <c r="AV1517" s="30"/>
      <c r="AW1517" s="30"/>
      <c r="AX1517" s="30"/>
      <c r="AY1517" s="30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30"/>
      <c r="BK1517" s="30"/>
      <c r="BL1517" s="30"/>
      <c r="BM1517" s="30"/>
      <c r="BN1517" s="30"/>
      <c r="BO1517" s="30"/>
      <c r="BP1517" s="30"/>
      <c r="BQ1517" s="30"/>
      <c r="BR1517" s="30"/>
      <c r="BS1517" s="30"/>
      <c r="BT1517" s="1"/>
      <c r="BU1517" s="1"/>
      <c r="BV1517" s="1"/>
      <c r="BW1517" s="1"/>
      <c r="BX1517" s="1"/>
      <c r="BY1517" s="1"/>
      <c r="BZ1517" s="1"/>
      <c r="CA1517" s="1"/>
      <c r="CB1517" s="1"/>
      <c r="CC1517" s="1"/>
      <c r="CD1517" s="30"/>
      <c r="CE1517" s="30"/>
      <c r="CF1517" s="30"/>
      <c r="CG1517" s="30"/>
      <c r="CH1517" s="30"/>
      <c r="CI1517" s="30"/>
      <c r="CJ1517" s="30"/>
      <c r="CK1517" s="30"/>
      <c r="CL1517" s="30"/>
      <c r="CM1517" s="30"/>
      <c r="CN1517" s="1"/>
      <c r="CO1517" s="1"/>
      <c r="CP1517" s="1"/>
      <c r="CQ1517" s="1"/>
      <c r="CR1517" s="1"/>
      <c r="CS1517" s="1"/>
      <c r="CT1517" s="1"/>
      <c r="CU1517" s="1"/>
      <c r="CV1517" s="1"/>
      <c r="CW1517" s="1"/>
    </row>
    <row r="1518" spans="2:101" ht="15" hidden="1" customHeight="1" x14ac:dyDescent="0.25"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30"/>
      <c r="W1518" s="30"/>
      <c r="X1518" s="30"/>
      <c r="Y1518" s="30"/>
      <c r="Z1518" s="30"/>
      <c r="AA1518" s="30"/>
      <c r="AB1518" s="30"/>
      <c r="AC1518" s="30"/>
      <c r="AD1518" s="30"/>
      <c r="AE1518" s="30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30"/>
      <c r="AQ1518" s="30"/>
      <c r="AR1518" s="30"/>
      <c r="AS1518" s="30"/>
      <c r="AT1518" s="30"/>
      <c r="AU1518" s="30"/>
      <c r="AV1518" s="30"/>
      <c r="AW1518" s="30"/>
      <c r="AX1518" s="30"/>
      <c r="AY1518" s="30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30"/>
      <c r="BK1518" s="30"/>
      <c r="BL1518" s="30"/>
      <c r="BM1518" s="30"/>
      <c r="BN1518" s="30"/>
      <c r="BO1518" s="30"/>
      <c r="BP1518" s="30"/>
      <c r="BQ1518" s="30"/>
      <c r="BR1518" s="30"/>
      <c r="BS1518" s="30"/>
      <c r="BT1518" s="1"/>
      <c r="BU1518" s="1"/>
      <c r="BV1518" s="1"/>
      <c r="BW1518" s="1"/>
      <c r="BX1518" s="1"/>
      <c r="BY1518" s="1"/>
      <c r="BZ1518" s="1"/>
      <c r="CA1518" s="1"/>
      <c r="CB1518" s="1"/>
      <c r="CC1518" s="1"/>
      <c r="CD1518" s="30"/>
      <c r="CE1518" s="30"/>
      <c r="CF1518" s="30"/>
      <c r="CG1518" s="30"/>
      <c r="CH1518" s="30"/>
      <c r="CI1518" s="30"/>
      <c r="CJ1518" s="30"/>
      <c r="CK1518" s="30"/>
      <c r="CL1518" s="30"/>
      <c r="CM1518" s="30"/>
      <c r="CN1518" s="1"/>
      <c r="CO1518" s="1"/>
      <c r="CP1518" s="1"/>
      <c r="CQ1518" s="1"/>
      <c r="CR1518" s="1"/>
      <c r="CS1518" s="1"/>
      <c r="CT1518" s="1"/>
      <c r="CU1518" s="1"/>
      <c r="CV1518" s="1"/>
      <c r="CW1518" s="1"/>
    </row>
    <row r="1519" spans="2:101" ht="15" hidden="1" customHeight="1" x14ac:dyDescent="0.25"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30"/>
      <c r="W1519" s="30"/>
      <c r="X1519" s="30"/>
      <c r="Y1519" s="30"/>
      <c r="Z1519" s="30"/>
      <c r="AA1519" s="30"/>
      <c r="AB1519" s="30"/>
      <c r="AC1519" s="30"/>
      <c r="AD1519" s="30"/>
      <c r="AE1519" s="30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30"/>
      <c r="AQ1519" s="30"/>
      <c r="AR1519" s="30"/>
      <c r="AS1519" s="30"/>
      <c r="AT1519" s="30"/>
      <c r="AU1519" s="30"/>
      <c r="AV1519" s="30"/>
      <c r="AW1519" s="30"/>
      <c r="AX1519" s="30"/>
      <c r="AY1519" s="30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30"/>
      <c r="BK1519" s="30"/>
      <c r="BL1519" s="30"/>
      <c r="BM1519" s="30"/>
      <c r="BN1519" s="30"/>
      <c r="BO1519" s="30"/>
      <c r="BP1519" s="30"/>
      <c r="BQ1519" s="30"/>
      <c r="BR1519" s="30"/>
      <c r="BS1519" s="30"/>
      <c r="BT1519" s="1"/>
      <c r="BU1519" s="1"/>
      <c r="BV1519" s="1"/>
      <c r="BW1519" s="1"/>
      <c r="BX1519" s="1"/>
      <c r="BY1519" s="1"/>
      <c r="BZ1519" s="1"/>
      <c r="CA1519" s="1"/>
      <c r="CB1519" s="1"/>
      <c r="CC1519" s="1"/>
      <c r="CD1519" s="30"/>
      <c r="CE1519" s="30"/>
      <c r="CF1519" s="30"/>
      <c r="CG1519" s="30"/>
      <c r="CH1519" s="30"/>
      <c r="CI1519" s="30"/>
      <c r="CJ1519" s="30"/>
      <c r="CK1519" s="30"/>
      <c r="CL1519" s="30"/>
      <c r="CM1519" s="30"/>
      <c r="CN1519" s="1"/>
      <c r="CO1519" s="1"/>
      <c r="CP1519" s="1"/>
      <c r="CQ1519" s="1"/>
      <c r="CR1519" s="1"/>
      <c r="CS1519" s="1"/>
      <c r="CT1519" s="1"/>
      <c r="CU1519" s="1"/>
      <c r="CV1519" s="1"/>
      <c r="CW1519" s="1"/>
    </row>
    <row r="1520" spans="2:101" ht="15" hidden="1" customHeight="1" x14ac:dyDescent="0.25"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30"/>
      <c r="W1520" s="30"/>
      <c r="X1520" s="30"/>
      <c r="Y1520" s="30"/>
      <c r="Z1520" s="30"/>
      <c r="AA1520" s="30"/>
      <c r="AB1520" s="30"/>
      <c r="AC1520" s="30"/>
      <c r="AD1520" s="30"/>
      <c r="AE1520" s="30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30"/>
      <c r="AQ1520" s="30"/>
      <c r="AR1520" s="30"/>
      <c r="AS1520" s="30"/>
      <c r="AT1520" s="30"/>
      <c r="AU1520" s="30"/>
      <c r="AV1520" s="30"/>
      <c r="AW1520" s="30"/>
      <c r="AX1520" s="30"/>
      <c r="AY1520" s="30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30"/>
      <c r="BK1520" s="30"/>
      <c r="BL1520" s="30"/>
      <c r="BM1520" s="30"/>
      <c r="BN1520" s="30"/>
      <c r="BO1520" s="30"/>
      <c r="BP1520" s="30"/>
      <c r="BQ1520" s="30"/>
      <c r="BR1520" s="30"/>
      <c r="BS1520" s="30"/>
      <c r="BT1520" s="1"/>
      <c r="BU1520" s="1"/>
      <c r="BV1520" s="1"/>
      <c r="BW1520" s="1"/>
      <c r="BX1520" s="1"/>
      <c r="BY1520" s="1"/>
      <c r="BZ1520" s="1"/>
      <c r="CA1520" s="1"/>
      <c r="CB1520" s="1"/>
      <c r="CC1520" s="1"/>
      <c r="CD1520" s="30"/>
      <c r="CE1520" s="30"/>
      <c r="CF1520" s="30"/>
      <c r="CG1520" s="30"/>
      <c r="CH1520" s="30"/>
      <c r="CI1520" s="30"/>
      <c r="CJ1520" s="30"/>
      <c r="CK1520" s="30"/>
      <c r="CL1520" s="30"/>
      <c r="CM1520" s="30"/>
      <c r="CN1520" s="1"/>
      <c r="CO1520" s="1"/>
      <c r="CP1520" s="1"/>
      <c r="CQ1520" s="1"/>
      <c r="CR1520" s="1"/>
      <c r="CS1520" s="1"/>
      <c r="CT1520" s="1"/>
      <c r="CU1520" s="1"/>
      <c r="CV1520" s="1"/>
      <c r="CW1520" s="1"/>
    </row>
    <row r="1521" spans="2:101" ht="15" hidden="1" customHeight="1" x14ac:dyDescent="0.25"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30"/>
      <c r="W1521" s="30"/>
      <c r="X1521" s="30"/>
      <c r="Y1521" s="30"/>
      <c r="Z1521" s="30"/>
      <c r="AA1521" s="30"/>
      <c r="AB1521" s="30"/>
      <c r="AC1521" s="30"/>
      <c r="AD1521" s="30"/>
      <c r="AE1521" s="30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30"/>
      <c r="AQ1521" s="30"/>
      <c r="AR1521" s="30"/>
      <c r="AS1521" s="30"/>
      <c r="AT1521" s="30"/>
      <c r="AU1521" s="30"/>
      <c r="AV1521" s="30"/>
      <c r="AW1521" s="30"/>
      <c r="AX1521" s="30"/>
      <c r="AY1521" s="30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30"/>
      <c r="BK1521" s="30"/>
      <c r="BL1521" s="30"/>
      <c r="BM1521" s="30"/>
      <c r="BN1521" s="30"/>
      <c r="BO1521" s="30"/>
      <c r="BP1521" s="30"/>
      <c r="BQ1521" s="30"/>
      <c r="BR1521" s="30"/>
      <c r="BS1521" s="30"/>
      <c r="BT1521" s="1"/>
      <c r="BU1521" s="1"/>
      <c r="BV1521" s="1"/>
      <c r="BW1521" s="1"/>
      <c r="BX1521" s="1"/>
      <c r="BY1521" s="1"/>
      <c r="BZ1521" s="1"/>
      <c r="CA1521" s="1"/>
      <c r="CB1521" s="1"/>
      <c r="CC1521" s="1"/>
      <c r="CD1521" s="30"/>
      <c r="CE1521" s="30"/>
      <c r="CF1521" s="30"/>
      <c r="CG1521" s="30"/>
      <c r="CH1521" s="30"/>
      <c r="CI1521" s="30"/>
      <c r="CJ1521" s="30"/>
      <c r="CK1521" s="30"/>
      <c r="CL1521" s="30"/>
      <c r="CM1521" s="30"/>
      <c r="CN1521" s="1"/>
      <c r="CO1521" s="1"/>
      <c r="CP1521" s="1"/>
      <c r="CQ1521" s="1"/>
      <c r="CR1521" s="1"/>
      <c r="CS1521" s="1"/>
      <c r="CT1521" s="1"/>
      <c r="CU1521" s="1"/>
      <c r="CV1521" s="1"/>
      <c r="CW1521" s="1"/>
    </row>
    <row r="1522" spans="2:101" ht="15" hidden="1" customHeight="1" x14ac:dyDescent="0.25"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30"/>
      <c r="W1522" s="30"/>
      <c r="X1522" s="30"/>
      <c r="Y1522" s="30"/>
      <c r="Z1522" s="30"/>
      <c r="AA1522" s="30"/>
      <c r="AB1522" s="30"/>
      <c r="AC1522" s="30"/>
      <c r="AD1522" s="30"/>
      <c r="AE1522" s="30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30"/>
      <c r="AQ1522" s="30"/>
      <c r="AR1522" s="30"/>
      <c r="AS1522" s="30"/>
      <c r="AT1522" s="30"/>
      <c r="AU1522" s="30"/>
      <c r="AV1522" s="30"/>
      <c r="AW1522" s="30"/>
      <c r="AX1522" s="30"/>
      <c r="AY1522" s="30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30"/>
      <c r="BK1522" s="30"/>
      <c r="BL1522" s="30"/>
      <c r="BM1522" s="30"/>
      <c r="BN1522" s="30"/>
      <c r="BO1522" s="30"/>
      <c r="BP1522" s="30"/>
      <c r="BQ1522" s="30"/>
      <c r="BR1522" s="30"/>
      <c r="BS1522" s="30"/>
      <c r="BT1522" s="1"/>
      <c r="BU1522" s="1"/>
      <c r="BV1522" s="1"/>
      <c r="BW1522" s="1"/>
      <c r="BX1522" s="1"/>
      <c r="BY1522" s="1"/>
      <c r="BZ1522" s="1"/>
      <c r="CA1522" s="1"/>
      <c r="CB1522" s="1"/>
      <c r="CC1522" s="1"/>
      <c r="CD1522" s="30"/>
      <c r="CE1522" s="30"/>
      <c r="CF1522" s="30"/>
      <c r="CG1522" s="30"/>
      <c r="CH1522" s="30"/>
      <c r="CI1522" s="30"/>
      <c r="CJ1522" s="30"/>
      <c r="CK1522" s="30"/>
      <c r="CL1522" s="30"/>
      <c r="CM1522" s="30"/>
      <c r="CN1522" s="1"/>
      <c r="CO1522" s="1"/>
      <c r="CP1522" s="1"/>
      <c r="CQ1522" s="1"/>
      <c r="CR1522" s="1"/>
      <c r="CS1522" s="1"/>
      <c r="CT1522" s="1"/>
      <c r="CU1522" s="1"/>
      <c r="CV1522" s="1"/>
      <c r="CW1522" s="1"/>
    </row>
    <row r="1523" spans="2:101" ht="15" hidden="1" customHeight="1" x14ac:dyDescent="0.25"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30"/>
      <c r="W1523" s="30"/>
      <c r="X1523" s="30"/>
      <c r="Y1523" s="30"/>
      <c r="Z1523" s="30"/>
      <c r="AA1523" s="30"/>
      <c r="AB1523" s="30"/>
      <c r="AC1523" s="30"/>
      <c r="AD1523" s="30"/>
      <c r="AE1523" s="30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30"/>
      <c r="AQ1523" s="30"/>
      <c r="AR1523" s="30"/>
      <c r="AS1523" s="30"/>
      <c r="AT1523" s="30"/>
      <c r="AU1523" s="30"/>
      <c r="AV1523" s="30"/>
      <c r="AW1523" s="30"/>
      <c r="AX1523" s="30"/>
      <c r="AY1523" s="30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30"/>
      <c r="BK1523" s="30"/>
      <c r="BL1523" s="30"/>
      <c r="BM1523" s="30"/>
      <c r="BN1523" s="30"/>
      <c r="BO1523" s="30"/>
      <c r="BP1523" s="30"/>
      <c r="BQ1523" s="30"/>
      <c r="BR1523" s="30"/>
      <c r="BS1523" s="30"/>
      <c r="BT1523" s="1"/>
      <c r="BU1523" s="1"/>
      <c r="BV1523" s="1"/>
      <c r="BW1523" s="1"/>
      <c r="BX1523" s="1"/>
      <c r="BY1523" s="1"/>
      <c r="BZ1523" s="1"/>
      <c r="CA1523" s="1"/>
      <c r="CB1523" s="1"/>
      <c r="CC1523" s="1"/>
      <c r="CD1523" s="30"/>
      <c r="CE1523" s="30"/>
      <c r="CF1523" s="30"/>
      <c r="CG1523" s="30"/>
      <c r="CH1523" s="30"/>
      <c r="CI1523" s="30"/>
      <c r="CJ1523" s="30"/>
      <c r="CK1523" s="30"/>
      <c r="CL1523" s="30"/>
      <c r="CM1523" s="30"/>
      <c r="CN1523" s="1"/>
      <c r="CO1523" s="1"/>
      <c r="CP1523" s="1"/>
      <c r="CQ1523" s="1"/>
      <c r="CR1523" s="1"/>
      <c r="CS1523" s="1"/>
      <c r="CT1523" s="1"/>
      <c r="CU1523" s="1"/>
      <c r="CV1523" s="1"/>
      <c r="CW1523" s="1"/>
    </row>
    <row r="1524" spans="2:101" ht="15" hidden="1" customHeight="1" x14ac:dyDescent="0.25"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30"/>
      <c r="W1524" s="30"/>
      <c r="X1524" s="30"/>
      <c r="Y1524" s="30"/>
      <c r="Z1524" s="30"/>
      <c r="AA1524" s="30"/>
      <c r="AB1524" s="30"/>
      <c r="AC1524" s="30"/>
      <c r="AD1524" s="30"/>
      <c r="AE1524" s="30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30"/>
      <c r="AQ1524" s="30"/>
      <c r="AR1524" s="30"/>
      <c r="AS1524" s="30"/>
      <c r="AT1524" s="30"/>
      <c r="AU1524" s="30"/>
      <c r="AV1524" s="30"/>
      <c r="AW1524" s="30"/>
      <c r="AX1524" s="30"/>
      <c r="AY1524" s="30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30"/>
      <c r="BK1524" s="30"/>
      <c r="BL1524" s="30"/>
      <c r="BM1524" s="30"/>
      <c r="BN1524" s="30"/>
      <c r="BO1524" s="30"/>
      <c r="BP1524" s="30"/>
      <c r="BQ1524" s="30"/>
      <c r="BR1524" s="30"/>
      <c r="BS1524" s="30"/>
      <c r="BT1524" s="1"/>
      <c r="BU1524" s="1"/>
      <c r="BV1524" s="1"/>
      <c r="BW1524" s="1"/>
      <c r="BX1524" s="1"/>
      <c r="BY1524" s="1"/>
      <c r="BZ1524" s="1"/>
      <c r="CA1524" s="1"/>
      <c r="CB1524" s="1"/>
      <c r="CC1524" s="1"/>
      <c r="CD1524" s="30"/>
      <c r="CE1524" s="30"/>
      <c r="CF1524" s="30"/>
      <c r="CG1524" s="30"/>
      <c r="CH1524" s="30"/>
      <c r="CI1524" s="30"/>
      <c r="CJ1524" s="30"/>
      <c r="CK1524" s="30"/>
      <c r="CL1524" s="30"/>
      <c r="CM1524" s="30"/>
      <c r="CN1524" s="1"/>
      <c r="CO1524" s="1"/>
      <c r="CP1524" s="1"/>
      <c r="CQ1524" s="1"/>
      <c r="CR1524" s="1"/>
      <c r="CS1524" s="1"/>
      <c r="CT1524" s="1"/>
      <c r="CU1524" s="1"/>
      <c r="CV1524" s="1"/>
      <c r="CW1524" s="1"/>
    </row>
    <row r="1525" spans="2:101" ht="15" hidden="1" customHeight="1" x14ac:dyDescent="0.25"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30"/>
      <c r="W1525" s="30"/>
      <c r="X1525" s="30"/>
      <c r="Y1525" s="30"/>
      <c r="Z1525" s="30"/>
      <c r="AA1525" s="30"/>
      <c r="AB1525" s="30"/>
      <c r="AC1525" s="30"/>
      <c r="AD1525" s="30"/>
      <c r="AE1525" s="30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30"/>
      <c r="AQ1525" s="30"/>
      <c r="AR1525" s="30"/>
      <c r="AS1525" s="30"/>
      <c r="AT1525" s="30"/>
      <c r="AU1525" s="30"/>
      <c r="AV1525" s="30"/>
      <c r="AW1525" s="30"/>
      <c r="AX1525" s="30"/>
      <c r="AY1525" s="30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30"/>
      <c r="BK1525" s="30"/>
      <c r="BL1525" s="30"/>
      <c r="BM1525" s="30"/>
      <c r="BN1525" s="30"/>
      <c r="BO1525" s="30"/>
      <c r="BP1525" s="30"/>
      <c r="BQ1525" s="30"/>
      <c r="BR1525" s="30"/>
      <c r="BS1525" s="30"/>
      <c r="BT1525" s="1"/>
      <c r="BU1525" s="1"/>
      <c r="BV1525" s="1"/>
      <c r="BW1525" s="1"/>
      <c r="BX1525" s="1"/>
      <c r="BY1525" s="1"/>
      <c r="BZ1525" s="1"/>
      <c r="CA1525" s="1"/>
      <c r="CB1525" s="1"/>
      <c r="CC1525" s="1"/>
      <c r="CD1525" s="30"/>
      <c r="CE1525" s="30"/>
      <c r="CF1525" s="30"/>
      <c r="CG1525" s="30"/>
      <c r="CH1525" s="30"/>
      <c r="CI1525" s="30"/>
      <c r="CJ1525" s="30"/>
      <c r="CK1525" s="30"/>
      <c r="CL1525" s="30"/>
      <c r="CM1525" s="30"/>
      <c r="CN1525" s="1"/>
      <c r="CO1525" s="1"/>
      <c r="CP1525" s="1"/>
      <c r="CQ1525" s="1"/>
      <c r="CR1525" s="1"/>
      <c r="CS1525" s="1"/>
      <c r="CT1525" s="1"/>
      <c r="CU1525" s="1"/>
      <c r="CV1525" s="1"/>
      <c r="CW1525" s="1"/>
    </row>
    <row r="1526" spans="2:101" ht="15" hidden="1" customHeight="1" x14ac:dyDescent="0.25"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30"/>
      <c r="W1526" s="30"/>
      <c r="X1526" s="30"/>
      <c r="Y1526" s="30"/>
      <c r="Z1526" s="30"/>
      <c r="AA1526" s="30"/>
      <c r="AB1526" s="30"/>
      <c r="AC1526" s="30"/>
      <c r="AD1526" s="30"/>
      <c r="AE1526" s="30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30"/>
      <c r="AQ1526" s="30"/>
      <c r="AR1526" s="30"/>
      <c r="AS1526" s="30"/>
      <c r="AT1526" s="30"/>
      <c r="AU1526" s="30"/>
      <c r="AV1526" s="30"/>
      <c r="AW1526" s="30"/>
      <c r="AX1526" s="30"/>
      <c r="AY1526" s="30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30"/>
      <c r="BK1526" s="30"/>
      <c r="BL1526" s="30"/>
      <c r="BM1526" s="30"/>
      <c r="BN1526" s="30"/>
      <c r="BO1526" s="30"/>
      <c r="BP1526" s="30"/>
      <c r="BQ1526" s="30"/>
      <c r="BR1526" s="30"/>
      <c r="BS1526" s="30"/>
      <c r="BT1526" s="1"/>
      <c r="BU1526" s="1"/>
      <c r="BV1526" s="1"/>
      <c r="BW1526" s="1"/>
      <c r="BX1526" s="1"/>
      <c r="BY1526" s="1"/>
      <c r="BZ1526" s="1"/>
      <c r="CA1526" s="1"/>
      <c r="CB1526" s="1"/>
      <c r="CC1526" s="1"/>
      <c r="CD1526" s="30"/>
      <c r="CE1526" s="30"/>
      <c r="CF1526" s="30"/>
      <c r="CG1526" s="30"/>
      <c r="CH1526" s="30"/>
      <c r="CI1526" s="30"/>
      <c r="CJ1526" s="30"/>
      <c r="CK1526" s="30"/>
      <c r="CL1526" s="30"/>
      <c r="CM1526" s="30"/>
      <c r="CN1526" s="1"/>
      <c r="CO1526" s="1"/>
      <c r="CP1526" s="1"/>
      <c r="CQ1526" s="1"/>
      <c r="CR1526" s="1"/>
      <c r="CS1526" s="1"/>
      <c r="CT1526" s="1"/>
      <c r="CU1526" s="1"/>
      <c r="CV1526" s="1"/>
      <c r="CW1526" s="1"/>
    </row>
    <row r="1527" spans="2:101" ht="15" hidden="1" customHeight="1" x14ac:dyDescent="0.25"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30"/>
      <c r="W1527" s="30"/>
      <c r="X1527" s="30"/>
      <c r="Y1527" s="30"/>
      <c r="Z1527" s="30"/>
      <c r="AA1527" s="30"/>
      <c r="AB1527" s="30"/>
      <c r="AC1527" s="30"/>
      <c r="AD1527" s="30"/>
      <c r="AE1527" s="30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30"/>
      <c r="AQ1527" s="30"/>
      <c r="AR1527" s="30"/>
      <c r="AS1527" s="30"/>
      <c r="AT1527" s="30"/>
      <c r="AU1527" s="30"/>
      <c r="AV1527" s="30"/>
      <c r="AW1527" s="30"/>
      <c r="AX1527" s="30"/>
      <c r="AY1527" s="30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30"/>
      <c r="BK1527" s="30"/>
      <c r="BL1527" s="30"/>
      <c r="BM1527" s="30"/>
      <c r="BN1527" s="30"/>
      <c r="BO1527" s="30"/>
      <c r="BP1527" s="30"/>
      <c r="BQ1527" s="30"/>
      <c r="BR1527" s="30"/>
      <c r="BS1527" s="30"/>
      <c r="BT1527" s="1"/>
      <c r="BU1527" s="1"/>
      <c r="BV1527" s="1"/>
      <c r="BW1527" s="1"/>
      <c r="BX1527" s="1"/>
      <c r="BY1527" s="1"/>
      <c r="BZ1527" s="1"/>
      <c r="CA1527" s="1"/>
      <c r="CB1527" s="1"/>
      <c r="CC1527" s="1"/>
      <c r="CD1527" s="30"/>
      <c r="CE1527" s="30"/>
      <c r="CF1527" s="30"/>
      <c r="CG1527" s="30"/>
      <c r="CH1527" s="30"/>
      <c r="CI1527" s="30"/>
      <c r="CJ1527" s="30"/>
      <c r="CK1527" s="30"/>
      <c r="CL1527" s="30"/>
      <c r="CM1527" s="30"/>
      <c r="CN1527" s="1"/>
      <c r="CO1527" s="1"/>
      <c r="CP1527" s="1"/>
      <c r="CQ1527" s="1"/>
      <c r="CR1527" s="1"/>
      <c r="CS1527" s="1"/>
      <c r="CT1527" s="1"/>
      <c r="CU1527" s="1"/>
      <c r="CV1527" s="1"/>
      <c r="CW1527" s="1"/>
    </row>
    <row r="1528" spans="2:101" ht="15" hidden="1" customHeight="1" x14ac:dyDescent="0.25"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30"/>
      <c r="W1528" s="30"/>
      <c r="X1528" s="30"/>
      <c r="Y1528" s="30"/>
      <c r="Z1528" s="30"/>
      <c r="AA1528" s="30"/>
      <c r="AB1528" s="30"/>
      <c r="AC1528" s="30"/>
      <c r="AD1528" s="30"/>
      <c r="AE1528" s="30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30"/>
      <c r="AQ1528" s="30"/>
      <c r="AR1528" s="30"/>
      <c r="AS1528" s="30"/>
      <c r="AT1528" s="30"/>
      <c r="AU1528" s="30"/>
      <c r="AV1528" s="30"/>
      <c r="AW1528" s="30"/>
      <c r="AX1528" s="30"/>
      <c r="AY1528" s="30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30"/>
      <c r="BK1528" s="30"/>
      <c r="BL1528" s="30"/>
      <c r="BM1528" s="30"/>
      <c r="BN1528" s="30"/>
      <c r="BO1528" s="30"/>
      <c r="BP1528" s="30"/>
      <c r="BQ1528" s="30"/>
      <c r="BR1528" s="30"/>
      <c r="BS1528" s="30"/>
      <c r="BT1528" s="1"/>
      <c r="BU1528" s="1"/>
      <c r="BV1528" s="1"/>
      <c r="BW1528" s="1"/>
      <c r="BX1528" s="1"/>
      <c r="BY1528" s="1"/>
      <c r="BZ1528" s="1"/>
      <c r="CA1528" s="1"/>
      <c r="CB1528" s="1"/>
      <c r="CC1528" s="1"/>
      <c r="CD1528" s="30"/>
      <c r="CE1528" s="30"/>
      <c r="CF1528" s="30"/>
      <c r="CG1528" s="30"/>
      <c r="CH1528" s="30"/>
      <c r="CI1528" s="30"/>
      <c r="CJ1528" s="30"/>
      <c r="CK1528" s="30"/>
      <c r="CL1528" s="30"/>
      <c r="CM1528" s="30"/>
      <c r="CN1528" s="1"/>
      <c r="CO1528" s="1"/>
      <c r="CP1528" s="1"/>
      <c r="CQ1528" s="1"/>
      <c r="CR1528" s="1"/>
      <c r="CS1528" s="1"/>
      <c r="CT1528" s="1"/>
      <c r="CU1528" s="1"/>
      <c r="CV1528" s="1"/>
      <c r="CW1528" s="1"/>
    </row>
    <row r="1529" spans="2:101" ht="15" hidden="1" customHeight="1" x14ac:dyDescent="0.25"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30"/>
      <c r="W1529" s="30"/>
      <c r="X1529" s="30"/>
      <c r="Y1529" s="30"/>
      <c r="Z1529" s="30"/>
      <c r="AA1529" s="30"/>
      <c r="AB1529" s="30"/>
      <c r="AC1529" s="30"/>
      <c r="AD1529" s="30"/>
      <c r="AE1529" s="30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30"/>
      <c r="AQ1529" s="30"/>
      <c r="AR1529" s="30"/>
      <c r="AS1529" s="30"/>
      <c r="AT1529" s="30"/>
      <c r="AU1529" s="30"/>
      <c r="AV1529" s="30"/>
      <c r="AW1529" s="30"/>
      <c r="AX1529" s="30"/>
      <c r="AY1529" s="30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30"/>
      <c r="BK1529" s="30"/>
      <c r="BL1529" s="30"/>
      <c r="BM1529" s="30"/>
      <c r="BN1529" s="30"/>
      <c r="BO1529" s="30"/>
      <c r="BP1529" s="30"/>
      <c r="BQ1529" s="30"/>
      <c r="BR1529" s="30"/>
      <c r="BS1529" s="30"/>
      <c r="BT1529" s="1"/>
      <c r="BU1529" s="1"/>
      <c r="BV1529" s="1"/>
      <c r="BW1529" s="1"/>
      <c r="BX1529" s="1"/>
      <c r="BY1529" s="1"/>
      <c r="BZ1529" s="1"/>
      <c r="CA1529" s="1"/>
      <c r="CB1529" s="1"/>
      <c r="CC1529" s="1"/>
      <c r="CD1529" s="30"/>
      <c r="CE1529" s="30"/>
      <c r="CF1529" s="30"/>
      <c r="CG1529" s="30"/>
      <c r="CH1529" s="30"/>
      <c r="CI1529" s="30"/>
      <c r="CJ1529" s="30"/>
      <c r="CK1529" s="30"/>
      <c r="CL1529" s="30"/>
      <c r="CM1529" s="30"/>
      <c r="CN1529" s="1"/>
      <c r="CO1529" s="1"/>
      <c r="CP1529" s="1"/>
      <c r="CQ1529" s="1"/>
      <c r="CR1529" s="1"/>
      <c r="CS1529" s="1"/>
      <c r="CT1529" s="1"/>
      <c r="CU1529" s="1"/>
      <c r="CV1529" s="1"/>
      <c r="CW1529" s="1"/>
    </row>
    <row r="1530" spans="2:101" ht="15" hidden="1" customHeight="1" x14ac:dyDescent="0.25"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30"/>
      <c r="W1530" s="30"/>
      <c r="X1530" s="30"/>
      <c r="Y1530" s="30"/>
      <c r="Z1530" s="30"/>
      <c r="AA1530" s="30"/>
      <c r="AB1530" s="30"/>
      <c r="AC1530" s="30"/>
      <c r="AD1530" s="30"/>
      <c r="AE1530" s="30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30"/>
      <c r="AQ1530" s="30"/>
      <c r="AR1530" s="30"/>
      <c r="AS1530" s="30"/>
      <c r="AT1530" s="30"/>
      <c r="AU1530" s="30"/>
      <c r="AV1530" s="30"/>
      <c r="AW1530" s="30"/>
      <c r="AX1530" s="30"/>
      <c r="AY1530" s="30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30"/>
      <c r="BK1530" s="30"/>
      <c r="BL1530" s="30"/>
      <c r="BM1530" s="30"/>
      <c r="BN1530" s="30"/>
      <c r="BO1530" s="30"/>
      <c r="BP1530" s="30"/>
      <c r="BQ1530" s="30"/>
      <c r="BR1530" s="30"/>
      <c r="BS1530" s="30"/>
      <c r="BT1530" s="1"/>
      <c r="BU1530" s="1"/>
      <c r="BV1530" s="1"/>
      <c r="BW1530" s="1"/>
      <c r="BX1530" s="1"/>
      <c r="BY1530" s="1"/>
      <c r="BZ1530" s="1"/>
      <c r="CA1530" s="1"/>
      <c r="CB1530" s="1"/>
      <c r="CC1530" s="1"/>
      <c r="CD1530" s="30"/>
      <c r="CE1530" s="30"/>
      <c r="CF1530" s="30"/>
      <c r="CG1530" s="30"/>
      <c r="CH1530" s="30"/>
      <c r="CI1530" s="30"/>
      <c r="CJ1530" s="30"/>
      <c r="CK1530" s="30"/>
      <c r="CL1530" s="30"/>
      <c r="CM1530" s="30"/>
      <c r="CN1530" s="1"/>
      <c r="CO1530" s="1"/>
      <c r="CP1530" s="1"/>
      <c r="CQ1530" s="1"/>
      <c r="CR1530" s="1"/>
      <c r="CS1530" s="1"/>
      <c r="CT1530" s="1"/>
      <c r="CU1530" s="1"/>
      <c r="CV1530" s="1"/>
      <c r="CW1530" s="1"/>
    </row>
    <row r="1531" spans="2:101" ht="15" hidden="1" customHeight="1" x14ac:dyDescent="0.25"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30"/>
      <c r="W1531" s="30"/>
      <c r="X1531" s="30"/>
      <c r="Y1531" s="30"/>
      <c r="Z1531" s="30"/>
      <c r="AA1531" s="30"/>
      <c r="AB1531" s="30"/>
      <c r="AC1531" s="30"/>
      <c r="AD1531" s="30"/>
      <c r="AE1531" s="30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30"/>
      <c r="AQ1531" s="30"/>
      <c r="AR1531" s="30"/>
      <c r="AS1531" s="30"/>
      <c r="AT1531" s="30"/>
      <c r="AU1531" s="30"/>
      <c r="AV1531" s="30"/>
      <c r="AW1531" s="30"/>
      <c r="AX1531" s="30"/>
      <c r="AY1531" s="30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30"/>
      <c r="BK1531" s="30"/>
      <c r="BL1531" s="30"/>
      <c r="BM1531" s="30"/>
      <c r="BN1531" s="30"/>
      <c r="BO1531" s="30"/>
      <c r="BP1531" s="30"/>
      <c r="BQ1531" s="30"/>
      <c r="BR1531" s="30"/>
      <c r="BS1531" s="30"/>
      <c r="BT1531" s="1"/>
      <c r="BU1531" s="1"/>
      <c r="BV1531" s="1"/>
      <c r="BW1531" s="1"/>
      <c r="BX1531" s="1"/>
      <c r="BY1531" s="1"/>
      <c r="BZ1531" s="1"/>
      <c r="CA1531" s="1"/>
      <c r="CB1531" s="1"/>
      <c r="CC1531" s="1"/>
      <c r="CD1531" s="30"/>
      <c r="CE1531" s="30"/>
      <c r="CF1531" s="30"/>
      <c r="CG1531" s="30"/>
      <c r="CH1531" s="30"/>
      <c r="CI1531" s="30"/>
      <c r="CJ1531" s="30"/>
      <c r="CK1531" s="30"/>
      <c r="CL1531" s="30"/>
      <c r="CM1531" s="30"/>
      <c r="CN1531" s="1"/>
      <c r="CO1531" s="1"/>
      <c r="CP1531" s="1"/>
      <c r="CQ1531" s="1"/>
      <c r="CR1531" s="1"/>
      <c r="CS1531" s="1"/>
      <c r="CT1531" s="1"/>
      <c r="CU1531" s="1"/>
      <c r="CV1531" s="1"/>
      <c r="CW1531" s="1"/>
    </row>
    <row r="1532" spans="2:101" ht="15" hidden="1" customHeight="1" x14ac:dyDescent="0.25"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30"/>
      <c r="W1532" s="30"/>
      <c r="X1532" s="30"/>
      <c r="Y1532" s="30"/>
      <c r="Z1532" s="30"/>
      <c r="AA1532" s="30"/>
      <c r="AB1532" s="30"/>
      <c r="AC1532" s="30"/>
      <c r="AD1532" s="30"/>
      <c r="AE1532" s="30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30"/>
      <c r="AQ1532" s="30"/>
      <c r="AR1532" s="30"/>
      <c r="AS1532" s="30"/>
      <c r="AT1532" s="30"/>
      <c r="AU1532" s="30"/>
      <c r="AV1532" s="30"/>
      <c r="AW1532" s="30"/>
      <c r="AX1532" s="30"/>
      <c r="AY1532" s="30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30"/>
      <c r="BK1532" s="30"/>
      <c r="BL1532" s="30"/>
      <c r="BM1532" s="30"/>
      <c r="BN1532" s="30"/>
      <c r="BO1532" s="30"/>
      <c r="BP1532" s="30"/>
      <c r="BQ1532" s="30"/>
      <c r="BR1532" s="30"/>
      <c r="BS1532" s="30"/>
      <c r="BT1532" s="1"/>
      <c r="BU1532" s="1"/>
      <c r="BV1532" s="1"/>
      <c r="BW1532" s="1"/>
      <c r="BX1532" s="1"/>
      <c r="BY1532" s="1"/>
      <c r="BZ1532" s="1"/>
      <c r="CA1532" s="1"/>
      <c r="CB1532" s="1"/>
      <c r="CC1532" s="1"/>
      <c r="CD1532" s="30"/>
      <c r="CE1532" s="30"/>
      <c r="CF1532" s="30"/>
      <c r="CG1532" s="30"/>
      <c r="CH1532" s="30"/>
      <c r="CI1532" s="30"/>
      <c r="CJ1532" s="30"/>
      <c r="CK1532" s="30"/>
      <c r="CL1532" s="30"/>
      <c r="CM1532" s="30"/>
      <c r="CN1532" s="1"/>
      <c r="CO1532" s="1"/>
      <c r="CP1532" s="1"/>
      <c r="CQ1532" s="1"/>
      <c r="CR1532" s="1"/>
      <c r="CS1532" s="1"/>
      <c r="CT1532" s="1"/>
      <c r="CU1532" s="1"/>
      <c r="CV1532" s="1"/>
      <c r="CW1532" s="1"/>
    </row>
    <row r="1533" spans="2:101" ht="15" hidden="1" customHeight="1" x14ac:dyDescent="0.25"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30"/>
      <c r="W1533" s="30"/>
      <c r="X1533" s="30"/>
      <c r="Y1533" s="30"/>
      <c r="Z1533" s="30"/>
      <c r="AA1533" s="30"/>
      <c r="AB1533" s="30"/>
      <c r="AC1533" s="30"/>
      <c r="AD1533" s="30"/>
      <c r="AE1533" s="30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30"/>
      <c r="AQ1533" s="30"/>
      <c r="AR1533" s="30"/>
      <c r="AS1533" s="30"/>
      <c r="AT1533" s="30"/>
      <c r="AU1533" s="30"/>
      <c r="AV1533" s="30"/>
      <c r="AW1533" s="30"/>
      <c r="AX1533" s="30"/>
      <c r="AY1533" s="30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30"/>
      <c r="BK1533" s="30"/>
      <c r="BL1533" s="30"/>
      <c r="BM1533" s="30"/>
      <c r="BN1533" s="30"/>
      <c r="BO1533" s="30"/>
      <c r="BP1533" s="30"/>
      <c r="BQ1533" s="30"/>
      <c r="BR1533" s="30"/>
      <c r="BS1533" s="30"/>
      <c r="BT1533" s="1"/>
      <c r="BU1533" s="1"/>
      <c r="BV1533" s="1"/>
      <c r="BW1533" s="1"/>
      <c r="BX1533" s="1"/>
      <c r="BY1533" s="1"/>
      <c r="BZ1533" s="1"/>
      <c r="CA1533" s="1"/>
      <c r="CB1533" s="1"/>
      <c r="CC1533" s="1"/>
      <c r="CD1533" s="30"/>
      <c r="CE1533" s="30"/>
      <c r="CF1533" s="30"/>
      <c r="CG1533" s="30"/>
      <c r="CH1533" s="30"/>
      <c r="CI1533" s="30"/>
      <c r="CJ1533" s="30"/>
      <c r="CK1533" s="30"/>
      <c r="CL1533" s="30"/>
      <c r="CM1533" s="30"/>
      <c r="CN1533" s="1"/>
      <c r="CO1533" s="1"/>
      <c r="CP1533" s="1"/>
      <c r="CQ1533" s="1"/>
      <c r="CR1533" s="1"/>
      <c r="CS1533" s="1"/>
      <c r="CT1533" s="1"/>
      <c r="CU1533" s="1"/>
      <c r="CV1533" s="1"/>
      <c r="CW1533" s="1"/>
    </row>
    <row r="1534" spans="2:101" ht="15" hidden="1" customHeight="1" x14ac:dyDescent="0.25"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30"/>
      <c r="W1534" s="30"/>
      <c r="X1534" s="30"/>
      <c r="Y1534" s="30"/>
      <c r="Z1534" s="30"/>
      <c r="AA1534" s="30"/>
      <c r="AB1534" s="30"/>
      <c r="AC1534" s="30"/>
      <c r="AD1534" s="30"/>
      <c r="AE1534" s="30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30"/>
      <c r="AQ1534" s="30"/>
      <c r="AR1534" s="30"/>
      <c r="AS1534" s="30"/>
      <c r="AT1534" s="30"/>
      <c r="AU1534" s="30"/>
      <c r="AV1534" s="30"/>
      <c r="AW1534" s="30"/>
      <c r="AX1534" s="30"/>
      <c r="AY1534" s="30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30"/>
      <c r="BK1534" s="30"/>
      <c r="BL1534" s="30"/>
      <c r="BM1534" s="30"/>
      <c r="BN1534" s="30"/>
      <c r="BO1534" s="30"/>
      <c r="BP1534" s="30"/>
      <c r="BQ1534" s="30"/>
      <c r="BR1534" s="30"/>
      <c r="BS1534" s="30"/>
      <c r="BT1534" s="1"/>
      <c r="BU1534" s="1"/>
      <c r="BV1534" s="1"/>
      <c r="BW1534" s="1"/>
      <c r="BX1534" s="1"/>
      <c r="BY1534" s="1"/>
      <c r="BZ1534" s="1"/>
      <c r="CA1534" s="1"/>
      <c r="CB1534" s="1"/>
      <c r="CC1534" s="1"/>
      <c r="CD1534" s="30"/>
      <c r="CE1534" s="30"/>
      <c r="CF1534" s="30"/>
      <c r="CG1534" s="30"/>
      <c r="CH1534" s="30"/>
      <c r="CI1534" s="30"/>
      <c r="CJ1534" s="30"/>
      <c r="CK1534" s="30"/>
      <c r="CL1534" s="30"/>
      <c r="CM1534" s="30"/>
      <c r="CN1534" s="1"/>
      <c r="CO1534" s="1"/>
      <c r="CP1534" s="1"/>
      <c r="CQ1534" s="1"/>
      <c r="CR1534" s="1"/>
      <c r="CS1534" s="1"/>
      <c r="CT1534" s="1"/>
      <c r="CU1534" s="1"/>
      <c r="CV1534" s="1"/>
      <c r="CW1534" s="1"/>
    </row>
    <row r="1535" spans="2:101" ht="15" hidden="1" customHeight="1" x14ac:dyDescent="0.25"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30"/>
      <c r="W1535" s="30"/>
      <c r="X1535" s="30"/>
      <c r="Y1535" s="30"/>
      <c r="Z1535" s="30"/>
      <c r="AA1535" s="30"/>
      <c r="AB1535" s="30"/>
      <c r="AC1535" s="30"/>
      <c r="AD1535" s="30"/>
      <c r="AE1535" s="30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30"/>
      <c r="AQ1535" s="30"/>
      <c r="AR1535" s="30"/>
      <c r="AS1535" s="30"/>
      <c r="AT1535" s="30"/>
      <c r="AU1535" s="30"/>
      <c r="AV1535" s="30"/>
      <c r="AW1535" s="30"/>
      <c r="AX1535" s="30"/>
      <c r="AY1535" s="30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30"/>
      <c r="BK1535" s="30"/>
      <c r="BL1535" s="30"/>
      <c r="BM1535" s="30"/>
      <c r="BN1535" s="30"/>
      <c r="BO1535" s="30"/>
      <c r="BP1535" s="30"/>
      <c r="BQ1535" s="30"/>
      <c r="BR1535" s="30"/>
      <c r="BS1535" s="30"/>
      <c r="BT1535" s="1"/>
      <c r="BU1535" s="1"/>
      <c r="BV1535" s="1"/>
      <c r="BW1535" s="1"/>
      <c r="BX1535" s="1"/>
      <c r="BY1535" s="1"/>
      <c r="BZ1535" s="1"/>
      <c r="CA1535" s="1"/>
      <c r="CB1535" s="1"/>
      <c r="CC1535" s="1"/>
      <c r="CD1535" s="30"/>
      <c r="CE1535" s="30"/>
      <c r="CF1535" s="30"/>
      <c r="CG1535" s="30"/>
      <c r="CH1535" s="30"/>
      <c r="CI1535" s="30"/>
      <c r="CJ1535" s="30"/>
      <c r="CK1535" s="30"/>
      <c r="CL1535" s="30"/>
      <c r="CM1535" s="30"/>
      <c r="CN1535" s="1"/>
      <c r="CO1535" s="1"/>
      <c r="CP1535" s="1"/>
      <c r="CQ1535" s="1"/>
      <c r="CR1535" s="1"/>
      <c r="CS1535" s="1"/>
      <c r="CT1535" s="1"/>
      <c r="CU1535" s="1"/>
      <c r="CV1535" s="1"/>
      <c r="CW1535" s="1"/>
    </row>
    <row r="1536" spans="2:101" ht="15" hidden="1" customHeight="1" x14ac:dyDescent="0.25"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30"/>
      <c r="W1536" s="30"/>
      <c r="X1536" s="30"/>
      <c r="Y1536" s="30"/>
      <c r="Z1536" s="30"/>
      <c r="AA1536" s="30"/>
      <c r="AB1536" s="30"/>
      <c r="AC1536" s="30"/>
      <c r="AD1536" s="30"/>
      <c r="AE1536" s="30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30"/>
      <c r="AQ1536" s="30"/>
      <c r="AR1536" s="30"/>
      <c r="AS1536" s="30"/>
      <c r="AT1536" s="30"/>
      <c r="AU1536" s="30"/>
      <c r="AV1536" s="30"/>
      <c r="AW1536" s="30"/>
      <c r="AX1536" s="30"/>
      <c r="AY1536" s="30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30"/>
      <c r="BK1536" s="30"/>
      <c r="BL1536" s="30"/>
      <c r="BM1536" s="30"/>
      <c r="BN1536" s="30"/>
      <c r="BO1536" s="30"/>
      <c r="BP1536" s="30"/>
      <c r="BQ1536" s="30"/>
      <c r="BR1536" s="30"/>
      <c r="BS1536" s="30"/>
      <c r="BT1536" s="1"/>
      <c r="BU1536" s="1"/>
      <c r="BV1536" s="1"/>
      <c r="BW1536" s="1"/>
      <c r="BX1536" s="1"/>
      <c r="BY1536" s="1"/>
      <c r="BZ1536" s="1"/>
      <c r="CA1536" s="1"/>
      <c r="CB1536" s="1"/>
      <c r="CC1536" s="1"/>
      <c r="CD1536" s="30"/>
      <c r="CE1536" s="30"/>
      <c r="CF1536" s="30"/>
      <c r="CG1536" s="30"/>
      <c r="CH1536" s="30"/>
      <c r="CI1536" s="30"/>
      <c r="CJ1536" s="30"/>
      <c r="CK1536" s="30"/>
      <c r="CL1536" s="30"/>
      <c r="CM1536" s="30"/>
      <c r="CN1536" s="1"/>
      <c r="CO1536" s="1"/>
      <c r="CP1536" s="1"/>
      <c r="CQ1536" s="1"/>
      <c r="CR1536" s="1"/>
      <c r="CS1536" s="1"/>
      <c r="CT1536" s="1"/>
      <c r="CU1536" s="1"/>
      <c r="CV1536" s="1"/>
      <c r="CW1536" s="1"/>
    </row>
    <row r="1537" spans="2:101" ht="15" hidden="1" customHeight="1" x14ac:dyDescent="0.25"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30"/>
      <c r="W1537" s="30"/>
      <c r="X1537" s="30"/>
      <c r="Y1537" s="30"/>
      <c r="Z1537" s="30"/>
      <c r="AA1537" s="30"/>
      <c r="AB1537" s="30"/>
      <c r="AC1537" s="30"/>
      <c r="AD1537" s="30"/>
      <c r="AE1537" s="30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30"/>
      <c r="AQ1537" s="30"/>
      <c r="AR1537" s="30"/>
      <c r="AS1537" s="30"/>
      <c r="AT1537" s="30"/>
      <c r="AU1537" s="30"/>
      <c r="AV1537" s="30"/>
      <c r="AW1537" s="30"/>
      <c r="AX1537" s="30"/>
      <c r="AY1537" s="30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30"/>
      <c r="BK1537" s="30"/>
      <c r="BL1537" s="30"/>
      <c r="BM1537" s="30"/>
      <c r="BN1537" s="30"/>
      <c r="BO1537" s="30"/>
      <c r="BP1537" s="30"/>
      <c r="BQ1537" s="30"/>
      <c r="BR1537" s="30"/>
      <c r="BS1537" s="30"/>
      <c r="BT1537" s="1"/>
      <c r="BU1537" s="1"/>
      <c r="BV1537" s="1"/>
      <c r="BW1537" s="1"/>
      <c r="BX1537" s="1"/>
      <c r="BY1537" s="1"/>
      <c r="BZ1537" s="1"/>
      <c r="CA1537" s="1"/>
      <c r="CB1537" s="1"/>
      <c r="CC1537" s="1"/>
      <c r="CD1537" s="30"/>
      <c r="CE1537" s="30"/>
      <c r="CF1537" s="30"/>
      <c r="CG1537" s="30"/>
      <c r="CH1537" s="30"/>
      <c r="CI1537" s="30"/>
      <c r="CJ1537" s="30"/>
      <c r="CK1537" s="30"/>
      <c r="CL1537" s="30"/>
      <c r="CM1537" s="30"/>
      <c r="CN1537" s="1"/>
      <c r="CO1537" s="1"/>
      <c r="CP1537" s="1"/>
      <c r="CQ1537" s="1"/>
      <c r="CR1537" s="1"/>
      <c r="CS1537" s="1"/>
      <c r="CT1537" s="1"/>
      <c r="CU1537" s="1"/>
      <c r="CV1537" s="1"/>
      <c r="CW1537" s="1"/>
    </row>
    <row r="1538" spans="2:101" ht="15" hidden="1" customHeight="1" x14ac:dyDescent="0.25"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30"/>
      <c r="W1538" s="30"/>
      <c r="X1538" s="30"/>
      <c r="Y1538" s="30"/>
      <c r="Z1538" s="30"/>
      <c r="AA1538" s="30"/>
      <c r="AB1538" s="30"/>
      <c r="AC1538" s="30"/>
      <c r="AD1538" s="30"/>
      <c r="AE1538" s="30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30"/>
      <c r="AQ1538" s="30"/>
      <c r="AR1538" s="30"/>
      <c r="AS1538" s="30"/>
      <c r="AT1538" s="30"/>
      <c r="AU1538" s="30"/>
      <c r="AV1538" s="30"/>
      <c r="AW1538" s="30"/>
      <c r="AX1538" s="30"/>
      <c r="AY1538" s="30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30"/>
      <c r="BK1538" s="30"/>
      <c r="BL1538" s="30"/>
      <c r="BM1538" s="30"/>
      <c r="BN1538" s="30"/>
      <c r="BO1538" s="30"/>
      <c r="BP1538" s="30"/>
      <c r="BQ1538" s="30"/>
      <c r="BR1538" s="30"/>
      <c r="BS1538" s="30"/>
      <c r="BT1538" s="1"/>
      <c r="BU1538" s="1"/>
      <c r="BV1538" s="1"/>
      <c r="BW1538" s="1"/>
      <c r="BX1538" s="1"/>
      <c r="BY1538" s="1"/>
      <c r="BZ1538" s="1"/>
      <c r="CA1538" s="1"/>
      <c r="CB1538" s="1"/>
      <c r="CC1538" s="1"/>
      <c r="CD1538" s="30"/>
      <c r="CE1538" s="30"/>
      <c r="CF1538" s="30"/>
      <c r="CG1538" s="30"/>
      <c r="CH1538" s="30"/>
      <c r="CI1538" s="30"/>
      <c r="CJ1538" s="30"/>
      <c r="CK1538" s="30"/>
      <c r="CL1538" s="30"/>
      <c r="CM1538" s="30"/>
      <c r="CN1538" s="1"/>
      <c r="CO1538" s="1"/>
      <c r="CP1538" s="1"/>
      <c r="CQ1538" s="1"/>
      <c r="CR1538" s="1"/>
      <c r="CS1538" s="1"/>
      <c r="CT1538" s="1"/>
      <c r="CU1538" s="1"/>
      <c r="CV1538" s="1"/>
      <c r="CW1538" s="1"/>
    </row>
    <row r="1539" spans="2:101" ht="15" hidden="1" customHeight="1" x14ac:dyDescent="0.25"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30"/>
      <c r="AQ1539" s="30"/>
      <c r="AR1539" s="30"/>
      <c r="AS1539" s="30"/>
      <c r="AT1539" s="30"/>
      <c r="AU1539" s="30"/>
      <c r="AV1539" s="30"/>
      <c r="AW1539" s="30"/>
      <c r="AX1539" s="30"/>
      <c r="AY1539" s="30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30"/>
      <c r="BK1539" s="30"/>
      <c r="BL1539" s="30"/>
      <c r="BM1539" s="30"/>
      <c r="BN1539" s="30"/>
      <c r="BO1539" s="30"/>
      <c r="BP1539" s="30"/>
      <c r="BQ1539" s="30"/>
      <c r="BR1539" s="30"/>
      <c r="BS1539" s="30"/>
      <c r="BT1539" s="1"/>
      <c r="BU1539" s="1"/>
      <c r="BV1539" s="1"/>
      <c r="BW1539" s="1"/>
      <c r="BX1539" s="1"/>
      <c r="BY1539" s="1"/>
      <c r="BZ1539" s="1"/>
      <c r="CA1539" s="1"/>
      <c r="CB1539" s="1"/>
      <c r="CC1539" s="1"/>
      <c r="CD1539" s="30"/>
      <c r="CE1539" s="30"/>
      <c r="CF1539" s="30"/>
      <c r="CG1539" s="30"/>
      <c r="CH1539" s="30"/>
      <c r="CI1539" s="30"/>
      <c r="CJ1539" s="30"/>
      <c r="CK1539" s="30"/>
      <c r="CL1539" s="30"/>
      <c r="CM1539" s="30"/>
      <c r="CN1539" s="1"/>
      <c r="CO1539" s="1"/>
      <c r="CP1539" s="1"/>
      <c r="CQ1539" s="1"/>
      <c r="CR1539" s="1"/>
      <c r="CS1539" s="1"/>
      <c r="CT1539" s="1"/>
      <c r="CU1539" s="1"/>
      <c r="CV1539" s="1"/>
      <c r="CW1539" s="1"/>
    </row>
    <row r="1540" spans="2:101" ht="15" hidden="1" customHeight="1" x14ac:dyDescent="0.25"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30"/>
      <c r="W1540" s="30"/>
      <c r="X1540" s="30"/>
      <c r="Y1540" s="30"/>
      <c r="Z1540" s="30"/>
      <c r="AA1540" s="30"/>
      <c r="AB1540" s="30"/>
      <c r="AC1540" s="30"/>
      <c r="AD1540" s="30"/>
      <c r="AE1540" s="30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30"/>
      <c r="AQ1540" s="30"/>
      <c r="AR1540" s="30"/>
      <c r="AS1540" s="30"/>
      <c r="AT1540" s="30"/>
      <c r="AU1540" s="30"/>
      <c r="AV1540" s="30"/>
      <c r="AW1540" s="30"/>
      <c r="AX1540" s="30"/>
      <c r="AY1540" s="30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30"/>
      <c r="BK1540" s="30"/>
      <c r="BL1540" s="30"/>
      <c r="BM1540" s="30"/>
      <c r="BN1540" s="30"/>
      <c r="BO1540" s="30"/>
      <c r="BP1540" s="30"/>
      <c r="BQ1540" s="30"/>
      <c r="BR1540" s="30"/>
      <c r="BS1540" s="30"/>
      <c r="BT1540" s="1"/>
      <c r="BU1540" s="1"/>
      <c r="BV1540" s="1"/>
      <c r="BW1540" s="1"/>
      <c r="BX1540" s="1"/>
      <c r="BY1540" s="1"/>
      <c r="BZ1540" s="1"/>
      <c r="CA1540" s="1"/>
      <c r="CB1540" s="1"/>
      <c r="CC1540" s="1"/>
      <c r="CD1540" s="30"/>
      <c r="CE1540" s="30"/>
      <c r="CF1540" s="30"/>
      <c r="CG1540" s="30"/>
      <c r="CH1540" s="30"/>
      <c r="CI1540" s="30"/>
      <c r="CJ1540" s="30"/>
      <c r="CK1540" s="30"/>
      <c r="CL1540" s="30"/>
      <c r="CM1540" s="30"/>
      <c r="CN1540" s="1"/>
      <c r="CO1540" s="1"/>
      <c r="CP1540" s="1"/>
      <c r="CQ1540" s="1"/>
      <c r="CR1540" s="1"/>
      <c r="CS1540" s="1"/>
      <c r="CT1540" s="1"/>
      <c r="CU1540" s="1"/>
      <c r="CV1540" s="1"/>
      <c r="CW1540" s="1"/>
    </row>
    <row r="1541" spans="2:101" ht="15" hidden="1" customHeight="1" x14ac:dyDescent="0.25"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30"/>
      <c r="W1541" s="30"/>
      <c r="X1541" s="30"/>
      <c r="Y1541" s="30"/>
      <c r="Z1541" s="30"/>
      <c r="AA1541" s="30"/>
      <c r="AB1541" s="30"/>
      <c r="AC1541" s="30"/>
      <c r="AD1541" s="30"/>
      <c r="AE1541" s="30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30"/>
      <c r="AQ1541" s="30"/>
      <c r="AR1541" s="30"/>
      <c r="AS1541" s="30"/>
      <c r="AT1541" s="30"/>
      <c r="AU1541" s="30"/>
      <c r="AV1541" s="30"/>
      <c r="AW1541" s="30"/>
      <c r="AX1541" s="30"/>
      <c r="AY1541" s="30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30"/>
      <c r="BK1541" s="30"/>
      <c r="BL1541" s="30"/>
      <c r="BM1541" s="30"/>
      <c r="BN1541" s="30"/>
      <c r="BO1541" s="30"/>
      <c r="BP1541" s="30"/>
      <c r="BQ1541" s="30"/>
      <c r="BR1541" s="30"/>
      <c r="BS1541" s="30"/>
      <c r="BT1541" s="1"/>
      <c r="BU1541" s="1"/>
      <c r="BV1541" s="1"/>
      <c r="BW1541" s="1"/>
      <c r="BX1541" s="1"/>
      <c r="BY1541" s="1"/>
      <c r="BZ1541" s="1"/>
      <c r="CA1541" s="1"/>
      <c r="CB1541" s="1"/>
      <c r="CC1541" s="1"/>
      <c r="CD1541" s="30"/>
      <c r="CE1541" s="30"/>
      <c r="CF1541" s="30"/>
      <c r="CG1541" s="30"/>
      <c r="CH1541" s="30"/>
      <c r="CI1541" s="30"/>
      <c r="CJ1541" s="30"/>
      <c r="CK1541" s="30"/>
      <c r="CL1541" s="30"/>
      <c r="CM1541" s="30"/>
      <c r="CN1541" s="1"/>
      <c r="CO1541" s="1"/>
      <c r="CP1541" s="1"/>
      <c r="CQ1541" s="1"/>
      <c r="CR1541" s="1"/>
      <c r="CS1541" s="1"/>
      <c r="CT1541" s="1"/>
      <c r="CU1541" s="1"/>
      <c r="CV1541" s="1"/>
      <c r="CW1541" s="1"/>
    </row>
    <row r="1542" spans="2:101" ht="15" hidden="1" customHeight="1" x14ac:dyDescent="0.25"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30"/>
      <c r="W1542" s="30"/>
      <c r="X1542" s="30"/>
      <c r="Y1542" s="30"/>
      <c r="Z1542" s="30"/>
      <c r="AA1542" s="30"/>
      <c r="AB1542" s="30"/>
      <c r="AC1542" s="30"/>
      <c r="AD1542" s="30"/>
      <c r="AE1542" s="30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30"/>
      <c r="AQ1542" s="30"/>
      <c r="AR1542" s="30"/>
      <c r="AS1542" s="30"/>
      <c r="AT1542" s="30"/>
      <c r="AU1542" s="30"/>
      <c r="AV1542" s="30"/>
      <c r="AW1542" s="30"/>
      <c r="AX1542" s="30"/>
      <c r="AY1542" s="30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30"/>
      <c r="BK1542" s="30"/>
      <c r="BL1542" s="30"/>
      <c r="BM1542" s="30"/>
      <c r="BN1542" s="30"/>
      <c r="BO1542" s="30"/>
      <c r="BP1542" s="30"/>
      <c r="BQ1542" s="30"/>
      <c r="BR1542" s="30"/>
      <c r="BS1542" s="30"/>
      <c r="BT1542" s="1"/>
      <c r="BU1542" s="1"/>
      <c r="BV1542" s="1"/>
      <c r="BW1542" s="1"/>
      <c r="BX1542" s="1"/>
      <c r="BY1542" s="1"/>
      <c r="BZ1542" s="1"/>
      <c r="CA1542" s="1"/>
      <c r="CB1542" s="1"/>
      <c r="CC1542" s="1"/>
      <c r="CD1542" s="30"/>
      <c r="CE1542" s="30"/>
      <c r="CF1542" s="30"/>
      <c r="CG1542" s="30"/>
      <c r="CH1542" s="30"/>
      <c r="CI1542" s="30"/>
      <c r="CJ1542" s="30"/>
      <c r="CK1542" s="30"/>
      <c r="CL1542" s="30"/>
      <c r="CM1542" s="30"/>
      <c r="CN1542" s="1"/>
      <c r="CO1542" s="1"/>
      <c r="CP1542" s="1"/>
      <c r="CQ1542" s="1"/>
      <c r="CR1542" s="1"/>
      <c r="CS1542" s="1"/>
      <c r="CT1542" s="1"/>
      <c r="CU1542" s="1"/>
      <c r="CV1542" s="1"/>
      <c r="CW1542" s="1"/>
    </row>
    <row r="1543" spans="2:101" ht="15" hidden="1" customHeight="1" x14ac:dyDescent="0.25"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30"/>
      <c r="W1543" s="30"/>
      <c r="X1543" s="30"/>
      <c r="Y1543" s="30"/>
      <c r="Z1543" s="30"/>
      <c r="AA1543" s="30"/>
      <c r="AB1543" s="30"/>
      <c r="AC1543" s="30"/>
      <c r="AD1543" s="30"/>
      <c r="AE1543" s="30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30"/>
      <c r="AQ1543" s="30"/>
      <c r="AR1543" s="30"/>
      <c r="AS1543" s="30"/>
      <c r="AT1543" s="30"/>
      <c r="AU1543" s="30"/>
      <c r="AV1543" s="30"/>
      <c r="AW1543" s="30"/>
      <c r="AX1543" s="30"/>
      <c r="AY1543" s="30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30"/>
      <c r="BK1543" s="30"/>
      <c r="BL1543" s="30"/>
      <c r="BM1543" s="30"/>
      <c r="BN1543" s="30"/>
      <c r="BO1543" s="30"/>
      <c r="BP1543" s="30"/>
      <c r="BQ1543" s="30"/>
      <c r="BR1543" s="30"/>
      <c r="BS1543" s="30"/>
      <c r="BT1543" s="1"/>
      <c r="BU1543" s="1"/>
      <c r="BV1543" s="1"/>
      <c r="BW1543" s="1"/>
      <c r="BX1543" s="1"/>
      <c r="BY1543" s="1"/>
      <c r="BZ1543" s="1"/>
      <c r="CA1543" s="1"/>
      <c r="CB1543" s="1"/>
      <c r="CC1543" s="1"/>
      <c r="CD1543" s="30"/>
      <c r="CE1543" s="30"/>
      <c r="CF1543" s="30"/>
      <c r="CG1543" s="30"/>
      <c r="CH1543" s="30"/>
      <c r="CI1543" s="30"/>
      <c r="CJ1543" s="30"/>
      <c r="CK1543" s="30"/>
      <c r="CL1543" s="30"/>
      <c r="CM1543" s="30"/>
      <c r="CN1543" s="1"/>
      <c r="CO1543" s="1"/>
      <c r="CP1543" s="1"/>
      <c r="CQ1543" s="1"/>
      <c r="CR1543" s="1"/>
      <c r="CS1543" s="1"/>
      <c r="CT1543" s="1"/>
      <c r="CU1543" s="1"/>
      <c r="CV1543" s="1"/>
      <c r="CW1543" s="1"/>
    </row>
    <row r="1544" spans="2:101" ht="15" hidden="1" customHeight="1" x14ac:dyDescent="0.25"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30"/>
      <c r="W1544" s="30"/>
      <c r="X1544" s="30"/>
      <c r="Y1544" s="30"/>
      <c r="Z1544" s="30"/>
      <c r="AA1544" s="30"/>
      <c r="AB1544" s="30"/>
      <c r="AC1544" s="30"/>
      <c r="AD1544" s="30"/>
      <c r="AE1544" s="30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30"/>
      <c r="AQ1544" s="30"/>
      <c r="AR1544" s="30"/>
      <c r="AS1544" s="30"/>
      <c r="AT1544" s="30"/>
      <c r="AU1544" s="30"/>
      <c r="AV1544" s="30"/>
      <c r="AW1544" s="30"/>
      <c r="AX1544" s="30"/>
      <c r="AY1544" s="30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30"/>
      <c r="BK1544" s="30"/>
      <c r="BL1544" s="30"/>
      <c r="BM1544" s="30"/>
      <c r="BN1544" s="30"/>
      <c r="BO1544" s="30"/>
      <c r="BP1544" s="30"/>
      <c r="BQ1544" s="30"/>
      <c r="BR1544" s="30"/>
      <c r="BS1544" s="30"/>
      <c r="BT1544" s="1"/>
      <c r="BU1544" s="1"/>
      <c r="BV1544" s="1"/>
      <c r="BW1544" s="1"/>
      <c r="BX1544" s="1"/>
      <c r="BY1544" s="1"/>
      <c r="BZ1544" s="1"/>
      <c r="CA1544" s="1"/>
      <c r="CB1544" s="1"/>
      <c r="CC1544" s="1"/>
      <c r="CD1544" s="30"/>
      <c r="CE1544" s="30"/>
      <c r="CF1544" s="30"/>
      <c r="CG1544" s="30"/>
      <c r="CH1544" s="30"/>
      <c r="CI1544" s="30"/>
      <c r="CJ1544" s="30"/>
      <c r="CK1544" s="30"/>
      <c r="CL1544" s="30"/>
      <c r="CM1544" s="30"/>
      <c r="CN1544" s="1"/>
      <c r="CO1544" s="1"/>
      <c r="CP1544" s="1"/>
      <c r="CQ1544" s="1"/>
      <c r="CR1544" s="1"/>
      <c r="CS1544" s="1"/>
      <c r="CT1544" s="1"/>
      <c r="CU1544" s="1"/>
      <c r="CV1544" s="1"/>
      <c r="CW1544" s="1"/>
    </row>
    <row r="1545" spans="2:101" ht="15" hidden="1" customHeight="1" x14ac:dyDescent="0.25"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30"/>
      <c r="W1545" s="30"/>
      <c r="X1545" s="30"/>
      <c r="Y1545" s="30"/>
      <c r="Z1545" s="30"/>
      <c r="AA1545" s="30"/>
      <c r="AB1545" s="30"/>
      <c r="AC1545" s="30"/>
      <c r="AD1545" s="30"/>
      <c r="AE1545" s="30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30"/>
      <c r="AQ1545" s="30"/>
      <c r="AR1545" s="30"/>
      <c r="AS1545" s="30"/>
      <c r="AT1545" s="30"/>
      <c r="AU1545" s="30"/>
      <c r="AV1545" s="30"/>
      <c r="AW1545" s="30"/>
      <c r="AX1545" s="30"/>
      <c r="AY1545" s="30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30"/>
      <c r="BK1545" s="30"/>
      <c r="BL1545" s="30"/>
      <c r="BM1545" s="30"/>
      <c r="BN1545" s="30"/>
      <c r="BO1545" s="30"/>
      <c r="BP1545" s="30"/>
      <c r="BQ1545" s="30"/>
      <c r="BR1545" s="30"/>
      <c r="BS1545" s="30"/>
      <c r="BT1545" s="1"/>
      <c r="BU1545" s="1"/>
      <c r="BV1545" s="1"/>
      <c r="BW1545" s="1"/>
      <c r="BX1545" s="1"/>
      <c r="BY1545" s="1"/>
      <c r="BZ1545" s="1"/>
      <c r="CA1545" s="1"/>
      <c r="CB1545" s="1"/>
      <c r="CC1545" s="1"/>
      <c r="CD1545" s="30"/>
      <c r="CE1545" s="30"/>
      <c r="CF1545" s="30"/>
      <c r="CG1545" s="30"/>
      <c r="CH1545" s="30"/>
      <c r="CI1545" s="30"/>
      <c r="CJ1545" s="30"/>
      <c r="CK1545" s="30"/>
      <c r="CL1545" s="30"/>
      <c r="CM1545" s="30"/>
      <c r="CN1545" s="1"/>
      <c r="CO1545" s="1"/>
      <c r="CP1545" s="1"/>
      <c r="CQ1545" s="1"/>
      <c r="CR1545" s="1"/>
      <c r="CS1545" s="1"/>
      <c r="CT1545" s="1"/>
      <c r="CU1545" s="1"/>
      <c r="CV1545" s="1"/>
      <c r="CW1545" s="1"/>
    </row>
    <row r="1546" spans="2:101" ht="15" hidden="1" customHeight="1" x14ac:dyDescent="0.25"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30"/>
      <c r="W1546" s="30"/>
      <c r="X1546" s="30"/>
      <c r="Y1546" s="30"/>
      <c r="Z1546" s="30"/>
      <c r="AA1546" s="30"/>
      <c r="AB1546" s="30"/>
      <c r="AC1546" s="30"/>
      <c r="AD1546" s="30"/>
      <c r="AE1546" s="30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30"/>
      <c r="AQ1546" s="30"/>
      <c r="AR1546" s="30"/>
      <c r="AS1546" s="30"/>
      <c r="AT1546" s="30"/>
      <c r="AU1546" s="30"/>
      <c r="AV1546" s="30"/>
      <c r="AW1546" s="30"/>
      <c r="AX1546" s="30"/>
      <c r="AY1546" s="30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30"/>
      <c r="BK1546" s="30"/>
      <c r="BL1546" s="30"/>
      <c r="BM1546" s="30"/>
      <c r="BN1546" s="30"/>
      <c r="BO1546" s="30"/>
      <c r="BP1546" s="30"/>
      <c r="BQ1546" s="30"/>
      <c r="BR1546" s="30"/>
      <c r="BS1546" s="30"/>
      <c r="BT1546" s="1"/>
      <c r="BU1546" s="1"/>
      <c r="BV1546" s="1"/>
      <c r="BW1546" s="1"/>
      <c r="BX1546" s="1"/>
      <c r="BY1546" s="1"/>
      <c r="BZ1546" s="1"/>
      <c r="CA1546" s="1"/>
      <c r="CB1546" s="1"/>
      <c r="CC1546" s="1"/>
      <c r="CD1546" s="30"/>
      <c r="CE1546" s="30"/>
      <c r="CF1546" s="30"/>
      <c r="CG1546" s="30"/>
      <c r="CH1546" s="30"/>
      <c r="CI1546" s="30"/>
      <c r="CJ1546" s="30"/>
      <c r="CK1546" s="30"/>
      <c r="CL1546" s="30"/>
      <c r="CM1546" s="30"/>
      <c r="CN1546" s="1"/>
      <c r="CO1546" s="1"/>
      <c r="CP1546" s="1"/>
      <c r="CQ1546" s="1"/>
      <c r="CR1546" s="1"/>
      <c r="CS1546" s="1"/>
      <c r="CT1546" s="1"/>
      <c r="CU1546" s="1"/>
      <c r="CV1546" s="1"/>
      <c r="CW1546" s="1"/>
    </row>
    <row r="1547" spans="2:101" ht="15" hidden="1" customHeight="1" x14ac:dyDescent="0.25"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30"/>
      <c r="AQ1547" s="30"/>
      <c r="AR1547" s="30"/>
      <c r="AS1547" s="30"/>
      <c r="AT1547" s="30"/>
      <c r="AU1547" s="30"/>
      <c r="AV1547" s="30"/>
      <c r="AW1547" s="30"/>
      <c r="AX1547" s="30"/>
      <c r="AY1547" s="30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30"/>
      <c r="BK1547" s="30"/>
      <c r="BL1547" s="30"/>
      <c r="BM1547" s="30"/>
      <c r="BN1547" s="30"/>
      <c r="BO1547" s="30"/>
      <c r="BP1547" s="30"/>
      <c r="BQ1547" s="30"/>
      <c r="BR1547" s="30"/>
      <c r="BS1547" s="30"/>
      <c r="BT1547" s="1"/>
      <c r="BU1547" s="1"/>
      <c r="BV1547" s="1"/>
      <c r="BW1547" s="1"/>
      <c r="BX1547" s="1"/>
      <c r="BY1547" s="1"/>
      <c r="BZ1547" s="1"/>
      <c r="CA1547" s="1"/>
      <c r="CB1547" s="1"/>
      <c r="CC1547" s="1"/>
      <c r="CD1547" s="30"/>
      <c r="CE1547" s="30"/>
      <c r="CF1547" s="30"/>
      <c r="CG1547" s="30"/>
      <c r="CH1547" s="30"/>
      <c r="CI1547" s="30"/>
      <c r="CJ1547" s="30"/>
      <c r="CK1547" s="30"/>
      <c r="CL1547" s="30"/>
      <c r="CM1547" s="30"/>
      <c r="CN1547" s="1"/>
      <c r="CO1547" s="1"/>
      <c r="CP1547" s="1"/>
      <c r="CQ1547" s="1"/>
      <c r="CR1547" s="1"/>
      <c r="CS1547" s="1"/>
      <c r="CT1547" s="1"/>
      <c r="CU1547" s="1"/>
      <c r="CV1547" s="1"/>
      <c r="CW1547" s="1"/>
    </row>
    <row r="1548" spans="2:101" ht="15" hidden="1" customHeight="1" x14ac:dyDescent="0.25"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30"/>
      <c r="W1548" s="30"/>
      <c r="X1548" s="30"/>
      <c r="Y1548" s="30"/>
      <c r="Z1548" s="30"/>
      <c r="AA1548" s="30"/>
      <c r="AB1548" s="30"/>
      <c r="AC1548" s="30"/>
      <c r="AD1548" s="30"/>
      <c r="AE1548" s="30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30"/>
      <c r="AQ1548" s="30"/>
      <c r="AR1548" s="30"/>
      <c r="AS1548" s="30"/>
      <c r="AT1548" s="30"/>
      <c r="AU1548" s="30"/>
      <c r="AV1548" s="30"/>
      <c r="AW1548" s="30"/>
      <c r="AX1548" s="30"/>
      <c r="AY1548" s="30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30"/>
      <c r="BK1548" s="30"/>
      <c r="BL1548" s="30"/>
      <c r="BM1548" s="30"/>
      <c r="BN1548" s="30"/>
      <c r="BO1548" s="30"/>
      <c r="BP1548" s="30"/>
      <c r="BQ1548" s="30"/>
      <c r="BR1548" s="30"/>
      <c r="BS1548" s="30"/>
      <c r="BT1548" s="1"/>
      <c r="BU1548" s="1"/>
      <c r="BV1548" s="1"/>
      <c r="BW1548" s="1"/>
      <c r="BX1548" s="1"/>
      <c r="BY1548" s="1"/>
      <c r="BZ1548" s="1"/>
      <c r="CA1548" s="1"/>
      <c r="CB1548" s="1"/>
      <c r="CC1548" s="1"/>
      <c r="CD1548" s="30"/>
      <c r="CE1548" s="30"/>
      <c r="CF1548" s="30"/>
      <c r="CG1548" s="30"/>
      <c r="CH1548" s="30"/>
      <c r="CI1548" s="30"/>
      <c r="CJ1548" s="30"/>
      <c r="CK1548" s="30"/>
      <c r="CL1548" s="30"/>
      <c r="CM1548" s="30"/>
      <c r="CN1548" s="1"/>
      <c r="CO1548" s="1"/>
      <c r="CP1548" s="1"/>
      <c r="CQ1548" s="1"/>
      <c r="CR1548" s="1"/>
      <c r="CS1548" s="1"/>
      <c r="CT1548" s="1"/>
      <c r="CU1548" s="1"/>
      <c r="CV1548" s="1"/>
      <c r="CW1548" s="1"/>
    </row>
    <row r="1549" spans="2:101" ht="15" hidden="1" customHeight="1" x14ac:dyDescent="0.25"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30"/>
      <c r="W1549" s="30"/>
      <c r="X1549" s="30"/>
      <c r="Y1549" s="30"/>
      <c r="Z1549" s="30"/>
      <c r="AA1549" s="30"/>
      <c r="AB1549" s="30"/>
      <c r="AC1549" s="30"/>
      <c r="AD1549" s="30"/>
      <c r="AE1549" s="30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30"/>
      <c r="AQ1549" s="30"/>
      <c r="AR1549" s="30"/>
      <c r="AS1549" s="30"/>
      <c r="AT1549" s="30"/>
      <c r="AU1549" s="30"/>
      <c r="AV1549" s="30"/>
      <c r="AW1549" s="30"/>
      <c r="AX1549" s="30"/>
      <c r="AY1549" s="30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30"/>
      <c r="BK1549" s="30"/>
      <c r="BL1549" s="30"/>
      <c r="BM1549" s="30"/>
      <c r="BN1549" s="30"/>
      <c r="BO1549" s="30"/>
      <c r="BP1549" s="30"/>
      <c r="BQ1549" s="30"/>
      <c r="BR1549" s="30"/>
      <c r="BS1549" s="30"/>
      <c r="BT1549" s="1"/>
      <c r="BU1549" s="1"/>
      <c r="BV1549" s="1"/>
      <c r="BW1549" s="1"/>
      <c r="BX1549" s="1"/>
      <c r="BY1549" s="1"/>
      <c r="BZ1549" s="1"/>
      <c r="CA1549" s="1"/>
      <c r="CB1549" s="1"/>
      <c r="CC1549" s="1"/>
      <c r="CD1549" s="30"/>
      <c r="CE1549" s="30"/>
      <c r="CF1549" s="30"/>
      <c r="CG1549" s="30"/>
      <c r="CH1549" s="30"/>
      <c r="CI1549" s="30"/>
      <c r="CJ1549" s="30"/>
      <c r="CK1549" s="30"/>
      <c r="CL1549" s="30"/>
      <c r="CM1549" s="30"/>
      <c r="CN1549" s="1"/>
      <c r="CO1549" s="1"/>
      <c r="CP1549" s="1"/>
      <c r="CQ1549" s="1"/>
      <c r="CR1549" s="1"/>
      <c r="CS1549" s="1"/>
      <c r="CT1549" s="1"/>
      <c r="CU1549" s="1"/>
      <c r="CV1549" s="1"/>
      <c r="CW1549" s="1"/>
    </row>
    <row r="1550" spans="2:101" ht="15" hidden="1" customHeight="1" x14ac:dyDescent="0.25"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30"/>
      <c r="W1550" s="30"/>
      <c r="X1550" s="30"/>
      <c r="Y1550" s="30"/>
      <c r="Z1550" s="30"/>
      <c r="AA1550" s="30"/>
      <c r="AB1550" s="30"/>
      <c r="AC1550" s="30"/>
      <c r="AD1550" s="30"/>
      <c r="AE1550" s="30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30"/>
      <c r="AQ1550" s="30"/>
      <c r="AR1550" s="30"/>
      <c r="AS1550" s="30"/>
      <c r="AT1550" s="30"/>
      <c r="AU1550" s="30"/>
      <c r="AV1550" s="30"/>
      <c r="AW1550" s="30"/>
      <c r="AX1550" s="30"/>
      <c r="AY1550" s="30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30"/>
      <c r="BK1550" s="30"/>
      <c r="BL1550" s="30"/>
      <c r="BM1550" s="30"/>
      <c r="BN1550" s="30"/>
      <c r="BO1550" s="30"/>
      <c r="BP1550" s="30"/>
      <c r="BQ1550" s="30"/>
      <c r="BR1550" s="30"/>
      <c r="BS1550" s="30"/>
      <c r="BT1550" s="1"/>
      <c r="BU1550" s="1"/>
      <c r="BV1550" s="1"/>
      <c r="BW1550" s="1"/>
      <c r="BX1550" s="1"/>
      <c r="BY1550" s="1"/>
      <c r="BZ1550" s="1"/>
      <c r="CA1550" s="1"/>
      <c r="CB1550" s="1"/>
      <c r="CC1550" s="1"/>
      <c r="CD1550" s="30"/>
      <c r="CE1550" s="30"/>
      <c r="CF1550" s="30"/>
      <c r="CG1550" s="30"/>
      <c r="CH1550" s="30"/>
      <c r="CI1550" s="30"/>
      <c r="CJ1550" s="30"/>
      <c r="CK1550" s="30"/>
      <c r="CL1550" s="30"/>
      <c r="CM1550" s="30"/>
      <c r="CN1550" s="1"/>
      <c r="CO1550" s="1"/>
      <c r="CP1550" s="1"/>
      <c r="CQ1550" s="1"/>
      <c r="CR1550" s="1"/>
      <c r="CS1550" s="1"/>
      <c r="CT1550" s="1"/>
      <c r="CU1550" s="1"/>
      <c r="CV1550" s="1"/>
      <c r="CW1550" s="1"/>
    </row>
    <row r="1551" spans="2:101" ht="15" hidden="1" customHeight="1" x14ac:dyDescent="0.25"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30"/>
      <c r="W1551" s="30"/>
      <c r="X1551" s="30"/>
      <c r="Y1551" s="30"/>
      <c r="Z1551" s="30"/>
      <c r="AA1551" s="30"/>
      <c r="AB1551" s="30"/>
      <c r="AC1551" s="30"/>
      <c r="AD1551" s="30"/>
      <c r="AE1551" s="30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30"/>
      <c r="BK1551" s="30"/>
      <c r="BL1551" s="30"/>
      <c r="BM1551" s="30"/>
      <c r="BN1551" s="30"/>
      <c r="BO1551" s="30"/>
      <c r="BP1551" s="30"/>
      <c r="BQ1551" s="30"/>
      <c r="BR1551" s="30"/>
      <c r="BS1551" s="30"/>
      <c r="BT1551" s="1"/>
      <c r="BU1551" s="1"/>
      <c r="BV1551" s="1"/>
      <c r="BW1551" s="1"/>
      <c r="BX1551" s="1"/>
      <c r="BY1551" s="1"/>
      <c r="BZ1551" s="1"/>
      <c r="CA1551" s="1"/>
      <c r="CB1551" s="1"/>
      <c r="CC1551" s="1"/>
      <c r="CD1551" s="30"/>
      <c r="CE1551" s="30"/>
      <c r="CF1551" s="30"/>
      <c r="CG1551" s="30"/>
      <c r="CH1551" s="30"/>
      <c r="CI1551" s="30"/>
      <c r="CJ1551" s="30"/>
      <c r="CK1551" s="30"/>
      <c r="CL1551" s="30"/>
      <c r="CM1551" s="30"/>
      <c r="CN1551" s="1"/>
      <c r="CO1551" s="1"/>
      <c r="CP1551" s="1"/>
      <c r="CQ1551" s="1"/>
      <c r="CR1551" s="1"/>
      <c r="CS1551" s="1"/>
      <c r="CT1551" s="1"/>
      <c r="CU1551" s="1"/>
      <c r="CV1551" s="1"/>
      <c r="CW1551" s="1"/>
    </row>
    <row r="1552" spans="2:101" ht="15" hidden="1" customHeight="1" x14ac:dyDescent="0.25"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30"/>
      <c r="W1552" s="30"/>
      <c r="X1552" s="30"/>
      <c r="Y1552" s="30"/>
      <c r="Z1552" s="30"/>
      <c r="AA1552" s="30"/>
      <c r="AB1552" s="30"/>
      <c r="AC1552" s="30"/>
      <c r="AD1552" s="30"/>
      <c r="AE1552" s="30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30"/>
      <c r="AQ1552" s="30"/>
      <c r="AR1552" s="30"/>
      <c r="AS1552" s="30"/>
      <c r="AT1552" s="30"/>
      <c r="AU1552" s="30"/>
      <c r="AV1552" s="30"/>
      <c r="AW1552" s="30"/>
      <c r="AX1552" s="30"/>
      <c r="AY1552" s="30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30"/>
      <c r="BK1552" s="30"/>
      <c r="BL1552" s="30"/>
      <c r="BM1552" s="30"/>
      <c r="BN1552" s="30"/>
      <c r="BO1552" s="30"/>
      <c r="BP1552" s="30"/>
      <c r="BQ1552" s="30"/>
      <c r="BR1552" s="30"/>
      <c r="BS1552" s="30"/>
      <c r="BT1552" s="1"/>
      <c r="BU1552" s="1"/>
      <c r="BV1552" s="1"/>
      <c r="BW1552" s="1"/>
      <c r="BX1552" s="1"/>
      <c r="BY1552" s="1"/>
      <c r="BZ1552" s="1"/>
      <c r="CA1552" s="1"/>
      <c r="CB1552" s="1"/>
      <c r="CC1552" s="1"/>
      <c r="CD1552" s="30"/>
      <c r="CE1552" s="30"/>
      <c r="CF1552" s="30"/>
      <c r="CG1552" s="30"/>
      <c r="CH1552" s="30"/>
      <c r="CI1552" s="30"/>
      <c r="CJ1552" s="30"/>
      <c r="CK1552" s="30"/>
      <c r="CL1552" s="30"/>
      <c r="CM1552" s="30"/>
      <c r="CN1552" s="1"/>
      <c r="CO1552" s="1"/>
      <c r="CP1552" s="1"/>
      <c r="CQ1552" s="1"/>
      <c r="CR1552" s="1"/>
      <c r="CS1552" s="1"/>
      <c r="CT1552" s="1"/>
      <c r="CU1552" s="1"/>
      <c r="CV1552" s="1"/>
      <c r="CW1552" s="1"/>
    </row>
    <row r="1553" spans="2:101" ht="15" hidden="1" customHeight="1" x14ac:dyDescent="0.25"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30"/>
      <c r="W1553" s="30"/>
      <c r="X1553" s="30"/>
      <c r="Y1553" s="30"/>
      <c r="Z1553" s="30"/>
      <c r="AA1553" s="30"/>
      <c r="AB1553" s="30"/>
      <c r="AC1553" s="30"/>
      <c r="AD1553" s="30"/>
      <c r="AE1553" s="30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30"/>
      <c r="AQ1553" s="30"/>
      <c r="AR1553" s="30"/>
      <c r="AS1553" s="30"/>
      <c r="AT1553" s="30"/>
      <c r="AU1553" s="30"/>
      <c r="AV1553" s="30"/>
      <c r="AW1553" s="30"/>
      <c r="AX1553" s="30"/>
      <c r="AY1553" s="30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30"/>
      <c r="BK1553" s="30"/>
      <c r="BL1553" s="30"/>
      <c r="BM1553" s="30"/>
      <c r="BN1553" s="30"/>
      <c r="BO1553" s="30"/>
      <c r="BP1553" s="30"/>
      <c r="BQ1553" s="30"/>
      <c r="BR1553" s="30"/>
      <c r="BS1553" s="30"/>
      <c r="BT1553" s="1"/>
      <c r="BU1553" s="1"/>
      <c r="BV1553" s="1"/>
      <c r="BW1553" s="1"/>
      <c r="BX1553" s="1"/>
      <c r="BY1553" s="1"/>
      <c r="BZ1553" s="1"/>
      <c r="CA1553" s="1"/>
      <c r="CB1553" s="1"/>
      <c r="CC1553" s="1"/>
      <c r="CD1553" s="30"/>
      <c r="CE1553" s="30"/>
      <c r="CF1553" s="30"/>
      <c r="CG1553" s="30"/>
      <c r="CH1553" s="30"/>
      <c r="CI1553" s="30"/>
      <c r="CJ1553" s="30"/>
      <c r="CK1553" s="30"/>
      <c r="CL1553" s="30"/>
      <c r="CM1553" s="30"/>
      <c r="CN1553" s="1"/>
      <c r="CO1553" s="1"/>
      <c r="CP1553" s="1"/>
      <c r="CQ1553" s="1"/>
      <c r="CR1553" s="1"/>
      <c r="CS1553" s="1"/>
      <c r="CT1553" s="1"/>
      <c r="CU1553" s="1"/>
      <c r="CV1553" s="1"/>
      <c r="CW1553" s="1"/>
    </row>
    <row r="1554" spans="2:101" ht="15" hidden="1" customHeight="1" x14ac:dyDescent="0.25"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30"/>
      <c r="W1554" s="30"/>
      <c r="X1554" s="30"/>
      <c r="Y1554" s="30"/>
      <c r="Z1554" s="30"/>
      <c r="AA1554" s="30"/>
      <c r="AB1554" s="30"/>
      <c r="AC1554" s="30"/>
      <c r="AD1554" s="30"/>
      <c r="AE1554" s="30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30"/>
      <c r="AQ1554" s="30"/>
      <c r="AR1554" s="30"/>
      <c r="AS1554" s="30"/>
      <c r="AT1554" s="30"/>
      <c r="AU1554" s="30"/>
      <c r="AV1554" s="30"/>
      <c r="AW1554" s="30"/>
      <c r="AX1554" s="30"/>
      <c r="AY1554" s="30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30"/>
      <c r="BK1554" s="30"/>
      <c r="BL1554" s="30"/>
      <c r="BM1554" s="30"/>
      <c r="BN1554" s="30"/>
      <c r="BO1554" s="30"/>
      <c r="BP1554" s="30"/>
      <c r="BQ1554" s="30"/>
      <c r="BR1554" s="30"/>
      <c r="BS1554" s="30"/>
      <c r="BT1554" s="1"/>
      <c r="BU1554" s="1"/>
      <c r="BV1554" s="1"/>
      <c r="BW1554" s="1"/>
      <c r="BX1554" s="1"/>
      <c r="BY1554" s="1"/>
      <c r="BZ1554" s="1"/>
      <c r="CA1554" s="1"/>
      <c r="CB1554" s="1"/>
      <c r="CC1554" s="1"/>
      <c r="CD1554" s="30"/>
      <c r="CE1554" s="30"/>
      <c r="CF1554" s="30"/>
      <c r="CG1554" s="30"/>
      <c r="CH1554" s="30"/>
      <c r="CI1554" s="30"/>
      <c r="CJ1554" s="30"/>
      <c r="CK1554" s="30"/>
      <c r="CL1554" s="30"/>
      <c r="CM1554" s="30"/>
      <c r="CN1554" s="1"/>
      <c r="CO1554" s="1"/>
      <c r="CP1554" s="1"/>
      <c r="CQ1554" s="1"/>
      <c r="CR1554" s="1"/>
      <c r="CS1554" s="1"/>
      <c r="CT1554" s="1"/>
      <c r="CU1554" s="1"/>
      <c r="CV1554" s="1"/>
      <c r="CW1554" s="1"/>
    </row>
    <row r="1555" spans="2:101" ht="15" hidden="1" customHeight="1" x14ac:dyDescent="0.25"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30"/>
      <c r="W1555" s="30"/>
      <c r="X1555" s="30"/>
      <c r="Y1555" s="30"/>
      <c r="Z1555" s="30"/>
      <c r="AA1555" s="30"/>
      <c r="AB1555" s="30"/>
      <c r="AC1555" s="30"/>
      <c r="AD1555" s="30"/>
      <c r="AE1555" s="30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30"/>
      <c r="AQ1555" s="30"/>
      <c r="AR1555" s="30"/>
      <c r="AS1555" s="30"/>
      <c r="AT1555" s="30"/>
      <c r="AU1555" s="30"/>
      <c r="AV1555" s="30"/>
      <c r="AW1555" s="30"/>
      <c r="AX1555" s="30"/>
      <c r="AY1555" s="30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30"/>
      <c r="BK1555" s="30"/>
      <c r="BL1555" s="30"/>
      <c r="BM1555" s="30"/>
      <c r="BN1555" s="30"/>
      <c r="BO1555" s="30"/>
      <c r="BP1555" s="30"/>
      <c r="BQ1555" s="30"/>
      <c r="BR1555" s="30"/>
      <c r="BS1555" s="30"/>
      <c r="BT1555" s="1"/>
      <c r="BU1555" s="1"/>
      <c r="BV1555" s="1"/>
      <c r="BW1555" s="1"/>
      <c r="BX1555" s="1"/>
      <c r="BY1555" s="1"/>
      <c r="BZ1555" s="1"/>
      <c r="CA1555" s="1"/>
      <c r="CB1555" s="1"/>
      <c r="CC1555" s="1"/>
      <c r="CD1555" s="30"/>
      <c r="CE1555" s="30"/>
      <c r="CF1555" s="30"/>
      <c r="CG1555" s="30"/>
      <c r="CH1555" s="30"/>
      <c r="CI1555" s="30"/>
      <c r="CJ1555" s="30"/>
      <c r="CK1555" s="30"/>
      <c r="CL1555" s="30"/>
      <c r="CM1555" s="30"/>
      <c r="CN1555" s="1"/>
      <c r="CO1555" s="1"/>
      <c r="CP1555" s="1"/>
      <c r="CQ1555" s="1"/>
      <c r="CR1555" s="1"/>
      <c r="CS1555" s="1"/>
      <c r="CT1555" s="1"/>
      <c r="CU1555" s="1"/>
      <c r="CV1555" s="1"/>
      <c r="CW1555" s="1"/>
    </row>
    <row r="1556" spans="2:101" ht="15" hidden="1" customHeight="1" x14ac:dyDescent="0.25"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30"/>
      <c r="AQ1556" s="30"/>
      <c r="AR1556" s="30"/>
      <c r="AS1556" s="30"/>
      <c r="AT1556" s="30"/>
      <c r="AU1556" s="30"/>
      <c r="AV1556" s="30"/>
      <c r="AW1556" s="30"/>
      <c r="AX1556" s="30"/>
      <c r="AY1556" s="30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30"/>
      <c r="BK1556" s="30"/>
      <c r="BL1556" s="30"/>
      <c r="BM1556" s="30"/>
      <c r="BN1556" s="30"/>
      <c r="BO1556" s="30"/>
      <c r="BP1556" s="30"/>
      <c r="BQ1556" s="30"/>
      <c r="BR1556" s="30"/>
      <c r="BS1556" s="30"/>
      <c r="BT1556" s="1"/>
      <c r="BU1556" s="1"/>
      <c r="BV1556" s="1"/>
      <c r="BW1556" s="1"/>
      <c r="BX1556" s="1"/>
      <c r="BY1556" s="1"/>
      <c r="BZ1556" s="1"/>
      <c r="CA1556" s="1"/>
      <c r="CB1556" s="1"/>
      <c r="CC1556" s="1"/>
      <c r="CD1556" s="30"/>
      <c r="CE1556" s="30"/>
      <c r="CF1556" s="30"/>
      <c r="CG1556" s="30"/>
      <c r="CH1556" s="30"/>
      <c r="CI1556" s="30"/>
      <c r="CJ1556" s="30"/>
      <c r="CK1556" s="30"/>
      <c r="CL1556" s="30"/>
      <c r="CM1556" s="30"/>
      <c r="CN1556" s="1"/>
      <c r="CO1556" s="1"/>
      <c r="CP1556" s="1"/>
      <c r="CQ1556" s="1"/>
      <c r="CR1556" s="1"/>
      <c r="CS1556" s="1"/>
      <c r="CT1556" s="1"/>
      <c r="CU1556" s="1"/>
      <c r="CV1556" s="1"/>
      <c r="CW1556" s="1"/>
    </row>
    <row r="1557" spans="2:101" ht="15" hidden="1" customHeight="1" x14ac:dyDescent="0.25"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30"/>
      <c r="W1557" s="30"/>
      <c r="X1557" s="30"/>
      <c r="Y1557" s="30"/>
      <c r="Z1557" s="30"/>
      <c r="AA1557" s="30"/>
      <c r="AB1557" s="30"/>
      <c r="AC1557" s="30"/>
      <c r="AD1557" s="30"/>
      <c r="AE1557" s="30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30"/>
      <c r="AQ1557" s="30"/>
      <c r="AR1557" s="30"/>
      <c r="AS1557" s="30"/>
      <c r="AT1557" s="30"/>
      <c r="AU1557" s="30"/>
      <c r="AV1557" s="30"/>
      <c r="AW1557" s="30"/>
      <c r="AX1557" s="30"/>
      <c r="AY1557" s="30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30"/>
      <c r="BK1557" s="30"/>
      <c r="BL1557" s="30"/>
      <c r="BM1557" s="30"/>
      <c r="BN1557" s="30"/>
      <c r="BO1557" s="30"/>
      <c r="BP1557" s="30"/>
      <c r="BQ1557" s="30"/>
      <c r="BR1557" s="30"/>
      <c r="BS1557" s="30"/>
      <c r="BT1557" s="1"/>
      <c r="BU1557" s="1"/>
      <c r="BV1557" s="1"/>
      <c r="BW1557" s="1"/>
      <c r="BX1557" s="1"/>
      <c r="BY1557" s="1"/>
      <c r="BZ1557" s="1"/>
      <c r="CA1557" s="1"/>
      <c r="CB1557" s="1"/>
      <c r="CC1557" s="1"/>
      <c r="CD1557" s="30"/>
      <c r="CE1557" s="30"/>
      <c r="CF1557" s="30"/>
      <c r="CG1557" s="30"/>
      <c r="CH1557" s="30"/>
      <c r="CI1557" s="30"/>
      <c r="CJ1557" s="30"/>
      <c r="CK1557" s="30"/>
      <c r="CL1557" s="30"/>
      <c r="CM1557" s="30"/>
      <c r="CN1557" s="1"/>
      <c r="CO1557" s="1"/>
      <c r="CP1557" s="1"/>
      <c r="CQ1557" s="1"/>
      <c r="CR1557" s="1"/>
      <c r="CS1557" s="1"/>
      <c r="CT1557" s="1"/>
      <c r="CU1557" s="1"/>
      <c r="CV1557" s="1"/>
      <c r="CW1557" s="1"/>
    </row>
    <row r="1558" spans="2:101" ht="15" hidden="1" customHeight="1" x14ac:dyDescent="0.25"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30"/>
      <c r="W1558" s="30"/>
      <c r="X1558" s="30"/>
      <c r="Y1558" s="30"/>
      <c r="Z1558" s="30"/>
      <c r="AA1558" s="30"/>
      <c r="AB1558" s="30"/>
      <c r="AC1558" s="30"/>
      <c r="AD1558" s="30"/>
      <c r="AE1558" s="30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30"/>
      <c r="AQ1558" s="30"/>
      <c r="AR1558" s="30"/>
      <c r="AS1558" s="30"/>
      <c r="AT1558" s="30"/>
      <c r="AU1558" s="30"/>
      <c r="AV1558" s="30"/>
      <c r="AW1558" s="30"/>
      <c r="AX1558" s="30"/>
      <c r="AY1558" s="30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30"/>
      <c r="BK1558" s="30"/>
      <c r="BL1558" s="30"/>
      <c r="BM1558" s="30"/>
      <c r="BN1558" s="30"/>
      <c r="BO1558" s="30"/>
      <c r="BP1558" s="30"/>
      <c r="BQ1558" s="30"/>
      <c r="BR1558" s="30"/>
      <c r="BS1558" s="30"/>
      <c r="BT1558" s="1"/>
      <c r="BU1558" s="1"/>
      <c r="BV1558" s="1"/>
      <c r="BW1558" s="1"/>
      <c r="BX1558" s="1"/>
      <c r="BY1558" s="1"/>
      <c r="BZ1558" s="1"/>
      <c r="CA1558" s="1"/>
      <c r="CB1558" s="1"/>
      <c r="CC1558" s="1"/>
      <c r="CD1558" s="30"/>
      <c r="CE1558" s="30"/>
      <c r="CF1558" s="30"/>
      <c r="CG1558" s="30"/>
      <c r="CH1558" s="30"/>
      <c r="CI1558" s="30"/>
      <c r="CJ1558" s="30"/>
      <c r="CK1558" s="30"/>
      <c r="CL1558" s="30"/>
      <c r="CM1558" s="30"/>
      <c r="CN1558" s="1"/>
      <c r="CO1558" s="1"/>
      <c r="CP1558" s="1"/>
      <c r="CQ1558" s="1"/>
      <c r="CR1558" s="1"/>
      <c r="CS1558" s="1"/>
      <c r="CT1558" s="1"/>
      <c r="CU1558" s="1"/>
      <c r="CV1558" s="1"/>
      <c r="CW1558" s="1"/>
    </row>
    <row r="1559" spans="2:101" ht="15" hidden="1" customHeight="1" x14ac:dyDescent="0.25"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30"/>
      <c r="W1559" s="30"/>
      <c r="X1559" s="30"/>
      <c r="Y1559" s="30"/>
      <c r="Z1559" s="30"/>
      <c r="AA1559" s="30"/>
      <c r="AB1559" s="30"/>
      <c r="AC1559" s="30"/>
      <c r="AD1559" s="30"/>
      <c r="AE1559" s="30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30"/>
      <c r="AQ1559" s="30"/>
      <c r="AR1559" s="30"/>
      <c r="AS1559" s="30"/>
      <c r="AT1559" s="30"/>
      <c r="AU1559" s="30"/>
      <c r="AV1559" s="30"/>
      <c r="AW1559" s="30"/>
      <c r="AX1559" s="30"/>
      <c r="AY1559" s="30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30"/>
      <c r="BK1559" s="30"/>
      <c r="BL1559" s="30"/>
      <c r="BM1559" s="30"/>
      <c r="BN1559" s="30"/>
      <c r="BO1559" s="30"/>
      <c r="BP1559" s="30"/>
      <c r="BQ1559" s="30"/>
      <c r="BR1559" s="30"/>
      <c r="BS1559" s="30"/>
      <c r="BT1559" s="1"/>
      <c r="BU1559" s="1"/>
      <c r="BV1559" s="1"/>
      <c r="BW1559" s="1"/>
      <c r="BX1559" s="1"/>
      <c r="BY1559" s="1"/>
      <c r="BZ1559" s="1"/>
      <c r="CA1559" s="1"/>
      <c r="CB1559" s="1"/>
      <c r="CC1559" s="1"/>
      <c r="CD1559" s="30"/>
      <c r="CE1559" s="30"/>
      <c r="CF1559" s="30"/>
      <c r="CG1559" s="30"/>
      <c r="CH1559" s="30"/>
      <c r="CI1559" s="30"/>
      <c r="CJ1559" s="30"/>
      <c r="CK1559" s="30"/>
      <c r="CL1559" s="30"/>
      <c r="CM1559" s="30"/>
      <c r="CN1559" s="1"/>
      <c r="CO1559" s="1"/>
      <c r="CP1559" s="1"/>
      <c r="CQ1559" s="1"/>
      <c r="CR1559" s="1"/>
      <c r="CS1559" s="1"/>
      <c r="CT1559" s="1"/>
      <c r="CU1559" s="1"/>
      <c r="CV1559" s="1"/>
      <c r="CW1559" s="1"/>
    </row>
    <row r="1560" spans="2:101" ht="15" hidden="1" customHeight="1" x14ac:dyDescent="0.25"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30"/>
      <c r="W1560" s="30"/>
      <c r="X1560" s="30"/>
      <c r="Y1560" s="30"/>
      <c r="Z1560" s="30"/>
      <c r="AA1560" s="30"/>
      <c r="AB1560" s="30"/>
      <c r="AC1560" s="30"/>
      <c r="AD1560" s="30"/>
      <c r="AE1560" s="30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30"/>
      <c r="AQ1560" s="30"/>
      <c r="AR1560" s="30"/>
      <c r="AS1560" s="30"/>
      <c r="AT1560" s="30"/>
      <c r="AU1560" s="30"/>
      <c r="AV1560" s="30"/>
      <c r="AW1560" s="30"/>
      <c r="AX1560" s="30"/>
      <c r="AY1560" s="30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30"/>
      <c r="BK1560" s="30"/>
      <c r="BL1560" s="30"/>
      <c r="BM1560" s="30"/>
      <c r="BN1560" s="30"/>
      <c r="BO1560" s="30"/>
      <c r="BP1560" s="30"/>
      <c r="BQ1560" s="30"/>
      <c r="BR1560" s="30"/>
      <c r="BS1560" s="30"/>
      <c r="BT1560" s="1"/>
      <c r="BU1560" s="1"/>
      <c r="BV1560" s="1"/>
      <c r="BW1560" s="1"/>
      <c r="BX1560" s="1"/>
      <c r="BY1560" s="1"/>
      <c r="BZ1560" s="1"/>
      <c r="CA1560" s="1"/>
      <c r="CB1560" s="1"/>
      <c r="CC1560" s="1"/>
      <c r="CD1560" s="30"/>
      <c r="CE1560" s="30"/>
      <c r="CF1560" s="30"/>
      <c r="CG1560" s="30"/>
      <c r="CH1560" s="30"/>
      <c r="CI1560" s="30"/>
      <c r="CJ1560" s="30"/>
      <c r="CK1560" s="30"/>
      <c r="CL1560" s="30"/>
      <c r="CM1560" s="30"/>
      <c r="CN1560" s="1"/>
      <c r="CO1560" s="1"/>
      <c r="CP1560" s="1"/>
      <c r="CQ1560" s="1"/>
      <c r="CR1560" s="1"/>
      <c r="CS1560" s="1"/>
      <c r="CT1560" s="1"/>
      <c r="CU1560" s="1"/>
      <c r="CV1560" s="1"/>
      <c r="CW1560" s="1"/>
    </row>
    <row r="1561" spans="2:101" ht="15" hidden="1" customHeight="1" x14ac:dyDescent="0.25"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30"/>
      <c r="AQ1561" s="30"/>
      <c r="AR1561" s="30"/>
      <c r="AS1561" s="30"/>
      <c r="AT1561" s="30"/>
      <c r="AU1561" s="30"/>
      <c r="AV1561" s="30"/>
      <c r="AW1561" s="30"/>
      <c r="AX1561" s="30"/>
      <c r="AY1561" s="30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30"/>
      <c r="BK1561" s="30"/>
      <c r="BL1561" s="30"/>
      <c r="BM1561" s="30"/>
      <c r="BN1561" s="30"/>
      <c r="BO1561" s="30"/>
      <c r="BP1561" s="30"/>
      <c r="BQ1561" s="30"/>
      <c r="BR1561" s="30"/>
      <c r="BS1561" s="30"/>
      <c r="BT1561" s="1"/>
      <c r="BU1561" s="1"/>
      <c r="BV1561" s="1"/>
      <c r="BW1561" s="1"/>
      <c r="BX1561" s="1"/>
      <c r="BY1561" s="1"/>
      <c r="BZ1561" s="1"/>
      <c r="CA1561" s="1"/>
      <c r="CB1561" s="1"/>
      <c r="CC1561" s="1"/>
      <c r="CD1561" s="30"/>
      <c r="CE1561" s="30"/>
      <c r="CF1561" s="30"/>
      <c r="CG1561" s="30"/>
      <c r="CH1561" s="30"/>
      <c r="CI1561" s="30"/>
      <c r="CJ1561" s="30"/>
      <c r="CK1561" s="30"/>
      <c r="CL1561" s="30"/>
      <c r="CM1561" s="30"/>
      <c r="CN1561" s="1"/>
      <c r="CO1561" s="1"/>
      <c r="CP1561" s="1"/>
      <c r="CQ1561" s="1"/>
      <c r="CR1561" s="1"/>
      <c r="CS1561" s="1"/>
      <c r="CT1561" s="1"/>
      <c r="CU1561" s="1"/>
      <c r="CV1561" s="1"/>
      <c r="CW1561" s="1"/>
    </row>
    <row r="1562" spans="2:101" ht="15" hidden="1" customHeight="1" x14ac:dyDescent="0.25"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30"/>
      <c r="W1562" s="30"/>
      <c r="X1562" s="30"/>
      <c r="Y1562" s="30"/>
      <c r="Z1562" s="30"/>
      <c r="AA1562" s="30"/>
      <c r="AB1562" s="30"/>
      <c r="AC1562" s="30"/>
      <c r="AD1562" s="30"/>
      <c r="AE1562" s="30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30"/>
      <c r="AQ1562" s="30"/>
      <c r="AR1562" s="30"/>
      <c r="AS1562" s="30"/>
      <c r="AT1562" s="30"/>
      <c r="AU1562" s="30"/>
      <c r="AV1562" s="30"/>
      <c r="AW1562" s="30"/>
      <c r="AX1562" s="30"/>
      <c r="AY1562" s="30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30"/>
      <c r="BK1562" s="30"/>
      <c r="BL1562" s="30"/>
      <c r="BM1562" s="30"/>
      <c r="BN1562" s="30"/>
      <c r="BO1562" s="30"/>
      <c r="BP1562" s="30"/>
      <c r="BQ1562" s="30"/>
      <c r="BR1562" s="30"/>
      <c r="BS1562" s="30"/>
      <c r="BT1562" s="1"/>
      <c r="BU1562" s="1"/>
      <c r="BV1562" s="1"/>
      <c r="BW1562" s="1"/>
      <c r="BX1562" s="1"/>
      <c r="BY1562" s="1"/>
      <c r="BZ1562" s="1"/>
      <c r="CA1562" s="1"/>
      <c r="CB1562" s="1"/>
      <c r="CC1562" s="1"/>
      <c r="CD1562" s="30"/>
      <c r="CE1562" s="30"/>
      <c r="CF1562" s="30"/>
      <c r="CG1562" s="30"/>
      <c r="CH1562" s="30"/>
      <c r="CI1562" s="30"/>
      <c r="CJ1562" s="30"/>
      <c r="CK1562" s="30"/>
      <c r="CL1562" s="30"/>
      <c r="CM1562" s="30"/>
      <c r="CN1562" s="1"/>
      <c r="CO1562" s="1"/>
      <c r="CP1562" s="1"/>
      <c r="CQ1562" s="1"/>
      <c r="CR1562" s="1"/>
      <c r="CS1562" s="1"/>
      <c r="CT1562" s="1"/>
      <c r="CU1562" s="1"/>
      <c r="CV1562" s="1"/>
      <c r="CW1562" s="1"/>
    </row>
    <row r="1563" spans="2:101" ht="15" hidden="1" customHeight="1" x14ac:dyDescent="0.25"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30"/>
      <c r="W1563" s="30"/>
      <c r="X1563" s="30"/>
      <c r="Y1563" s="30"/>
      <c r="Z1563" s="30"/>
      <c r="AA1563" s="30"/>
      <c r="AB1563" s="30"/>
      <c r="AC1563" s="30"/>
      <c r="AD1563" s="30"/>
      <c r="AE1563" s="30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30"/>
      <c r="AQ1563" s="30"/>
      <c r="AR1563" s="30"/>
      <c r="AS1563" s="30"/>
      <c r="AT1563" s="30"/>
      <c r="AU1563" s="30"/>
      <c r="AV1563" s="30"/>
      <c r="AW1563" s="30"/>
      <c r="AX1563" s="30"/>
      <c r="AY1563" s="30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30"/>
      <c r="BK1563" s="30"/>
      <c r="BL1563" s="30"/>
      <c r="BM1563" s="30"/>
      <c r="BN1563" s="30"/>
      <c r="BO1563" s="30"/>
      <c r="BP1563" s="30"/>
      <c r="BQ1563" s="30"/>
      <c r="BR1563" s="30"/>
      <c r="BS1563" s="30"/>
      <c r="BT1563" s="1"/>
      <c r="BU1563" s="1"/>
      <c r="BV1563" s="1"/>
      <c r="BW1563" s="1"/>
      <c r="BX1563" s="1"/>
      <c r="BY1563" s="1"/>
      <c r="BZ1563" s="1"/>
      <c r="CA1563" s="1"/>
      <c r="CB1563" s="1"/>
      <c r="CC1563" s="1"/>
      <c r="CD1563" s="30"/>
      <c r="CE1563" s="30"/>
      <c r="CF1563" s="30"/>
      <c r="CG1563" s="30"/>
      <c r="CH1563" s="30"/>
      <c r="CI1563" s="30"/>
      <c r="CJ1563" s="30"/>
      <c r="CK1563" s="30"/>
      <c r="CL1563" s="30"/>
      <c r="CM1563" s="30"/>
      <c r="CN1563" s="1"/>
      <c r="CO1563" s="1"/>
      <c r="CP1563" s="1"/>
      <c r="CQ1563" s="1"/>
      <c r="CR1563" s="1"/>
      <c r="CS1563" s="1"/>
      <c r="CT1563" s="1"/>
      <c r="CU1563" s="1"/>
      <c r="CV1563" s="1"/>
      <c r="CW1563" s="1"/>
    </row>
    <row r="1564" spans="2:101" ht="15" hidden="1" customHeight="1" x14ac:dyDescent="0.25"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30"/>
      <c r="W1564" s="30"/>
      <c r="X1564" s="30"/>
      <c r="Y1564" s="30"/>
      <c r="Z1564" s="30"/>
      <c r="AA1564" s="30"/>
      <c r="AB1564" s="30"/>
      <c r="AC1564" s="30"/>
      <c r="AD1564" s="30"/>
      <c r="AE1564" s="30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30"/>
      <c r="AQ1564" s="30"/>
      <c r="AR1564" s="30"/>
      <c r="AS1564" s="30"/>
      <c r="AT1564" s="30"/>
      <c r="AU1564" s="30"/>
      <c r="AV1564" s="30"/>
      <c r="AW1564" s="30"/>
      <c r="AX1564" s="30"/>
      <c r="AY1564" s="30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30"/>
      <c r="BK1564" s="30"/>
      <c r="BL1564" s="30"/>
      <c r="BM1564" s="30"/>
      <c r="BN1564" s="30"/>
      <c r="BO1564" s="30"/>
      <c r="BP1564" s="30"/>
      <c r="BQ1564" s="30"/>
      <c r="BR1564" s="30"/>
      <c r="BS1564" s="30"/>
      <c r="BT1564" s="1"/>
      <c r="BU1564" s="1"/>
      <c r="BV1564" s="1"/>
      <c r="BW1564" s="1"/>
      <c r="BX1564" s="1"/>
      <c r="BY1564" s="1"/>
      <c r="BZ1564" s="1"/>
      <c r="CA1564" s="1"/>
      <c r="CB1564" s="1"/>
      <c r="CC1564" s="1"/>
      <c r="CD1564" s="30"/>
      <c r="CE1564" s="30"/>
      <c r="CF1564" s="30"/>
      <c r="CG1564" s="30"/>
      <c r="CH1564" s="30"/>
      <c r="CI1564" s="30"/>
      <c r="CJ1564" s="30"/>
      <c r="CK1564" s="30"/>
      <c r="CL1564" s="30"/>
      <c r="CM1564" s="30"/>
      <c r="CN1564" s="1"/>
      <c r="CO1564" s="1"/>
      <c r="CP1564" s="1"/>
      <c r="CQ1564" s="1"/>
      <c r="CR1564" s="1"/>
      <c r="CS1564" s="1"/>
      <c r="CT1564" s="1"/>
      <c r="CU1564" s="1"/>
      <c r="CV1564" s="1"/>
      <c r="CW1564" s="1"/>
    </row>
    <row r="1565" spans="2:101" ht="15" hidden="1" customHeight="1" x14ac:dyDescent="0.25"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30"/>
      <c r="W1565" s="30"/>
      <c r="X1565" s="30"/>
      <c r="Y1565" s="30"/>
      <c r="Z1565" s="30"/>
      <c r="AA1565" s="30"/>
      <c r="AB1565" s="30"/>
      <c r="AC1565" s="30"/>
      <c r="AD1565" s="30"/>
      <c r="AE1565" s="30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30"/>
      <c r="AQ1565" s="30"/>
      <c r="AR1565" s="30"/>
      <c r="AS1565" s="30"/>
      <c r="AT1565" s="30"/>
      <c r="AU1565" s="30"/>
      <c r="AV1565" s="30"/>
      <c r="AW1565" s="30"/>
      <c r="AX1565" s="30"/>
      <c r="AY1565" s="30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30"/>
      <c r="BK1565" s="30"/>
      <c r="BL1565" s="30"/>
      <c r="BM1565" s="30"/>
      <c r="BN1565" s="30"/>
      <c r="BO1565" s="30"/>
      <c r="BP1565" s="30"/>
      <c r="BQ1565" s="30"/>
      <c r="BR1565" s="30"/>
      <c r="BS1565" s="30"/>
      <c r="BT1565" s="1"/>
      <c r="BU1565" s="1"/>
      <c r="BV1565" s="1"/>
      <c r="BW1565" s="1"/>
      <c r="BX1565" s="1"/>
      <c r="BY1565" s="1"/>
      <c r="BZ1565" s="1"/>
      <c r="CA1565" s="1"/>
      <c r="CB1565" s="1"/>
      <c r="CC1565" s="1"/>
      <c r="CD1565" s="30"/>
      <c r="CE1565" s="30"/>
      <c r="CF1565" s="30"/>
      <c r="CG1565" s="30"/>
      <c r="CH1565" s="30"/>
      <c r="CI1565" s="30"/>
      <c r="CJ1565" s="30"/>
      <c r="CK1565" s="30"/>
      <c r="CL1565" s="30"/>
      <c r="CM1565" s="30"/>
      <c r="CN1565" s="1"/>
      <c r="CO1565" s="1"/>
      <c r="CP1565" s="1"/>
      <c r="CQ1565" s="1"/>
      <c r="CR1565" s="1"/>
      <c r="CS1565" s="1"/>
      <c r="CT1565" s="1"/>
      <c r="CU1565" s="1"/>
      <c r="CV1565" s="1"/>
      <c r="CW1565" s="1"/>
    </row>
    <row r="1566" spans="2:101" ht="15" hidden="1" customHeight="1" x14ac:dyDescent="0.25"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30"/>
      <c r="W1566" s="30"/>
      <c r="X1566" s="30"/>
      <c r="Y1566" s="30"/>
      <c r="Z1566" s="30"/>
      <c r="AA1566" s="30"/>
      <c r="AB1566" s="30"/>
      <c r="AC1566" s="30"/>
      <c r="AD1566" s="30"/>
      <c r="AE1566" s="30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30"/>
      <c r="AQ1566" s="30"/>
      <c r="AR1566" s="30"/>
      <c r="AS1566" s="30"/>
      <c r="AT1566" s="30"/>
      <c r="AU1566" s="30"/>
      <c r="AV1566" s="30"/>
      <c r="AW1566" s="30"/>
      <c r="AX1566" s="30"/>
      <c r="AY1566" s="30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30"/>
      <c r="BK1566" s="30"/>
      <c r="BL1566" s="30"/>
      <c r="BM1566" s="30"/>
      <c r="BN1566" s="30"/>
      <c r="BO1566" s="30"/>
      <c r="BP1566" s="30"/>
      <c r="BQ1566" s="30"/>
      <c r="BR1566" s="30"/>
      <c r="BS1566" s="30"/>
      <c r="BT1566" s="1"/>
      <c r="BU1566" s="1"/>
      <c r="BV1566" s="1"/>
      <c r="BW1566" s="1"/>
      <c r="BX1566" s="1"/>
      <c r="BY1566" s="1"/>
      <c r="BZ1566" s="1"/>
      <c r="CA1566" s="1"/>
      <c r="CB1566" s="1"/>
      <c r="CC1566" s="1"/>
      <c r="CD1566" s="30"/>
      <c r="CE1566" s="30"/>
      <c r="CF1566" s="30"/>
      <c r="CG1566" s="30"/>
      <c r="CH1566" s="30"/>
      <c r="CI1566" s="30"/>
      <c r="CJ1566" s="30"/>
      <c r="CK1566" s="30"/>
      <c r="CL1566" s="30"/>
      <c r="CM1566" s="30"/>
      <c r="CN1566" s="1"/>
      <c r="CO1566" s="1"/>
      <c r="CP1566" s="1"/>
      <c r="CQ1566" s="1"/>
      <c r="CR1566" s="1"/>
      <c r="CS1566" s="1"/>
      <c r="CT1566" s="1"/>
      <c r="CU1566" s="1"/>
      <c r="CV1566" s="1"/>
      <c r="CW1566" s="1"/>
    </row>
    <row r="1567" spans="2:101" ht="15" hidden="1" customHeight="1" x14ac:dyDescent="0.25"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30"/>
      <c r="W1567" s="30"/>
      <c r="X1567" s="30"/>
      <c r="Y1567" s="30"/>
      <c r="Z1567" s="30"/>
      <c r="AA1567" s="30"/>
      <c r="AB1567" s="30"/>
      <c r="AC1567" s="30"/>
      <c r="AD1567" s="30"/>
      <c r="AE1567" s="30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30"/>
      <c r="AQ1567" s="30"/>
      <c r="AR1567" s="30"/>
      <c r="AS1567" s="30"/>
      <c r="AT1567" s="30"/>
      <c r="AU1567" s="30"/>
      <c r="AV1567" s="30"/>
      <c r="AW1567" s="30"/>
      <c r="AX1567" s="30"/>
      <c r="AY1567" s="30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30"/>
      <c r="BK1567" s="30"/>
      <c r="BL1567" s="30"/>
      <c r="BM1567" s="30"/>
      <c r="BN1567" s="30"/>
      <c r="BO1567" s="30"/>
      <c r="BP1567" s="30"/>
      <c r="BQ1567" s="30"/>
      <c r="BR1567" s="30"/>
      <c r="BS1567" s="30"/>
      <c r="BT1567" s="1"/>
      <c r="BU1567" s="1"/>
      <c r="BV1567" s="1"/>
      <c r="BW1567" s="1"/>
      <c r="BX1567" s="1"/>
      <c r="BY1567" s="1"/>
      <c r="BZ1567" s="1"/>
      <c r="CA1567" s="1"/>
      <c r="CB1567" s="1"/>
      <c r="CC1567" s="1"/>
      <c r="CD1567" s="30"/>
      <c r="CE1567" s="30"/>
      <c r="CF1567" s="30"/>
      <c r="CG1567" s="30"/>
      <c r="CH1567" s="30"/>
      <c r="CI1567" s="30"/>
      <c r="CJ1567" s="30"/>
      <c r="CK1567" s="30"/>
      <c r="CL1567" s="30"/>
      <c r="CM1567" s="30"/>
      <c r="CN1567" s="1"/>
      <c r="CO1567" s="1"/>
      <c r="CP1567" s="1"/>
      <c r="CQ1567" s="1"/>
      <c r="CR1567" s="1"/>
      <c r="CS1567" s="1"/>
      <c r="CT1567" s="1"/>
      <c r="CU1567" s="1"/>
      <c r="CV1567" s="1"/>
      <c r="CW1567" s="1"/>
    </row>
    <row r="1568" spans="2:101" ht="15" hidden="1" customHeight="1" x14ac:dyDescent="0.25"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30"/>
      <c r="W1568" s="30"/>
      <c r="X1568" s="30"/>
      <c r="Y1568" s="30"/>
      <c r="Z1568" s="30"/>
      <c r="AA1568" s="30"/>
      <c r="AB1568" s="30"/>
      <c r="AC1568" s="30"/>
      <c r="AD1568" s="30"/>
      <c r="AE1568" s="30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30"/>
      <c r="AQ1568" s="30"/>
      <c r="AR1568" s="30"/>
      <c r="AS1568" s="30"/>
      <c r="AT1568" s="30"/>
      <c r="AU1568" s="30"/>
      <c r="AV1568" s="30"/>
      <c r="AW1568" s="30"/>
      <c r="AX1568" s="30"/>
      <c r="AY1568" s="30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30"/>
      <c r="BK1568" s="30"/>
      <c r="BL1568" s="30"/>
      <c r="BM1568" s="30"/>
      <c r="BN1568" s="30"/>
      <c r="BO1568" s="30"/>
      <c r="BP1568" s="30"/>
      <c r="BQ1568" s="30"/>
      <c r="BR1568" s="30"/>
      <c r="BS1568" s="30"/>
      <c r="BT1568" s="1"/>
      <c r="BU1568" s="1"/>
      <c r="BV1568" s="1"/>
      <c r="BW1568" s="1"/>
      <c r="BX1568" s="1"/>
      <c r="BY1568" s="1"/>
      <c r="BZ1568" s="1"/>
      <c r="CA1568" s="1"/>
      <c r="CB1568" s="1"/>
      <c r="CC1568" s="1"/>
      <c r="CD1568" s="30"/>
      <c r="CE1568" s="30"/>
      <c r="CF1568" s="30"/>
      <c r="CG1568" s="30"/>
      <c r="CH1568" s="30"/>
      <c r="CI1568" s="30"/>
      <c r="CJ1568" s="30"/>
      <c r="CK1568" s="30"/>
      <c r="CL1568" s="30"/>
      <c r="CM1568" s="30"/>
      <c r="CN1568" s="1"/>
      <c r="CO1568" s="1"/>
      <c r="CP1568" s="1"/>
      <c r="CQ1568" s="1"/>
      <c r="CR1568" s="1"/>
      <c r="CS1568" s="1"/>
      <c r="CT1568" s="1"/>
      <c r="CU1568" s="1"/>
      <c r="CV1568" s="1"/>
      <c r="CW1568" s="1"/>
    </row>
    <row r="1569" spans="2:101" ht="15" hidden="1" customHeight="1" x14ac:dyDescent="0.25"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30"/>
      <c r="W1569" s="30"/>
      <c r="X1569" s="30"/>
      <c r="Y1569" s="30"/>
      <c r="Z1569" s="30"/>
      <c r="AA1569" s="30"/>
      <c r="AB1569" s="30"/>
      <c r="AC1569" s="30"/>
      <c r="AD1569" s="30"/>
      <c r="AE1569" s="30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30"/>
      <c r="AQ1569" s="30"/>
      <c r="AR1569" s="30"/>
      <c r="AS1569" s="30"/>
      <c r="AT1569" s="30"/>
      <c r="AU1569" s="30"/>
      <c r="AV1569" s="30"/>
      <c r="AW1569" s="30"/>
      <c r="AX1569" s="30"/>
      <c r="AY1569" s="30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30"/>
      <c r="BK1569" s="30"/>
      <c r="BL1569" s="30"/>
      <c r="BM1569" s="30"/>
      <c r="BN1569" s="30"/>
      <c r="BO1569" s="30"/>
      <c r="BP1569" s="30"/>
      <c r="BQ1569" s="30"/>
      <c r="BR1569" s="30"/>
      <c r="BS1569" s="30"/>
      <c r="BT1569" s="1"/>
      <c r="BU1569" s="1"/>
      <c r="BV1569" s="1"/>
      <c r="BW1569" s="1"/>
      <c r="BX1569" s="1"/>
      <c r="BY1569" s="1"/>
      <c r="BZ1569" s="1"/>
      <c r="CA1569" s="1"/>
      <c r="CB1569" s="1"/>
      <c r="CC1569" s="1"/>
      <c r="CD1569" s="30"/>
      <c r="CE1569" s="30"/>
      <c r="CF1569" s="30"/>
      <c r="CG1569" s="30"/>
      <c r="CH1569" s="30"/>
      <c r="CI1569" s="30"/>
      <c r="CJ1569" s="30"/>
      <c r="CK1569" s="30"/>
      <c r="CL1569" s="30"/>
      <c r="CM1569" s="30"/>
      <c r="CN1569" s="1"/>
      <c r="CO1569" s="1"/>
      <c r="CP1569" s="1"/>
      <c r="CQ1569" s="1"/>
      <c r="CR1569" s="1"/>
      <c r="CS1569" s="1"/>
      <c r="CT1569" s="1"/>
      <c r="CU1569" s="1"/>
      <c r="CV1569" s="1"/>
      <c r="CW1569" s="1"/>
    </row>
    <row r="1570" spans="2:101" ht="15" hidden="1" customHeight="1" x14ac:dyDescent="0.25"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30"/>
      <c r="AQ1570" s="30"/>
      <c r="AR1570" s="30"/>
      <c r="AS1570" s="30"/>
      <c r="AT1570" s="30"/>
      <c r="AU1570" s="30"/>
      <c r="AV1570" s="30"/>
      <c r="AW1570" s="30"/>
      <c r="AX1570" s="30"/>
      <c r="AY1570" s="30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30"/>
      <c r="BK1570" s="30"/>
      <c r="BL1570" s="30"/>
      <c r="BM1570" s="30"/>
      <c r="BN1570" s="30"/>
      <c r="BO1570" s="30"/>
      <c r="BP1570" s="30"/>
      <c r="BQ1570" s="30"/>
      <c r="BR1570" s="30"/>
      <c r="BS1570" s="30"/>
      <c r="BT1570" s="1"/>
      <c r="BU1570" s="1"/>
      <c r="BV1570" s="1"/>
      <c r="BW1570" s="1"/>
      <c r="BX1570" s="1"/>
      <c r="BY1570" s="1"/>
      <c r="BZ1570" s="1"/>
      <c r="CA1570" s="1"/>
      <c r="CB1570" s="1"/>
      <c r="CC1570" s="1"/>
      <c r="CD1570" s="30"/>
      <c r="CE1570" s="30"/>
      <c r="CF1570" s="30"/>
      <c r="CG1570" s="30"/>
      <c r="CH1570" s="30"/>
      <c r="CI1570" s="30"/>
      <c r="CJ1570" s="30"/>
      <c r="CK1570" s="30"/>
      <c r="CL1570" s="30"/>
      <c r="CM1570" s="30"/>
      <c r="CN1570" s="1"/>
      <c r="CO1570" s="1"/>
      <c r="CP1570" s="1"/>
      <c r="CQ1570" s="1"/>
      <c r="CR1570" s="1"/>
      <c r="CS1570" s="1"/>
      <c r="CT1570" s="1"/>
      <c r="CU1570" s="1"/>
      <c r="CV1570" s="1"/>
      <c r="CW1570" s="1"/>
    </row>
    <row r="1571" spans="2:101" ht="15" hidden="1" customHeight="1" x14ac:dyDescent="0.25"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30"/>
      <c r="W1571" s="30"/>
      <c r="X1571" s="30"/>
      <c r="Y1571" s="30"/>
      <c r="Z1571" s="30"/>
      <c r="AA1571" s="30"/>
      <c r="AB1571" s="30"/>
      <c r="AC1571" s="30"/>
      <c r="AD1571" s="30"/>
      <c r="AE1571" s="30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30"/>
      <c r="AQ1571" s="30"/>
      <c r="AR1571" s="30"/>
      <c r="AS1571" s="30"/>
      <c r="AT1571" s="30"/>
      <c r="AU1571" s="30"/>
      <c r="AV1571" s="30"/>
      <c r="AW1571" s="30"/>
      <c r="AX1571" s="30"/>
      <c r="AY1571" s="30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30"/>
      <c r="BK1571" s="30"/>
      <c r="BL1571" s="30"/>
      <c r="BM1571" s="30"/>
      <c r="BN1571" s="30"/>
      <c r="BO1571" s="30"/>
      <c r="BP1571" s="30"/>
      <c r="BQ1571" s="30"/>
      <c r="BR1571" s="30"/>
      <c r="BS1571" s="30"/>
      <c r="BT1571" s="1"/>
      <c r="BU1571" s="1"/>
      <c r="BV1571" s="1"/>
      <c r="BW1571" s="1"/>
      <c r="BX1571" s="1"/>
      <c r="BY1571" s="1"/>
      <c r="BZ1571" s="1"/>
      <c r="CA1571" s="1"/>
      <c r="CB1571" s="1"/>
      <c r="CC1571" s="1"/>
      <c r="CD1571" s="30"/>
      <c r="CE1571" s="30"/>
      <c r="CF1571" s="30"/>
      <c r="CG1571" s="30"/>
      <c r="CH1571" s="30"/>
      <c r="CI1571" s="30"/>
      <c r="CJ1571" s="30"/>
      <c r="CK1571" s="30"/>
      <c r="CL1571" s="30"/>
      <c r="CM1571" s="30"/>
      <c r="CN1571" s="1"/>
      <c r="CO1571" s="1"/>
      <c r="CP1571" s="1"/>
      <c r="CQ1571" s="1"/>
      <c r="CR1571" s="1"/>
      <c r="CS1571" s="1"/>
      <c r="CT1571" s="1"/>
      <c r="CU1571" s="1"/>
      <c r="CV1571" s="1"/>
      <c r="CW1571" s="1"/>
    </row>
    <row r="1572" spans="2:101" ht="15" hidden="1" customHeight="1" x14ac:dyDescent="0.25"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30"/>
      <c r="W1572" s="30"/>
      <c r="X1572" s="30"/>
      <c r="Y1572" s="30"/>
      <c r="Z1572" s="30"/>
      <c r="AA1572" s="30"/>
      <c r="AB1572" s="30"/>
      <c r="AC1572" s="30"/>
      <c r="AD1572" s="30"/>
      <c r="AE1572" s="30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30"/>
      <c r="AQ1572" s="30"/>
      <c r="AR1572" s="30"/>
      <c r="AS1572" s="30"/>
      <c r="AT1572" s="30"/>
      <c r="AU1572" s="30"/>
      <c r="AV1572" s="30"/>
      <c r="AW1572" s="30"/>
      <c r="AX1572" s="30"/>
      <c r="AY1572" s="30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30"/>
      <c r="BK1572" s="30"/>
      <c r="BL1572" s="30"/>
      <c r="BM1572" s="30"/>
      <c r="BN1572" s="30"/>
      <c r="BO1572" s="30"/>
      <c r="BP1572" s="30"/>
      <c r="BQ1572" s="30"/>
      <c r="BR1572" s="30"/>
      <c r="BS1572" s="30"/>
      <c r="BT1572" s="1"/>
      <c r="BU1572" s="1"/>
      <c r="BV1572" s="1"/>
      <c r="BW1572" s="1"/>
      <c r="BX1572" s="1"/>
      <c r="BY1572" s="1"/>
      <c r="BZ1572" s="1"/>
      <c r="CA1572" s="1"/>
      <c r="CB1572" s="1"/>
      <c r="CC1572" s="1"/>
      <c r="CD1572" s="30"/>
      <c r="CE1572" s="30"/>
      <c r="CF1572" s="30"/>
      <c r="CG1572" s="30"/>
      <c r="CH1572" s="30"/>
      <c r="CI1572" s="30"/>
      <c r="CJ1572" s="30"/>
      <c r="CK1572" s="30"/>
      <c r="CL1572" s="30"/>
      <c r="CM1572" s="30"/>
      <c r="CN1572" s="1"/>
      <c r="CO1572" s="1"/>
      <c r="CP1572" s="1"/>
      <c r="CQ1572" s="1"/>
      <c r="CR1572" s="1"/>
      <c r="CS1572" s="1"/>
      <c r="CT1572" s="1"/>
      <c r="CU1572" s="1"/>
      <c r="CV1572" s="1"/>
      <c r="CW1572" s="1"/>
    </row>
    <row r="1573" spans="2:101" ht="15" hidden="1" customHeight="1" x14ac:dyDescent="0.25"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30"/>
      <c r="W1573" s="30"/>
      <c r="X1573" s="30"/>
      <c r="Y1573" s="30"/>
      <c r="Z1573" s="30"/>
      <c r="AA1573" s="30"/>
      <c r="AB1573" s="30"/>
      <c r="AC1573" s="30"/>
      <c r="AD1573" s="30"/>
      <c r="AE1573" s="30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30"/>
      <c r="AQ1573" s="30"/>
      <c r="AR1573" s="30"/>
      <c r="AS1573" s="30"/>
      <c r="AT1573" s="30"/>
      <c r="AU1573" s="30"/>
      <c r="AV1573" s="30"/>
      <c r="AW1573" s="30"/>
      <c r="AX1573" s="30"/>
      <c r="AY1573" s="30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30"/>
      <c r="BK1573" s="30"/>
      <c r="BL1573" s="30"/>
      <c r="BM1573" s="30"/>
      <c r="BN1573" s="30"/>
      <c r="BO1573" s="30"/>
      <c r="BP1573" s="30"/>
      <c r="BQ1573" s="30"/>
      <c r="BR1573" s="30"/>
      <c r="BS1573" s="30"/>
      <c r="BT1573" s="1"/>
      <c r="BU1573" s="1"/>
      <c r="BV1573" s="1"/>
      <c r="BW1573" s="1"/>
      <c r="BX1573" s="1"/>
      <c r="BY1573" s="1"/>
      <c r="BZ1573" s="1"/>
      <c r="CA1573" s="1"/>
      <c r="CB1573" s="1"/>
      <c r="CC1573" s="1"/>
      <c r="CD1573" s="30"/>
      <c r="CE1573" s="30"/>
      <c r="CF1573" s="30"/>
      <c r="CG1573" s="30"/>
      <c r="CH1573" s="30"/>
      <c r="CI1573" s="30"/>
      <c r="CJ1573" s="30"/>
      <c r="CK1573" s="30"/>
      <c r="CL1573" s="30"/>
      <c r="CM1573" s="30"/>
      <c r="CN1573" s="1"/>
      <c r="CO1573" s="1"/>
      <c r="CP1573" s="1"/>
      <c r="CQ1573" s="1"/>
      <c r="CR1573" s="1"/>
      <c r="CS1573" s="1"/>
      <c r="CT1573" s="1"/>
      <c r="CU1573" s="1"/>
      <c r="CV1573" s="1"/>
      <c r="CW1573" s="1"/>
    </row>
    <row r="1574" spans="2:101" ht="15" hidden="1" customHeight="1" x14ac:dyDescent="0.25"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30"/>
      <c r="W1574" s="30"/>
      <c r="X1574" s="30"/>
      <c r="Y1574" s="30"/>
      <c r="Z1574" s="30"/>
      <c r="AA1574" s="30"/>
      <c r="AB1574" s="30"/>
      <c r="AC1574" s="30"/>
      <c r="AD1574" s="30"/>
      <c r="AE1574" s="30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30"/>
      <c r="AQ1574" s="30"/>
      <c r="AR1574" s="30"/>
      <c r="AS1574" s="30"/>
      <c r="AT1574" s="30"/>
      <c r="AU1574" s="30"/>
      <c r="AV1574" s="30"/>
      <c r="AW1574" s="30"/>
      <c r="AX1574" s="30"/>
      <c r="AY1574" s="30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30"/>
      <c r="BK1574" s="30"/>
      <c r="BL1574" s="30"/>
      <c r="BM1574" s="30"/>
      <c r="BN1574" s="30"/>
      <c r="BO1574" s="30"/>
      <c r="BP1574" s="30"/>
      <c r="BQ1574" s="30"/>
      <c r="BR1574" s="30"/>
      <c r="BS1574" s="30"/>
      <c r="BT1574" s="1"/>
      <c r="BU1574" s="1"/>
      <c r="BV1574" s="1"/>
      <c r="BW1574" s="1"/>
      <c r="BX1574" s="1"/>
      <c r="BY1574" s="1"/>
      <c r="BZ1574" s="1"/>
      <c r="CA1574" s="1"/>
      <c r="CB1574" s="1"/>
      <c r="CC1574" s="1"/>
      <c r="CD1574" s="30"/>
      <c r="CE1574" s="30"/>
      <c r="CF1574" s="30"/>
      <c r="CG1574" s="30"/>
      <c r="CH1574" s="30"/>
      <c r="CI1574" s="30"/>
      <c r="CJ1574" s="30"/>
      <c r="CK1574" s="30"/>
      <c r="CL1574" s="30"/>
      <c r="CM1574" s="30"/>
      <c r="CN1574" s="1"/>
      <c r="CO1574" s="1"/>
      <c r="CP1574" s="1"/>
      <c r="CQ1574" s="1"/>
      <c r="CR1574" s="1"/>
      <c r="CS1574" s="1"/>
      <c r="CT1574" s="1"/>
      <c r="CU1574" s="1"/>
      <c r="CV1574" s="1"/>
      <c r="CW1574" s="1"/>
    </row>
    <row r="1575" spans="2:101" ht="15" hidden="1" customHeight="1" x14ac:dyDescent="0.25"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30"/>
      <c r="AQ1575" s="30"/>
      <c r="AR1575" s="30"/>
      <c r="AS1575" s="30"/>
      <c r="AT1575" s="30"/>
      <c r="AU1575" s="30"/>
      <c r="AV1575" s="30"/>
      <c r="AW1575" s="30"/>
      <c r="AX1575" s="30"/>
      <c r="AY1575" s="30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30"/>
      <c r="BK1575" s="30"/>
      <c r="BL1575" s="30"/>
      <c r="BM1575" s="30"/>
      <c r="BN1575" s="30"/>
      <c r="BO1575" s="30"/>
      <c r="BP1575" s="30"/>
      <c r="BQ1575" s="30"/>
      <c r="BR1575" s="30"/>
      <c r="BS1575" s="30"/>
      <c r="BT1575" s="1"/>
      <c r="BU1575" s="1"/>
      <c r="BV1575" s="1"/>
      <c r="BW1575" s="1"/>
      <c r="BX1575" s="1"/>
      <c r="BY1575" s="1"/>
      <c r="BZ1575" s="1"/>
      <c r="CA1575" s="1"/>
      <c r="CB1575" s="1"/>
      <c r="CC1575" s="1"/>
      <c r="CD1575" s="30"/>
      <c r="CE1575" s="30"/>
      <c r="CF1575" s="30"/>
      <c r="CG1575" s="30"/>
      <c r="CH1575" s="30"/>
      <c r="CI1575" s="30"/>
      <c r="CJ1575" s="30"/>
      <c r="CK1575" s="30"/>
      <c r="CL1575" s="30"/>
      <c r="CM1575" s="30"/>
      <c r="CN1575" s="1"/>
      <c r="CO1575" s="1"/>
      <c r="CP1575" s="1"/>
      <c r="CQ1575" s="1"/>
      <c r="CR1575" s="1"/>
      <c r="CS1575" s="1"/>
      <c r="CT1575" s="1"/>
      <c r="CU1575" s="1"/>
      <c r="CV1575" s="1"/>
      <c r="CW1575" s="1"/>
    </row>
    <row r="1576" spans="2:101" ht="15" hidden="1" customHeight="1" x14ac:dyDescent="0.25"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30"/>
      <c r="W1576" s="30"/>
      <c r="X1576" s="30"/>
      <c r="Y1576" s="30"/>
      <c r="Z1576" s="30"/>
      <c r="AA1576" s="30"/>
      <c r="AB1576" s="30"/>
      <c r="AC1576" s="30"/>
      <c r="AD1576" s="30"/>
      <c r="AE1576" s="30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30"/>
      <c r="AQ1576" s="30"/>
      <c r="AR1576" s="30"/>
      <c r="AS1576" s="30"/>
      <c r="AT1576" s="30"/>
      <c r="AU1576" s="30"/>
      <c r="AV1576" s="30"/>
      <c r="AW1576" s="30"/>
      <c r="AX1576" s="30"/>
      <c r="AY1576" s="30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30"/>
      <c r="BK1576" s="30"/>
      <c r="BL1576" s="30"/>
      <c r="BM1576" s="30"/>
      <c r="BN1576" s="30"/>
      <c r="BO1576" s="30"/>
      <c r="BP1576" s="30"/>
      <c r="BQ1576" s="30"/>
      <c r="BR1576" s="30"/>
      <c r="BS1576" s="30"/>
      <c r="BT1576" s="1"/>
      <c r="BU1576" s="1"/>
      <c r="BV1576" s="1"/>
      <c r="BW1576" s="1"/>
      <c r="BX1576" s="1"/>
      <c r="BY1576" s="1"/>
      <c r="BZ1576" s="1"/>
      <c r="CA1576" s="1"/>
      <c r="CB1576" s="1"/>
      <c r="CC1576" s="1"/>
      <c r="CD1576" s="30"/>
      <c r="CE1576" s="30"/>
      <c r="CF1576" s="30"/>
      <c r="CG1576" s="30"/>
      <c r="CH1576" s="30"/>
      <c r="CI1576" s="30"/>
      <c r="CJ1576" s="30"/>
      <c r="CK1576" s="30"/>
      <c r="CL1576" s="30"/>
      <c r="CM1576" s="30"/>
      <c r="CN1576" s="1"/>
      <c r="CO1576" s="1"/>
      <c r="CP1576" s="1"/>
      <c r="CQ1576" s="1"/>
      <c r="CR1576" s="1"/>
      <c r="CS1576" s="1"/>
      <c r="CT1576" s="1"/>
      <c r="CU1576" s="1"/>
      <c r="CV1576" s="1"/>
      <c r="CW1576" s="1"/>
    </row>
    <row r="1577" spans="2:101" ht="15" hidden="1" customHeight="1" x14ac:dyDescent="0.25"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30"/>
      <c r="W1577" s="30"/>
      <c r="X1577" s="30"/>
      <c r="Y1577" s="30"/>
      <c r="Z1577" s="30"/>
      <c r="AA1577" s="30"/>
      <c r="AB1577" s="30"/>
      <c r="AC1577" s="30"/>
      <c r="AD1577" s="30"/>
      <c r="AE1577" s="30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30"/>
      <c r="AQ1577" s="30"/>
      <c r="AR1577" s="30"/>
      <c r="AS1577" s="30"/>
      <c r="AT1577" s="30"/>
      <c r="AU1577" s="30"/>
      <c r="AV1577" s="30"/>
      <c r="AW1577" s="30"/>
      <c r="AX1577" s="30"/>
      <c r="AY1577" s="30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30"/>
      <c r="BK1577" s="30"/>
      <c r="BL1577" s="30"/>
      <c r="BM1577" s="30"/>
      <c r="BN1577" s="30"/>
      <c r="BO1577" s="30"/>
      <c r="BP1577" s="30"/>
      <c r="BQ1577" s="30"/>
      <c r="BR1577" s="30"/>
      <c r="BS1577" s="30"/>
      <c r="BT1577" s="1"/>
      <c r="BU1577" s="1"/>
      <c r="BV1577" s="1"/>
      <c r="BW1577" s="1"/>
      <c r="BX1577" s="1"/>
      <c r="BY1577" s="1"/>
      <c r="BZ1577" s="1"/>
      <c r="CA1577" s="1"/>
      <c r="CB1577" s="1"/>
      <c r="CC1577" s="1"/>
      <c r="CD1577" s="30"/>
      <c r="CE1577" s="30"/>
      <c r="CF1577" s="30"/>
      <c r="CG1577" s="30"/>
      <c r="CH1577" s="30"/>
      <c r="CI1577" s="30"/>
      <c r="CJ1577" s="30"/>
      <c r="CK1577" s="30"/>
      <c r="CL1577" s="30"/>
      <c r="CM1577" s="30"/>
      <c r="CN1577" s="1"/>
      <c r="CO1577" s="1"/>
      <c r="CP1577" s="1"/>
      <c r="CQ1577" s="1"/>
      <c r="CR1577" s="1"/>
      <c r="CS1577" s="1"/>
      <c r="CT1577" s="1"/>
      <c r="CU1577" s="1"/>
      <c r="CV1577" s="1"/>
      <c r="CW1577" s="1"/>
    </row>
    <row r="1578" spans="2:101" ht="15" hidden="1" customHeight="1" x14ac:dyDescent="0.25"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30"/>
      <c r="W1578" s="30"/>
      <c r="X1578" s="30"/>
      <c r="Y1578" s="30"/>
      <c r="Z1578" s="30"/>
      <c r="AA1578" s="30"/>
      <c r="AB1578" s="30"/>
      <c r="AC1578" s="30"/>
      <c r="AD1578" s="30"/>
      <c r="AE1578" s="30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30"/>
      <c r="AQ1578" s="30"/>
      <c r="AR1578" s="30"/>
      <c r="AS1578" s="30"/>
      <c r="AT1578" s="30"/>
      <c r="AU1578" s="30"/>
      <c r="AV1578" s="30"/>
      <c r="AW1578" s="30"/>
      <c r="AX1578" s="30"/>
      <c r="AY1578" s="30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30"/>
      <c r="BK1578" s="30"/>
      <c r="BL1578" s="30"/>
      <c r="BM1578" s="30"/>
      <c r="BN1578" s="30"/>
      <c r="BO1578" s="30"/>
      <c r="BP1578" s="30"/>
      <c r="BQ1578" s="30"/>
      <c r="BR1578" s="30"/>
      <c r="BS1578" s="30"/>
      <c r="BT1578" s="1"/>
      <c r="BU1578" s="1"/>
      <c r="BV1578" s="1"/>
      <c r="BW1578" s="1"/>
      <c r="BX1578" s="1"/>
      <c r="BY1578" s="1"/>
      <c r="BZ1578" s="1"/>
      <c r="CA1578" s="1"/>
      <c r="CB1578" s="1"/>
      <c r="CC1578" s="1"/>
      <c r="CD1578" s="30"/>
      <c r="CE1578" s="30"/>
      <c r="CF1578" s="30"/>
      <c r="CG1578" s="30"/>
      <c r="CH1578" s="30"/>
      <c r="CI1578" s="30"/>
      <c r="CJ1578" s="30"/>
      <c r="CK1578" s="30"/>
      <c r="CL1578" s="30"/>
      <c r="CM1578" s="30"/>
      <c r="CN1578" s="1"/>
      <c r="CO1578" s="1"/>
      <c r="CP1578" s="1"/>
      <c r="CQ1578" s="1"/>
      <c r="CR1578" s="1"/>
      <c r="CS1578" s="1"/>
      <c r="CT1578" s="1"/>
      <c r="CU1578" s="1"/>
      <c r="CV1578" s="1"/>
      <c r="CW1578" s="1"/>
    </row>
    <row r="1579" spans="2:101" ht="15" hidden="1" customHeight="1" x14ac:dyDescent="0.25"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30"/>
      <c r="W1579" s="30"/>
      <c r="X1579" s="30"/>
      <c r="Y1579" s="30"/>
      <c r="Z1579" s="30"/>
      <c r="AA1579" s="30"/>
      <c r="AB1579" s="30"/>
      <c r="AC1579" s="30"/>
      <c r="AD1579" s="30"/>
      <c r="AE1579" s="30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30"/>
      <c r="AQ1579" s="30"/>
      <c r="AR1579" s="30"/>
      <c r="AS1579" s="30"/>
      <c r="AT1579" s="30"/>
      <c r="AU1579" s="30"/>
      <c r="AV1579" s="30"/>
      <c r="AW1579" s="30"/>
      <c r="AX1579" s="30"/>
      <c r="AY1579" s="30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30"/>
      <c r="BK1579" s="30"/>
      <c r="BL1579" s="30"/>
      <c r="BM1579" s="30"/>
      <c r="BN1579" s="30"/>
      <c r="BO1579" s="30"/>
      <c r="BP1579" s="30"/>
      <c r="BQ1579" s="30"/>
      <c r="BR1579" s="30"/>
      <c r="BS1579" s="30"/>
      <c r="BT1579" s="1"/>
      <c r="BU1579" s="1"/>
      <c r="BV1579" s="1"/>
      <c r="BW1579" s="1"/>
      <c r="BX1579" s="1"/>
      <c r="BY1579" s="1"/>
      <c r="BZ1579" s="1"/>
      <c r="CA1579" s="1"/>
      <c r="CB1579" s="1"/>
      <c r="CC1579" s="1"/>
      <c r="CD1579" s="30"/>
      <c r="CE1579" s="30"/>
      <c r="CF1579" s="30"/>
      <c r="CG1579" s="30"/>
      <c r="CH1579" s="30"/>
      <c r="CI1579" s="30"/>
      <c r="CJ1579" s="30"/>
      <c r="CK1579" s="30"/>
      <c r="CL1579" s="30"/>
      <c r="CM1579" s="30"/>
      <c r="CN1579" s="1"/>
      <c r="CO1579" s="1"/>
      <c r="CP1579" s="1"/>
      <c r="CQ1579" s="1"/>
      <c r="CR1579" s="1"/>
      <c r="CS1579" s="1"/>
      <c r="CT1579" s="1"/>
      <c r="CU1579" s="1"/>
      <c r="CV1579" s="1"/>
      <c r="CW1579" s="1"/>
    </row>
    <row r="1580" spans="2:101" ht="15" hidden="1" customHeight="1" x14ac:dyDescent="0.25"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30"/>
      <c r="W1580" s="30"/>
      <c r="X1580" s="30"/>
      <c r="Y1580" s="30"/>
      <c r="Z1580" s="30"/>
      <c r="AA1580" s="30"/>
      <c r="AB1580" s="30"/>
      <c r="AC1580" s="30"/>
      <c r="AD1580" s="30"/>
      <c r="AE1580" s="30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30"/>
      <c r="AQ1580" s="30"/>
      <c r="AR1580" s="30"/>
      <c r="AS1580" s="30"/>
      <c r="AT1580" s="30"/>
      <c r="AU1580" s="30"/>
      <c r="AV1580" s="30"/>
      <c r="AW1580" s="30"/>
      <c r="AX1580" s="30"/>
      <c r="AY1580" s="30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30"/>
      <c r="BK1580" s="30"/>
      <c r="BL1580" s="30"/>
      <c r="BM1580" s="30"/>
      <c r="BN1580" s="30"/>
      <c r="BO1580" s="30"/>
      <c r="BP1580" s="30"/>
      <c r="BQ1580" s="30"/>
      <c r="BR1580" s="30"/>
      <c r="BS1580" s="30"/>
      <c r="BT1580" s="1"/>
      <c r="BU1580" s="1"/>
      <c r="BV1580" s="1"/>
      <c r="BW1580" s="1"/>
      <c r="BX1580" s="1"/>
      <c r="BY1580" s="1"/>
      <c r="BZ1580" s="1"/>
      <c r="CA1580" s="1"/>
      <c r="CB1580" s="1"/>
      <c r="CC1580" s="1"/>
      <c r="CD1580" s="30"/>
      <c r="CE1580" s="30"/>
      <c r="CF1580" s="30"/>
      <c r="CG1580" s="30"/>
      <c r="CH1580" s="30"/>
      <c r="CI1580" s="30"/>
      <c r="CJ1580" s="30"/>
      <c r="CK1580" s="30"/>
      <c r="CL1580" s="30"/>
      <c r="CM1580" s="30"/>
      <c r="CN1580" s="1"/>
      <c r="CO1580" s="1"/>
      <c r="CP1580" s="1"/>
      <c r="CQ1580" s="1"/>
      <c r="CR1580" s="1"/>
      <c r="CS1580" s="1"/>
      <c r="CT1580" s="1"/>
      <c r="CU1580" s="1"/>
      <c r="CV1580" s="1"/>
      <c r="CW1580" s="1"/>
    </row>
    <row r="1581" spans="2:101" ht="15" hidden="1" customHeight="1" x14ac:dyDescent="0.25"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30"/>
      <c r="W1581" s="30"/>
      <c r="X1581" s="30"/>
      <c r="Y1581" s="30"/>
      <c r="Z1581" s="30"/>
      <c r="AA1581" s="30"/>
      <c r="AB1581" s="30"/>
      <c r="AC1581" s="30"/>
      <c r="AD1581" s="30"/>
      <c r="AE1581" s="30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30"/>
      <c r="AQ1581" s="30"/>
      <c r="AR1581" s="30"/>
      <c r="AS1581" s="30"/>
      <c r="AT1581" s="30"/>
      <c r="AU1581" s="30"/>
      <c r="AV1581" s="30"/>
      <c r="AW1581" s="30"/>
      <c r="AX1581" s="30"/>
      <c r="AY1581" s="30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30"/>
      <c r="BK1581" s="30"/>
      <c r="BL1581" s="30"/>
      <c r="BM1581" s="30"/>
      <c r="BN1581" s="30"/>
      <c r="BO1581" s="30"/>
      <c r="BP1581" s="30"/>
      <c r="BQ1581" s="30"/>
      <c r="BR1581" s="30"/>
      <c r="BS1581" s="30"/>
      <c r="BT1581" s="1"/>
      <c r="BU1581" s="1"/>
      <c r="BV1581" s="1"/>
      <c r="BW1581" s="1"/>
      <c r="BX1581" s="1"/>
      <c r="BY1581" s="1"/>
      <c r="BZ1581" s="1"/>
      <c r="CA1581" s="1"/>
      <c r="CB1581" s="1"/>
      <c r="CC1581" s="1"/>
      <c r="CD1581" s="30"/>
      <c r="CE1581" s="30"/>
      <c r="CF1581" s="30"/>
      <c r="CG1581" s="30"/>
      <c r="CH1581" s="30"/>
      <c r="CI1581" s="30"/>
      <c r="CJ1581" s="30"/>
      <c r="CK1581" s="30"/>
      <c r="CL1581" s="30"/>
      <c r="CM1581" s="30"/>
      <c r="CN1581" s="1"/>
      <c r="CO1581" s="1"/>
      <c r="CP1581" s="1"/>
      <c r="CQ1581" s="1"/>
      <c r="CR1581" s="1"/>
      <c r="CS1581" s="1"/>
      <c r="CT1581" s="1"/>
      <c r="CU1581" s="1"/>
      <c r="CV1581" s="1"/>
      <c r="CW1581" s="1"/>
    </row>
    <row r="1582" spans="2:101" ht="15" hidden="1" customHeight="1" x14ac:dyDescent="0.25"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30"/>
      <c r="W1582" s="30"/>
      <c r="X1582" s="30"/>
      <c r="Y1582" s="30"/>
      <c r="Z1582" s="30"/>
      <c r="AA1582" s="30"/>
      <c r="AB1582" s="30"/>
      <c r="AC1582" s="30"/>
      <c r="AD1582" s="30"/>
      <c r="AE1582" s="30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30"/>
      <c r="AQ1582" s="30"/>
      <c r="AR1582" s="30"/>
      <c r="AS1582" s="30"/>
      <c r="AT1582" s="30"/>
      <c r="AU1582" s="30"/>
      <c r="AV1582" s="30"/>
      <c r="AW1582" s="30"/>
      <c r="AX1582" s="30"/>
      <c r="AY1582" s="30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30"/>
      <c r="BK1582" s="30"/>
      <c r="BL1582" s="30"/>
      <c r="BM1582" s="30"/>
      <c r="BN1582" s="30"/>
      <c r="BO1582" s="30"/>
      <c r="BP1582" s="30"/>
      <c r="BQ1582" s="30"/>
      <c r="BR1582" s="30"/>
      <c r="BS1582" s="30"/>
      <c r="BT1582" s="1"/>
      <c r="BU1582" s="1"/>
      <c r="BV1582" s="1"/>
      <c r="BW1582" s="1"/>
      <c r="BX1582" s="1"/>
      <c r="BY1582" s="1"/>
      <c r="BZ1582" s="1"/>
      <c r="CA1582" s="1"/>
      <c r="CB1582" s="1"/>
      <c r="CC1582" s="1"/>
      <c r="CD1582" s="30"/>
      <c r="CE1582" s="30"/>
      <c r="CF1582" s="30"/>
      <c r="CG1582" s="30"/>
      <c r="CH1582" s="30"/>
      <c r="CI1582" s="30"/>
      <c r="CJ1582" s="30"/>
      <c r="CK1582" s="30"/>
      <c r="CL1582" s="30"/>
      <c r="CM1582" s="30"/>
      <c r="CN1582" s="1"/>
      <c r="CO1582" s="1"/>
      <c r="CP1582" s="1"/>
      <c r="CQ1582" s="1"/>
      <c r="CR1582" s="1"/>
      <c r="CS1582" s="1"/>
      <c r="CT1582" s="1"/>
      <c r="CU1582" s="1"/>
      <c r="CV1582" s="1"/>
      <c r="CW1582" s="1"/>
    </row>
    <row r="1583" spans="2:101" ht="15" hidden="1" customHeight="1" x14ac:dyDescent="0.25"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30"/>
      <c r="W1583" s="30"/>
      <c r="X1583" s="30"/>
      <c r="Y1583" s="30"/>
      <c r="Z1583" s="30"/>
      <c r="AA1583" s="30"/>
      <c r="AB1583" s="30"/>
      <c r="AC1583" s="30"/>
      <c r="AD1583" s="30"/>
      <c r="AE1583" s="30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30"/>
      <c r="AQ1583" s="30"/>
      <c r="AR1583" s="30"/>
      <c r="AS1583" s="30"/>
      <c r="AT1583" s="30"/>
      <c r="AU1583" s="30"/>
      <c r="AV1583" s="30"/>
      <c r="AW1583" s="30"/>
      <c r="AX1583" s="30"/>
      <c r="AY1583" s="30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30"/>
      <c r="BK1583" s="30"/>
      <c r="BL1583" s="30"/>
      <c r="BM1583" s="30"/>
      <c r="BN1583" s="30"/>
      <c r="BO1583" s="30"/>
      <c r="BP1583" s="30"/>
      <c r="BQ1583" s="30"/>
      <c r="BR1583" s="30"/>
      <c r="BS1583" s="30"/>
      <c r="BT1583" s="1"/>
      <c r="BU1583" s="1"/>
      <c r="BV1583" s="1"/>
      <c r="BW1583" s="1"/>
      <c r="BX1583" s="1"/>
      <c r="BY1583" s="1"/>
      <c r="BZ1583" s="1"/>
      <c r="CA1583" s="1"/>
      <c r="CB1583" s="1"/>
      <c r="CC1583" s="1"/>
      <c r="CD1583" s="30"/>
      <c r="CE1583" s="30"/>
      <c r="CF1583" s="30"/>
      <c r="CG1583" s="30"/>
      <c r="CH1583" s="30"/>
      <c r="CI1583" s="30"/>
      <c r="CJ1583" s="30"/>
      <c r="CK1583" s="30"/>
      <c r="CL1583" s="30"/>
      <c r="CM1583" s="30"/>
      <c r="CN1583" s="1"/>
      <c r="CO1583" s="1"/>
      <c r="CP1583" s="1"/>
      <c r="CQ1583" s="1"/>
      <c r="CR1583" s="1"/>
      <c r="CS1583" s="1"/>
      <c r="CT1583" s="1"/>
      <c r="CU1583" s="1"/>
      <c r="CV1583" s="1"/>
      <c r="CW1583" s="1"/>
    </row>
    <row r="1584" spans="2:101" ht="15" hidden="1" customHeight="1" x14ac:dyDescent="0.25"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30"/>
      <c r="W1584" s="30"/>
      <c r="X1584" s="30"/>
      <c r="Y1584" s="30"/>
      <c r="Z1584" s="30"/>
      <c r="AA1584" s="30"/>
      <c r="AB1584" s="30"/>
      <c r="AC1584" s="30"/>
      <c r="AD1584" s="30"/>
      <c r="AE1584" s="30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30"/>
      <c r="AQ1584" s="30"/>
      <c r="AR1584" s="30"/>
      <c r="AS1584" s="30"/>
      <c r="AT1584" s="30"/>
      <c r="AU1584" s="30"/>
      <c r="AV1584" s="30"/>
      <c r="AW1584" s="30"/>
      <c r="AX1584" s="30"/>
      <c r="AY1584" s="30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30"/>
      <c r="BK1584" s="30"/>
      <c r="BL1584" s="30"/>
      <c r="BM1584" s="30"/>
      <c r="BN1584" s="30"/>
      <c r="BO1584" s="30"/>
      <c r="BP1584" s="30"/>
      <c r="BQ1584" s="30"/>
      <c r="BR1584" s="30"/>
      <c r="BS1584" s="30"/>
      <c r="BT1584" s="1"/>
      <c r="BU1584" s="1"/>
      <c r="BV1584" s="1"/>
      <c r="BW1584" s="1"/>
      <c r="BX1584" s="1"/>
      <c r="BY1584" s="1"/>
      <c r="BZ1584" s="1"/>
      <c r="CA1584" s="1"/>
      <c r="CB1584" s="1"/>
      <c r="CC1584" s="1"/>
      <c r="CD1584" s="30"/>
      <c r="CE1584" s="30"/>
      <c r="CF1584" s="30"/>
      <c r="CG1584" s="30"/>
      <c r="CH1584" s="30"/>
      <c r="CI1584" s="30"/>
      <c r="CJ1584" s="30"/>
      <c r="CK1584" s="30"/>
      <c r="CL1584" s="30"/>
      <c r="CM1584" s="30"/>
      <c r="CN1584" s="1"/>
      <c r="CO1584" s="1"/>
      <c r="CP1584" s="1"/>
      <c r="CQ1584" s="1"/>
      <c r="CR1584" s="1"/>
      <c r="CS1584" s="1"/>
      <c r="CT1584" s="1"/>
      <c r="CU1584" s="1"/>
      <c r="CV1584" s="1"/>
      <c r="CW1584" s="1"/>
    </row>
    <row r="1585" spans="2:101" ht="15" hidden="1" customHeight="1" x14ac:dyDescent="0.25"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30"/>
      <c r="W1585" s="30"/>
      <c r="X1585" s="30"/>
      <c r="Y1585" s="30"/>
      <c r="Z1585" s="30"/>
      <c r="AA1585" s="30"/>
      <c r="AB1585" s="30"/>
      <c r="AC1585" s="30"/>
      <c r="AD1585" s="30"/>
      <c r="AE1585" s="30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30"/>
      <c r="AQ1585" s="30"/>
      <c r="AR1585" s="30"/>
      <c r="AS1585" s="30"/>
      <c r="AT1585" s="30"/>
      <c r="AU1585" s="30"/>
      <c r="AV1585" s="30"/>
      <c r="AW1585" s="30"/>
      <c r="AX1585" s="30"/>
      <c r="AY1585" s="30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30"/>
      <c r="BK1585" s="30"/>
      <c r="BL1585" s="30"/>
      <c r="BM1585" s="30"/>
      <c r="BN1585" s="30"/>
      <c r="BO1585" s="30"/>
      <c r="BP1585" s="30"/>
      <c r="BQ1585" s="30"/>
      <c r="BR1585" s="30"/>
      <c r="BS1585" s="30"/>
      <c r="BT1585" s="1"/>
      <c r="BU1585" s="1"/>
      <c r="BV1585" s="1"/>
      <c r="BW1585" s="1"/>
      <c r="BX1585" s="1"/>
      <c r="BY1585" s="1"/>
      <c r="BZ1585" s="1"/>
      <c r="CA1585" s="1"/>
      <c r="CB1585" s="1"/>
      <c r="CC1585" s="1"/>
      <c r="CD1585" s="30"/>
      <c r="CE1585" s="30"/>
      <c r="CF1585" s="30"/>
      <c r="CG1585" s="30"/>
      <c r="CH1585" s="30"/>
      <c r="CI1585" s="30"/>
      <c r="CJ1585" s="30"/>
      <c r="CK1585" s="30"/>
      <c r="CL1585" s="30"/>
      <c r="CM1585" s="30"/>
      <c r="CN1585" s="1"/>
      <c r="CO1585" s="1"/>
      <c r="CP1585" s="1"/>
      <c r="CQ1585" s="1"/>
      <c r="CR1585" s="1"/>
      <c r="CS1585" s="1"/>
      <c r="CT1585" s="1"/>
      <c r="CU1585" s="1"/>
      <c r="CV1585" s="1"/>
      <c r="CW1585" s="1"/>
    </row>
    <row r="1586" spans="2:101" ht="15" hidden="1" customHeight="1" x14ac:dyDescent="0.25"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30"/>
      <c r="W1586" s="30"/>
      <c r="X1586" s="30"/>
      <c r="Y1586" s="30"/>
      <c r="Z1586" s="30"/>
      <c r="AA1586" s="30"/>
      <c r="AB1586" s="30"/>
      <c r="AC1586" s="30"/>
      <c r="AD1586" s="30"/>
      <c r="AE1586" s="30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30"/>
      <c r="AQ1586" s="30"/>
      <c r="AR1586" s="30"/>
      <c r="AS1586" s="30"/>
      <c r="AT1586" s="30"/>
      <c r="AU1586" s="30"/>
      <c r="AV1586" s="30"/>
      <c r="AW1586" s="30"/>
      <c r="AX1586" s="30"/>
      <c r="AY1586" s="30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30"/>
      <c r="BK1586" s="30"/>
      <c r="BL1586" s="30"/>
      <c r="BM1586" s="30"/>
      <c r="BN1586" s="30"/>
      <c r="BO1586" s="30"/>
      <c r="BP1586" s="30"/>
      <c r="BQ1586" s="30"/>
      <c r="BR1586" s="30"/>
      <c r="BS1586" s="30"/>
      <c r="BT1586" s="1"/>
      <c r="BU1586" s="1"/>
      <c r="BV1586" s="1"/>
      <c r="BW1586" s="1"/>
      <c r="BX1586" s="1"/>
      <c r="BY1586" s="1"/>
      <c r="BZ1586" s="1"/>
      <c r="CA1586" s="1"/>
      <c r="CB1586" s="1"/>
      <c r="CC1586" s="1"/>
      <c r="CD1586" s="30"/>
      <c r="CE1586" s="30"/>
      <c r="CF1586" s="30"/>
      <c r="CG1586" s="30"/>
      <c r="CH1586" s="30"/>
      <c r="CI1586" s="30"/>
      <c r="CJ1586" s="30"/>
      <c r="CK1586" s="30"/>
      <c r="CL1586" s="30"/>
      <c r="CM1586" s="30"/>
      <c r="CN1586" s="1"/>
      <c r="CO1586" s="1"/>
      <c r="CP1586" s="1"/>
      <c r="CQ1586" s="1"/>
      <c r="CR1586" s="1"/>
      <c r="CS1586" s="1"/>
      <c r="CT1586" s="1"/>
      <c r="CU1586" s="1"/>
      <c r="CV1586" s="1"/>
      <c r="CW1586" s="1"/>
    </row>
    <row r="1587" spans="2:101" ht="15" hidden="1" customHeight="1" x14ac:dyDescent="0.25"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30"/>
      <c r="W1587" s="30"/>
      <c r="X1587" s="30"/>
      <c r="Y1587" s="30"/>
      <c r="Z1587" s="30"/>
      <c r="AA1587" s="30"/>
      <c r="AB1587" s="30"/>
      <c r="AC1587" s="30"/>
      <c r="AD1587" s="30"/>
      <c r="AE1587" s="30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30"/>
      <c r="AQ1587" s="30"/>
      <c r="AR1587" s="30"/>
      <c r="AS1587" s="30"/>
      <c r="AT1587" s="30"/>
      <c r="AU1587" s="30"/>
      <c r="AV1587" s="30"/>
      <c r="AW1587" s="30"/>
      <c r="AX1587" s="30"/>
      <c r="AY1587" s="30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30"/>
      <c r="BK1587" s="30"/>
      <c r="BL1587" s="30"/>
      <c r="BM1587" s="30"/>
      <c r="BN1587" s="30"/>
      <c r="BO1587" s="30"/>
      <c r="BP1587" s="30"/>
      <c r="BQ1587" s="30"/>
      <c r="BR1587" s="30"/>
      <c r="BS1587" s="30"/>
      <c r="BT1587" s="1"/>
      <c r="BU1587" s="1"/>
      <c r="BV1587" s="1"/>
      <c r="BW1587" s="1"/>
      <c r="BX1587" s="1"/>
      <c r="BY1587" s="1"/>
      <c r="BZ1587" s="1"/>
      <c r="CA1587" s="1"/>
      <c r="CB1587" s="1"/>
      <c r="CC1587" s="1"/>
      <c r="CD1587" s="30"/>
      <c r="CE1587" s="30"/>
      <c r="CF1587" s="30"/>
      <c r="CG1587" s="30"/>
      <c r="CH1587" s="30"/>
      <c r="CI1587" s="30"/>
      <c r="CJ1587" s="30"/>
      <c r="CK1587" s="30"/>
      <c r="CL1587" s="30"/>
      <c r="CM1587" s="30"/>
      <c r="CN1587" s="1"/>
      <c r="CO1587" s="1"/>
      <c r="CP1587" s="1"/>
      <c r="CQ1587" s="1"/>
      <c r="CR1587" s="1"/>
      <c r="CS1587" s="1"/>
      <c r="CT1587" s="1"/>
      <c r="CU1587" s="1"/>
      <c r="CV1587" s="1"/>
      <c r="CW1587" s="1"/>
    </row>
    <row r="1588" spans="2:101" ht="15" hidden="1" customHeight="1" x14ac:dyDescent="0.25"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30"/>
      <c r="W1588" s="30"/>
      <c r="X1588" s="30"/>
      <c r="Y1588" s="30"/>
      <c r="Z1588" s="30"/>
      <c r="AA1588" s="30"/>
      <c r="AB1588" s="30"/>
      <c r="AC1588" s="30"/>
      <c r="AD1588" s="30"/>
      <c r="AE1588" s="30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30"/>
      <c r="AQ1588" s="30"/>
      <c r="AR1588" s="30"/>
      <c r="AS1588" s="30"/>
      <c r="AT1588" s="30"/>
      <c r="AU1588" s="30"/>
      <c r="AV1588" s="30"/>
      <c r="AW1588" s="30"/>
      <c r="AX1588" s="30"/>
      <c r="AY1588" s="30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30"/>
      <c r="BK1588" s="30"/>
      <c r="BL1588" s="30"/>
      <c r="BM1588" s="30"/>
      <c r="BN1588" s="30"/>
      <c r="BO1588" s="30"/>
      <c r="BP1588" s="30"/>
      <c r="BQ1588" s="30"/>
      <c r="BR1588" s="30"/>
      <c r="BS1588" s="30"/>
      <c r="BT1588" s="1"/>
      <c r="BU1588" s="1"/>
      <c r="BV1588" s="1"/>
      <c r="BW1588" s="1"/>
      <c r="BX1588" s="1"/>
      <c r="BY1588" s="1"/>
      <c r="BZ1588" s="1"/>
      <c r="CA1588" s="1"/>
      <c r="CB1588" s="1"/>
      <c r="CC1588" s="1"/>
      <c r="CD1588" s="30"/>
      <c r="CE1588" s="30"/>
      <c r="CF1588" s="30"/>
      <c r="CG1588" s="30"/>
      <c r="CH1588" s="30"/>
      <c r="CI1588" s="30"/>
      <c r="CJ1588" s="30"/>
      <c r="CK1588" s="30"/>
      <c r="CL1588" s="30"/>
      <c r="CM1588" s="30"/>
      <c r="CN1588" s="1"/>
      <c r="CO1588" s="1"/>
      <c r="CP1588" s="1"/>
      <c r="CQ1588" s="1"/>
      <c r="CR1588" s="1"/>
      <c r="CS1588" s="1"/>
      <c r="CT1588" s="1"/>
      <c r="CU1588" s="1"/>
      <c r="CV1588" s="1"/>
      <c r="CW1588" s="1"/>
    </row>
    <row r="1589" spans="2:101" ht="15" hidden="1" customHeight="1" x14ac:dyDescent="0.25"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30"/>
      <c r="W1589" s="30"/>
      <c r="X1589" s="30"/>
      <c r="Y1589" s="30"/>
      <c r="Z1589" s="30"/>
      <c r="AA1589" s="30"/>
      <c r="AB1589" s="30"/>
      <c r="AC1589" s="30"/>
      <c r="AD1589" s="30"/>
      <c r="AE1589" s="30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30"/>
      <c r="AQ1589" s="30"/>
      <c r="AR1589" s="30"/>
      <c r="AS1589" s="30"/>
      <c r="AT1589" s="30"/>
      <c r="AU1589" s="30"/>
      <c r="AV1589" s="30"/>
      <c r="AW1589" s="30"/>
      <c r="AX1589" s="30"/>
      <c r="AY1589" s="30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30"/>
      <c r="BK1589" s="30"/>
      <c r="BL1589" s="30"/>
      <c r="BM1589" s="30"/>
      <c r="BN1589" s="30"/>
      <c r="BO1589" s="30"/>
      <c r="BP1589" s="30"/>
      <c r="BQ1589" s="30"/>
      <c r="BR1589" s="30"/>
      <c r="BS1589" s="30"/>
      <c r="BT1589" s="1"/>
      <c r="BU1589" s="1"/>
      <c r="BV1589" s="1"/>
      <c r="BW1589" s="1"/>
      <c r="BX1589" s="1"/>
      <c r="BY1589" s="1"/>
      <c r="BZ1589" s="1"/>
      <c r="CA1589" s="1"/>
      <c r="CB1589" s="1"/>
      <c r="CC1589" s="1"/>
      <c r="CD1589" s="30"/>
      <c r="CE1589" s="30"/>
      <c r="CF1589" s="30"/>
      <c r="CG1589" s="30"/>
      <c r="CH1589" s="30"/>
      <c r="CI1589" s="30"/>
      <c r="CJ1589" s="30"/>
      <c r="CK1589" s="30"/>
      <c r="CL1589" s="30"/>
      <c r="CM1589" s="30"/>
      <c r="CN1589" s="1"/>
      <c r="CO1589" s="1"/>
      <c r="CP1589" s="1"/>
      <c r="CQ1589" s="1"/>
      <c r="CR1589" s="1"/>
      <c r="CS1589" s="1"/>
      <c r="CT1589" s="1"/>
      <c r="CU1589" s="1"/>
      <c r="CV1589" s="1"/>
      <c r="CW1589" s="1"/>
    </row>
    <row r="1590" spans="2:101" ht="15" hidden="1" customHeight="1" x14ac:dyDescent="0.25"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30"/>
      <c r="W1590" s="30"/>
      <c r="X1590" s="30"/>
      <c r="Y1590" s="30"/>
      <c r="Z1590" s="30"/>
      <c r="AA1590" s="30"/>
      <c r="AB1590" s="30"/>
      <c r="AC1590" s="30"/>
      <c r="AD1590" s="30"/>
      <c r="AE1590" s="30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30"/>
      <c r="AQ1590" s="30"/>
      <c r="AR1590" s="30"/>
      <c r="AS1590" s="30"/>
      <c r="AT1590" s="30"/>
      <c r="AU1590" s="30"/>
      <c r="AV1590" s="30"/>
      <c r="AW1590" s="30"/>
      <c r="AX1590" s="30"/>
      <c r="AY1590" s="30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30"/>
      <c r="BK1590" s="30"/>
      <c r="BL1590" s="30"/>
      <c r="BM1590" s="30"/>
      <c r="BN1590" s="30"/>
      <c r="BO1590" s="30"/>
      <c r="BP1590" s="30"/>
      <c r="BQ1590" s="30"/>
      <c r="BR1590" s="30"/>
      <c r="BS1590" s="30"/>
      <c r="BT1590" s="1"/>
      <c r="BU1590" s="1"/>
      <c r="BV1590" s="1"/>
      <c r="BW1590" s="1"/>
      <c r="BX1590" s="1"/>
      <c r="BY1590" s="1"/>
      <c r="BZ1590" s="1"/>
      <c r="CA1590" s="1"/>
      <c r="CB1590" s="1"/>
      <c r="CC1590" s="1"/>
      <c r="CD1590" s="30"/>
      <c r="CE1590" s="30"/>
      <c r="CF1590" s="30"/>
      <c r="CG1590" s="30"/>
      <c r="CH1590" s="30"/>
      <c r="CI1590" s="30"/>
      <c r="CJ1590" s="30"/>
      <c r="CK1590" s="30"/>
      <c r="CL1590" s="30"/>
      <c r="CM1590" s="30"/>
      <c r="CN1590" s="1"/>
      <c r="CO1590" s="1"/>
      <c r="CP1590" s="1"/>
      <c r="CQ1590" s="1"/>
      <c r="CR1590" s="1"/>
      <c r="CS1590" s="1"/>
      <c r="CT1590" s="1"/>
      <c r="CU1590" s="1"/>
      <c r="CV1590" s="1"/>
      <c r="CW1590" s="1"/>
    </row>
    <row r="1591" spans="2:101" ht="15" hidden="1" customHeight="1" x14ac:dyDescent="0.25"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30"/>
      <c r="W1591" s="30"/>
      <c r="X1591" s="30"/>
      <c r="Y1591" s="30"/>
      <c r="Z1591" s="30"/>
      <c r="AA1591" s="30"/>
      <c r="AB1591" s="30"/>
      <c r="AC1591" s="30"/>
      <c r="AD1591" s="30"/>
      <c r="AE1591" s="30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30"/>
      <c r="AQ1591" s="30"/>
      <c r="AR1591" s="30"/>
      <c r="AS1591" s="30"/>
      <c r="AT1591" s="30"/>
      <c r="AU1591" s="30"/>
      <c r="AV1591" s="30"/>
      <c r="AW1591" s="30"/>
      <c r="AX1591" s="30"/>
      <c r="AY1591" s="30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30"/>
      <c r="BK1591" s="30"/>
      <c r="BL1591" s="30"/>
      <c r="BM1591" s="30"/>
      <c r="BN1591" s="30"/>
      <c r="BO1591" s="30"/>
      <c r="BP1591" s="30"/>
      <c r="BQ1591" s="30"/>
      <c r="BR1591" s="30"/>
      <c r="BS1591" s="30"/>
      <c r="BT1591" s="1"/>
      <c r="BU1591" s="1"/>
      <c r="BV1591" s="1"/>
      <c r="BW1591" s="1"/>
      <c r="BX1591" s="1"/>
      <c r="BY1591" s="1"/>
      <c r="BZ1591" s="1"/>
      <c r="CA1591" s="1"/>
      <c r="CB1591" s="1"/>
      <c r="CC1591" s="1"/>
      <c r="CD1591" s="30"/>
      <c r="CE1591" s="30"/>
      <c r="CF1591" s="30"/>
      <c r="CG1591" s="30"/>
      <c r="CH1591" s="30"/>
      <c r="CI1591" s="30"/>
      <c r="CJ1591" s="30"/>
      <c r="CK1591" s="30"/>
      <c r="CL1591" s="30"/>
      <c r="CM1591" s="30"/>
      <c r="CN1591" s="1"/>
      <c r="CO1591" s="1"/>
      <c r="CP1591" s="1"/>
      <c r="CQ1591" s="1"/>
      <c r="CR1591" s="1"/>
      <c r="CS1591" s="1"/>
      <c r="CT1591" s="1"/>
      <c r="CU1591" s="1"/>
      <c r="CV1591" s="1"/>
      <c r="CW1591" s="1"/>
    </row>
    <row r="1592" spans="2:101" ht="15" hidden="1" customHeight="1" x14ac:dyDescent="0.25"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30"/>
      <c r="W1592" s="30"/>
      <c r="X1592" s="30"/>
      <c r="Y1592" s="30"/>
      <c r="Z1592" s="30"/>
      <c r="AA1592" s="30"/>
      <c r="AB1592" s="30"/>
      <c r="AC1592" s="30"/>
      <c r="AD1592" s="30"/>
      <c r="AE1592" s="30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30"/>
      <c r="AQ1592" s="30"/>
      <c r="AR1592" s="30"/>
      <c r="AS1592" s="30"/>
      <c r="AT1592" s="30"/>
      <c r="AU1592" s="30"/>
      <c r="AV1592" s="30"/>
      <c r="AW1592" s="30"/>
      <c r="AX1592" s="30"/>
      <c r="AY1592" s="30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30"/>
      <c r="BK1592" s="30"/>
      <c r="BL1592" s="30"/>
      <c r="BM1592" s="30"/>
      <c r="BN1592" s="30"/>
      <c r="BO1592" s="30"/>
      <c r="BP1592" s="30"/>
      <c r="BQ1592" s="30"/>
      <c r="BR1592" s="30"/>
      <c r="BS1592" s="30"/>
      <c r="BT1592" s="1"/>
      <c r="BU1592" s="1"/>
      <c r="BV1592" s="1"/>
      <c r="BW1592" s="1"/>
      <c r="BX1592" s="1"/>
      <c r="BY1592" s="1"/>
      <c r="BZ1592" s="1"/>
      <c r="CA1592" s="1"/>
      <c r="CB1592" s="1"/>
      <c r="CC1592" s="1"/>
      <c r="CD1592" s="30"/>
      <c r="CE1592" s="30"/>
      <c r="CF1592" s="30"/>
      <c r="CG1592" s="30"/>
      <c r="CH1592" s="30"/>
      <c r="CI1592" s="30"/>
      <c r="CJ1592" s="30"/>
      <c r="CK1592" s="30"/>
      <c r="CL1592" s="30"/>
      <c r="CM1592" s="30"/>
      <c r="CN1592" s="1"/>
      <c r="CO1592" s="1"/>
      <c r="CP1592" s="1"/>
      <c r="CQ1592" s="1"/>
      <c r="CR1592" s="1"/>
      <c r="CS1592" s="1"/>
      <c r="CT1592" s="1"/>
      <c r="CU1592" s="1"/>
      <c r="CV1592" s="1"/>
      <c r="CW1592" s="1"/>
    </row>
    <row r="1593" spans="2:101" ht="15" hidden="1" customHeight="1" x14ac:dyDescent="0.25"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30"/>
      <c r="W1593" s="30"/>
      <c r="X1593" s="30"/>
      <c r="Y1593" s="30"/>
      <c r="Z1593" s="30"/>
      <c r="AA1593" s="30"/>
      <c r="AB1593" s="30"/>
      <c r="AC1593" s="30"/>
      <c r="AD1593" s="30"/>
      <c r="AE1593" s="30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30"/>
      <c r="AQ1593" s="30"/>
      <c r="AR1593" s="30"/>
      <c r="AS1593" s="30"/>
      <c r="AT1593" s="30"/>
      <c r="AU1593" s="30"/>
      <c r="AV1593" s="30"/>
      <c r="AW1593" s="30"/>
      <c r="AX1593" s="30"/>
      <c r="AY1593" s="30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30"/>
      <c r="BK1593" s="30"/>
      <c r="BL1593" s="30"/>
      <c r="BM1593" s="30"/>
      <c r="BN1593" s="30"/>
      <c r="BO1593" s="30"/>
      <c r="BP1593" s="30"/>
      <c r="BQ1593" s="30"/>
      <c r="BR1593" s="30"/>
      <c r="BS1593" s="30"/>
      <c r="BT1593" s="1"/>
      <c r="BU1593" s="1"/>
      <c r="BV1593" s="1"/>
      <c r="BW1593" s="1"/>
      <c r="BX1593" s="1"/>
      <c r="BY1593" s="1"/>
      <c r="BZ1593" s="1"/>
      <c r="CA1593" s="1"/>
      <c r="CB1593" s="1"/>
      <c r="CC1593" s="1"/>
      <c r="CD1593" s="30"/>
      <c r="CE1593" s="30"/>
      <c r="CF1593" s="30"/>
      <c r="CG1593" s="30"/>
      <c r="CH1593" s="30"/>
      <c r="CI1593" s="30"/>
      <c r="CJ1593" s="30"/>
      <c r="CK1593" s="30"/>
      <c r="CL1593" s="30"/>
      <c r="CM1593" s="30"/>
      <c r="CN1593" s="1"/>
      <c r="CO1593" s="1"/>
      <c r="CP1593" s="1"/>
      <c r="CQ1593" s="1"/>
      <c r="CR1593" s="1"/>
      <c r="CS1593" s="1"/>
      <c r="CT1593" s="1"/>
      <c r="CU1593" s="1"/>
      <c r="CV1593" s="1"/>
      <c r="CW1593" s="1"/>
    </row>
    <row r="1594" spans="2:101" ht="15" hidden="1" customHeight="1" x14ac:dyDescent="0.25"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30"/>
      <c r="W1594" s="30"/>
      <c r="X1594" s="30"/>
      <c r="Y1594" s="30"/>
      <c r="Z1594" s="30"/>
      <c r="AA1594" s="30"/>
      <c r="AB1594" s="30"/>
      <c r="AC1594" s="30"/>
      <c r="AD1594" s="30"/>
      <c r="AE1594" s="30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30"/>
      <c r="AQ1594" s="30"/>
      <c r="AR1594" s="30"/>
      <c r="AS1594" s="30"/>
      <c r="AT1594" s="30"/>
      <c r="AU1594" s="30"/>
      <c r="AV1594" s="30"/>
      <c r="AW1594" s="30"/>
      <c r="AX1594" s="30"/>
      <c r="AY1594" s="30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30"/>
      <c r="BK1594" s="30"/>
      <c r="BL1594" s="30"/>
      <c r="BM1594" s="30"/>
      <c r="BN1594" s="30"/>
      <c r="BO1594" s="30"/>
      <c r="BP1594" s="30"/>
      <c r="BQ1594" s="30"/>
      <c r="BR1594" s="30"/>
      <c r="BS1594" s="30"/>
      <c r="BT1594" s="1"/>
      <c r="BU1594" s="1"/>
      <c r="BV1594" s="1"/>
      <c r="BW1594" s="1"/>
      <c r="BX1594" s="1"/>
      <c r="BY1594" s="1"/>
      <c r="BZ1594" s="1"/>
      <c r="CA1594" s="1"/>
      <c r="CB1594" s="1"/>
      <c r="CC1594" s="1"/>
      <c r="CD1594" s="30"/>
      <c r="CE1594" s="30"/>
      <c r="CF1594" s="30"/>
      <c r="CG1594" s="30"/>
      <c r="CH1594" s="30"/>
      <c r="CI1594" s="30"/>
      <c r="CJ1594" s="30"/>
      <c r="CK1594" s="30"/>
      <c r="CL1594" s="30"/>
      <c r="CM1594" s="30"/>
      <c r="CN1594" s="1"/>
      <c r="CO1594" s="1"/>
      <c r="CP1594" s="1"/>
      <c r="CQ1594" s="1"/>
      <c r="CR1594" s="1"/>
      <c r="CS1594" s="1"/>
      <c r="CT1594" s="1"/>
      <c r="CU1594" s="1"/>
      <c r="CV1594" s="1"/>
      <c r="CW1594" s="1"/>
    </row>
    <row r="1595" spans="2:101" ht="15" hidden="1" customHeight="1" x14ac:dyDescent="0.25"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30"/>
      <c r="W1595" s="30"/>
      <c r="X1595" s="30"/>
      <c r="Y1595" s="30"/>
      <c r="Z1595" s="30"/>
      <c r="AA1595" s="30"/>
      <c r="AB1595" s="30"/>
      <c r="AC1595" s="30"/>
      <c r="AD1595" s="30"/>
      <c r="AE1595" s="30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30"/>
      <c r="AQ1595" s="30"/>
      <c r="AR1595" s="30"/>
      <c r="AS1595" s="30"/>
      <c r="AT1595" s="30"/>
      <c r="AU1595" s="30"/>
      <c r="AV1595" s="30"/>
      <c r="AW1595" s="30"/>
      <c r="AX1595" s="30"/>
      <c r="AY1595" s="30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30"/>
      <c r="BK1595" s="30"/>
      <c r="BL1595" s="30"/>
      <c r="BM1595" s="30"/>
      <c r="BN1595" s="30"/>
      <c r="BO1595" s="30"/>
      <c r="BP1595" s="30"/>
      <c r="BQ1595" s="30"/>
      <c r="BR1595" s="30"/>
      <c r="BS1595" s="30"/>
      <c r="BT1595" s="1"/>
      <c r="BU1595" s="1"/>
      <c r="BV1595" s="1"/>
      <c r="BW1595" s="1"/>
      <c r="BX1595" s="1"/>
      <c r="BY1595" s="1"/>
      <c r="BZ1595" s="1"/>
      <c r="CA1595" s="1"/>
      <c r="CB1595" s="1"/>
      <c r="CC1595" s="1"/>
      <c r="CD1595" s="30"/>
      <c r="CE1595" s="30"/>
      <c r="CF1595" s="30"/>
      <c r="CG1595" s="30"/>
      <c r="CH1595" s="30"/>
      <c r="CI1595" s="30"/>
      <c r="CJ1595" s="30"/>
      <c r="CK1595" s="30"/>
      <c r="CL1595" s="30"/>
      <c r="CM1595" s="30"/>
      <c r="CN1595" s="1"/>
      <c r="CO1595" s="1"/>
      <c r="CP1595" s="1"/>
      <c r="CQ1595" s="1"/>
      <c r="CR1595" s="1"/>
      <c r="CS1595" s="1"/>
      <c r="CT1595" s="1"/>
      <c r="CU1595" s="1"/>
      <c r="CV1595" s="1"/>
      <c r="CW1595" s="1"/>
    </row>
    <row r="1596" spans="2:101" ht="15" hidden="1" customHeight="1" x14ac:dyDescent="0.25"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30"/>
      <c r="W1596" s="30"/>
      <c r="X1596" s="30"/>
      <c r="Y1596" s="30"/>
      <c r="Z1596" s="30"/>
      <c r="AA1596" s="30"/>
      <c r="AB1596" s="30"/>
      <c r="AC1596" s="30"/>
      <c r="AD1596" s="30"/>
      <c r="AE1596" s="30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30"/>
      <c r="AQ1596" s="30"/>
      <c r="AR1596" s="30"/>
      <c r="AS1596" s="30"/>
      <c r="AT1596" s="30"/>
      <c r="AU1596" s="30"/>
      <c r="AV1596" s="30"/>
      <c r="AW1596" s="30"/>
      <c r="AX1596" s="30"/>
      <c r="AY1596" s="30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30"/>
      <c r="BK1596" s="30"/>
      <c r="BL1596" s="30"/>
      <c r="BM1596" s="30"/>
      <c r="BN1596" s="30"/>
      <c r="BO1596" s="30"/>
      <c r="BP1596" s="30"/>
      <c r="BQ1596" s="30"/>
      <c r="BR1596" s="30"/>
      <c r="BS1596" s="30"/>
      <c r="BT1596" s="1"/>
      <c r="BU1596" s="1"/>
      <c r="BV1596" s="1"/>
      <c r="BW1596" s="1"/>
      <c r="BX1596" s="1"/>
      <c r="BY1596" s="1"/>
      <c r="BZ1596" s="1"/>
      <c r="CA1596" s="1"/>
      <c r="CB1596" s="1"/>
      <c r="CC1596" s="1"/>
      <c r="CD1596" s="30"/>
      <c r="CE1596" s="30"/>
      <c r="CF1596" s="30"/>
      <c r="CG1596" s="30"/>
      <c r="CH1596" s="30"/>
      <c r="CI1596" s="30"/>
      <c r="CJ1596" s="30"/>
      <c r="CK1596" s="30"/>
      <c r="CL1596" s="30"/>
      <c r="CM1596" s="30"/>
      <c r="CN1596" s="1"/>
      <c r="CO1596" s="1"/>
      <c r="CP1596" s="1"/>
      <c r="CQ1596" s="1"/>
      <c r="CR1596" s="1"/>
      <c r="CS1596" s="1"/>
      <c r="CT1596" s="1"/>
      <c r="CU1596" s="1"/>
      <c r="CV1596" s="1"/>
      <c r="CW1596" s="1"/>
    </row>
    <row r="1597" spans="2:101" ht="15" hidden="1" customHeight="1" x14ac:dyDescent="0.25"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30"/>
      <c r="W1597" s="30"/>
      <c r="X1597" s="30"/>
      <c r="Y1597" s="30"/>
      <c r="Z1597" s="30"/>
      <c r="AA1597" s="30"/>
      <c r="AB1597" s="30"/>
      <c r="AC1597" s="30"/>
      <c r="AD1597" s="30"/>
      <c r="AE1597" s="30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30"/>
      <c r="AQ1597" s="30"/>
      <c r="AR1597" s="30"/>
      <c r="AS1597" s="30"/>
      <c r="AT1597" s="30"/>
      <c r="AU1597" s="30"/>
      <c r="AV1597" s="30"/>
      <c r="AW1597" s="30"/>
      <c r="AX1597" s="30"/>
      <c r="AY1597" s="30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30"/>
      <c r="BK1597" s="30"/>
      <c r="BL1597" s="30"/>
      <c r="BM1597" s="30"/>
      <c r="BN1597" s="30"/>
      <c r="BO1597" s="30"/>
      <c r="BP1597" s="30"/>
      <c r="BQ1597" s="30"/>
      <c r="BR1597" s="30"/>
      <c r="BS1597" s="30"/>
      <c r="BT1597" s="1"/>
      <c r="BU1597" s="1"/>
      <c r="BV1597" s="1"/>
      <c r="BW1597" s="1"/>
      <c r="BX1597" s="1"/>
      <c r="BY1597" s="1"/>
      <c r="BZ1597" s="1"/>
      <c r="CA1597" s="1"/>
      <c r="CB1597" s="1"/>
      <c r="CC1597" s="1"/>
      <c r="CD1597" s="30"/>
      <c r="CE1597" s="30"/>
      <c r="CF1597" s="30"/>
      <c r="CG1597" s="30"/>
      <c r="CH1597" s="30"/>
      <c r="CI1597" s="30"/>
      <c r="CJ1597" s="30"/>
      <c r="CK1597" s="30"/>
      <c r="CL1597" s="30"/>
      <c r="CM1597" s="30"/>
      <c r="CN1597" s="1"/>
      <c r="CO1597" s="1"/>
      <c r="CP1597" s="1"/>
      <c r="CQ1597" s="1"/>
      <c r="CR1597" s="1"/>
      <c r="CS1597" s="1"/>
      <c r="CT1597" s="1"/>
      <c r="CU1597" s="1"/>
      <c r="CV1597" s="1"/>
      <c r="CW1597" s="1"/>
    </row>
    <row r="1598" spans="2:101" ht="15" hidden="1" customHeight="1" x14ac:dyDescent="0.25"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30"/>
      <c r="W1598" s="30"/>
      <c r="X1598" s="30"/>
      <c r="Y1598" s="30"/>
      <c r="Z1598" s="30"/>
      <c r="AA1598" s="30"/>
      <c r="AB1598" s="30"/>
      <c r="AC1598" s="30"/>
      <c r="AD1598" s="30"/>
      <c r="AE1598" s="30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30"/>
      <c r="AQ1598" s="30"/>
      <c r="AR1598" s="30"/>
      <c r="AS1598" s="30"/>
      <c r="AT1598" s="30"/>
      <c r="AU1598" s="30"/>
      <c r="AV1598" s="30"/>
      <c r="AW1598" s="30"/>
      <c r="AX1598" s="30"/>
      <c r="AY1598" s="30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30"/>
      <c r="BK1598" s="30"/>
      <c r="BL1598" s="30"/>
      <c r="BM1598" s="30"/>
      <c r="BN1598" s="30"/>
      <c r="BO1598" s="30"/>
      <c r="BP1598" s="30"/>
      <c r="BQ1598" s="30"/>
      <c r="BR1598" s="30"/>
      <c r="BS1598" s="30"/>
      <c r="BT1598" s="1"/>
      <c r="BU1598" s="1"/>
      <c r="BV1598" s="1"/>
      <c r="BW1598" s="1"/>
      <c r="BX1598" s="1"/>
      <c r="BY1598" s="1"/>
      <c r="BZ1598" s="1"/>
      <c r="CA1598" s="1"/>
      <c r="CB1598" s="1"/>
      <c r="CC1598" s="1"/>
      <c r="CD1598" s="30"/>
      <c r="CE1598" s="30"/>
      <c r="CF1598" s="30"/>
      <c r="CG1598" s="30"/>
      <c r="CH1598" s="30"/>
      <c r="CI1598" s="30"/>
      <c r="CJ1598" s="30"/>
      <c r="CK1598" s="30"/>
      <c r="CL1598" s="30"/>
      <c r="CM1598" s="30"/>
      <c r="CN1598" s="1"/>
      <c r="CO1598" s="1"/>
      <c r="CP1598" s="1"/>
      <c r="CQ1598" s="1"/>
      <c r="CR1598" s="1"/>
      <c r="CS1598" s="1"/>
      <c r="CT1598" s="1"/>
      <c r="CU1598" s="1"/>
      <c r="CV1598" s="1"/>
      <c r="CW1598" s="1"/>
    </row>
    <row r="1599" spans="2:101" ht="15" hidden="1" customHeight="1" x14ac:dyDescent="0.25"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30"/>
      <c r="AQ1599" s="30"/>
      <c r="AR1599" s="30"/>
      <c r="AS1599" s="30"/>
      <c r="AT1599" s="30"/>
      <c r="AU1599" s="30"/>
      <c r="AV1599" s="30"/>
      <c r="AW1599" s="30"/>
      <c r="AX1599" s="30"/>
      <c r="AY1599" s="30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30"/>
      <c r="BK1599" s="30"/>
      <c r="BL1599" s="30"/>
      <c r="BM1599" s="30"/>
      <c r="BN1599" s="30"/>
      <c r="BO1599" s="30"/>
      <c r="BP1599" s="30"/>
      <c r="BQ1599" s="30"/>
      <c r="BR1599" s="30"/>
      <c r="BS1599" s="30"/>
      <c r="BT1599" s="1"/>
      <c r="BU1599" s="1"/>
      <c r="BV1599" s="1"/>
      <c r="BW1599" s="1"/>
      <c r="BX1599" s="1"/>
      <c r="BY1599" s="1"/>
      <c r="BZ1599" s="1"/>
      <c r="CA1599" s="1"/>
      <c r="CB1599" s="1"/>
      <c r="CC1599" s="1"/>
      <c r="CD1599" s="30"/>
      <c r="CE1599" s="30"/>
      <c r="CF1599" s="30"/>
      <c r="CG1599" s="30"/>
      <c r="CH1599" s="30"/>
      <c r="CI1599" s="30"/>
      <c r="CJ1599" s="30"/>
      <c r="CK1599" s="30"/>
      <c r="CL1599" s="30"/>
      <c r="CM1599" s="30"/>
      <c r="CN1599" s="1"/>
      <c r="CO1599" s="1"/>
      <c r="CP1599" s="1"/>
      <c r="CQ1599" s="1"/>
      <c r="CR1599" s="1"/>
      <c r="CS1599" s="1"/>
      <c r="CT1599" s="1"/>
      <c r="CU1599" s="1"/>
      <c r="CV1599" s="1"/>
      <c r="CW1599" s="1"/>
    </row>
    <row r="1600" spans="2:101" ht="15" hidden="1" customHeight="1" x14ac:dyDescent="0.25"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30"/>
      <c r="AQ1600" s="30"/>
      <c r="AR1600" s="30"/>
      <c r="AS1600" s="30"/>
      <c r="AT1600" s="30"/>
      <c r="AU1600" s="30"/>
      <c r="AV1600" s="30"/>
      <c r="AW1600" s="30"/>
      <c r="AX1600" s="30"/>
      <c r="AY1600" s="30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30"/>
      <c r="BK1600" s="30"/>
      <c r="BL1600" s="30"/>
      <c r="BM1600" s="30"/>
      <c r="BN1600" s="30"/>
      <c r="BO1600" s="30"/>
      <c r="BP1600" s="30"/>
      <c r="BQ1600" s="30"/>
      <c r="BR1600" s="30"/>
      <c r="BS1600" s="30"/>
      <c r="BT1600" s="1"/>
      <c r="BU1600" s="1"/>
      <c r="BV1600" s="1"/>
      <c r="BW1600" s="1"/>
      <c r="BX1600" s="1"/>
      <c r="BY1600" s="1"/>
      <c r="BZ1600" s="1"/>
      <c r="CA1600" s="1"/>
      <c r="CB1600" s="1"/>
      <c r="CC1600" s="1"/>
      <c r="CD1600" s="30"/>
      <c r="CE1600" s="30"/>
      <c r="CF1600" s="30"/>
      <c r="CG1600" s="30"/>
      <c r="CH1600" s="30"/>
      <c r="CI1600" s="30"/>
      <c r="CJ1600" s="30"/>
      <c r="CK1600" s="30"/>
      <c r="CL1600" s="30"/>
      <c r="CM1600" s="30"/>
      <c r="CN1600" s="1"/>
      <c r="CO1600" s="1"/>
      <c r="CP1600" s="1"/>
      <c r="CQ1600" s="1"/>
      <c r="CR1600" s="1"/>
      <c r="CS1600" s="1"/>
      <c r="CT1600" s="1"/>
      <c r="CU1600" s="1"/>
      <c r="CV1600" s="1"/>
      <c r="CW1600" s="1"/>
    </row>
    <row r="1601" spans="2:101" ht="15" hidden="1" customHeight="1" x14ac:dyDescent="0.25"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30"/>
      <c r="AQ1601" s="30"/>
      <c r="AR1601" s="30"/>
      <c r="AS1601" s="30"/>
      <c r="AT1601" s="30"/>
      <c r="AU1601" s="30"/>
      <c r="AV1601" s="30"/>
      <c r="AW1601" s="30"/>
      <c r="AX1601" s="30"/>
      <c r="AY1601" s="30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30"/>
      <c r="BK1601" s="30"/>
      <c r="BL1601" s="30"/>
      <c r="BM1601" s="30"/>
      <c r="BN1601" s="30"/>
      <c r="BO1601" s="30"/>
      <c r="BP1601" s="30"/>
      <c r="BQ1601" s="30"/>
      <c r="BR1601" s="30"/>
      <c r="BS1601" s="30"/>
      <c r="BT1601" s="1"/>
      <c r="BU1601" s="1"/>
      <c r="BV1601" s="1"/>
      <c r="BW1601" s="1"/>
      <c r="BX1601" s="1"/>
      <c r="BY1601" s="1"/>
      <c r="BZ1601" s="1"/>
      <c r="CA1601" s="1"/>
      <c r="CB1601" s="1"/>
      <c r="CC1601" s="1"/>
      <c r="CD1601" s="30"/>
      <c r="CE1601" s="30"/>
      <c r="CF1601" s="30"/>
      <c r="CG1601" s="30"/>
      <c r="CH1601" s="30"/>
      <c r="CI1601" s="30"/>
      <c r="CJ1601" s="30"/>
      <c r="CK1601" s="30"/>
      <c r="CL1601" s="30"/>
      <c r="CM1601" s="30"/>
      <c r="CN1601" s="1"/>
      <c r="CO1601" s="1"/>
      <c r="CP1601" s="1"/>
      <c r="CQ1601" s="1"/>
      <c r="CR1601" s="1"/>
      <c r="CS1601" s="1"/>
      <c r="CT1601" s="1"/>
      <c r="CU1601" s="1"/>
      <c r="CV1601" s="1"/>
      <c r="CW1601" s="1"/>
    </row>
    <row r="1602" spans="2:101" ht="15" hidden="1" customHeight="1" x14ac:dyDescent="0.25"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30"/>
      <c r="AQ1602" s="30"/>
      <c r="AR1602" s="30"/>
      <c r="AS1602" s="30"/>
      <c r="AT1602" s="30"/>
      <c r="AU1602" s="30"/>
      <c r="AV1602" s="30"/>
      <c r="AW1602" s="30"/>
      <c r="AX1602" s="30"/>
      <c r="AY1602" s="30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30"/>
      <c r="BK1602" s="30"/>
      <c r="BL1602" s="30"/>
      <c r="BM1602" s="30"/>
      <c r="BN1602" s="30"/>
      <c r="BO1602" s="30"/>
      <c r="BP1602" s="30"/>
      <c r="BQ1602" s="30"/>
      <c r="BR1602" s="30"/>
      <c r="BS1602" s="30"/>
      <c r="BT1602" s="1"/>
      <c r="BU1602" s="1"/>
      <c r="BV1602" s="1"/>
      <c r="BW1602" s="1"/>
      <c r="BX1602" s="1"/>
      <c r="BY1602" s="1"/>
      <c r="BZ1602" s="1"/>
      <c r="CA1602" s="1"/>
      <c r="CB1602" s="1"/>
      <c r="CC1602" s="1"/>
      <c r="CD1602" s="30"/>
      <c r="CE1602" s="30"/>
      <c r="CF1602" s="30"/>
      <c r="CG1602" s="30"/>
      <c r="CH1602" s="30"/>
      <c r="CI1602" s="30"/>
      <c r="CJ1602" s="30"/>
      <c r="CK1602" s="30"/>
      <c r="CL1602" s="30"/>
      <c r="CM1602" s="30"/>
      <c r="CN1602" s="1"/>
      <c r="CO1602" s="1"/>
      <c r="CP1602" s="1"/>
      <c r="CQ1602" s="1"/>
      <c r="CR1602" s="1"/>
      <c r="CS1602" s="1"/>
      <c r="CT1602" s="1"/>
      <c r="CU1602" s="1"/>
      <c r="CV1602" s="1"/>
      <c r="CW1602" s="1"/>
    </row>
    <row r="1603" spans="2:101" ht="15" hidden="1" customHeight="1" x14ac:dyDescent="0.25"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30"/>
      <c r="AQ1603" s="30"/>
      <c r="AR1603" s="30"/>
      <c r="AS1603" s="30"/>
      <c r="AT1603" s="30"/>
      <c r="AU1603" s="30"/>
      <c r="AV1603" s="30"/>
      <c r="AW1603" s="30"/>
      <c r="AX1603" s="30"/>
      <c r="AY1603" s="30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30"/>
      <c r="BK1603" s="30"/>
      <c r="BL1603" s="30"/>
      <c r="BM1603" s="30"/>
      <c r="BN1603" s="30"/>
      <c r="BO1603" s="30"/>
      <c r="BP1603" s="30"/>
      <c r="BQ1603" s="30"/>
      <c r="BR1603" s="30"/>
      <c r="BS1603" s="30"/>
      <c r="BT1603" s="1"/>
      <c r="BU1603" s="1"/>
      <c r="BV1603" s="1"/>
      <c r="BW1603" s="1"/>
      <c r="BX1603" s="1"/>
      <c r="BY1603" s="1"/>
      <c r="BZ1603" s="1"/>
      <c r="CA1603" s="1"/>
      <c r="CB1603" s="1"/>
      <c r="CC1603" s="1"/>
      <c r="CD1603" s="30"/>
      <c r="CE1603" s="30"/>
      <c r="CF1603" s="30"/>
      <c r="CG1603" s="30"/>
      <c r="CH1603" s="30"/>
      <c r="CI1603" s="30"/>
      <c r="CJ1603" s="30"/>
      <c r="CK1603" s="30"/>
      <c r="CL1603" s="30"/>
      <c r="CM1603" s="30"/>
      <c r="CN1603" s="1"/>
      <c r="CO1603" s="1"/>
      <c r="CP1603" s="1"/>
      <c r="CQ1603" s="1"/>
      <c r="CR1603" s="1"/>
      <c r="CS1603" s="1"/>
      <c r="CT1603" s="1"/>
      <c r="CU1603" s="1"/>
      <c r="CV1603" s="1"/>
      <c r="CW1603" s="1"/>
    </row>
    <row r="1604" spans="2:101" ht="15" hidden="1" customHeight="1" x14ac:dyDescent="0.25"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30"/>
      <c r="AQ1604" s="30"/>
      <c r="AR1604" s="30"/>
      <c r="AS1604" s="30"/>
      <c r="AT1604" s="30"/>
      <c r="AU1604" s="30"/>
      <c r="AV1604" s="30"/>
      <c r="AW1604" s="30"/>
      <c r="AX1604" s="30"/>
      <c r="AY1604" s="30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30"/>
      <c r="BK1604" s="30"/>
      <c r="BL1604" s="30"/>
      <c r="BM1604" s="30"/>
      <c r="BN1604" s="30"/>
      <c r="BO1604" s="30"/>
      <c r="BP1604" s="30"/>
      <c r="BQ1604" s="30"/>
      <c r="BR1604" s="30"/>
      <c r="BS1604" s="30"/>
      <c r="BT1604" s="1"/>
      <c r="BU1604" s="1"/>
      <c r="BV1604" s="1"/>
      <c r="BW1604" s="1"/>
      <c r="BX1604" s="1"/>
      <c r="BY1604" s="1"/>
      <c r="BZ1604" s="1"/>
      <c r="CA1604" s="1"/>
      <c r="CB1604" s="1"/>
      <c r="CC1604" s="1"/>
      <c r="CD1604" s="30"/>
      <c r="CE1604" s="30"/>
      <c r="CF1604" s="30"/>
      <c r="CG1604" s="30"/>
      <c r="CH1604" s="30"/>
      <c r="CI1604" s="30"/>
      <c r="CJ1604" s="30"/>
      <c r="CK1604" s="30"/>
      <c r="CL1604" s="30"/>
      <c r="CM1604" s="30"/>
      <c r="CN1604" s="1"/>
      <c r="CO1604" s="1"/>
      <c r="CP1604" s="1"/>
      <c r="CQ1604" s="1"/>
      <c r="CR1604" s="1"/>
      <c r="CS1604" s="1"/>
      <c r="CT1604" s="1"/>
      <c r="CU1604" s="1"/>
      <c r="CV1604" s="1"/>
      <c r="CW1604" s="1"/>
    </row>
    <row r="1605" spans="2:101" ht="15" hidden="1" customHeight="1" x14ac:dyDescent="0.25"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30"/>
      <c r="AQ1605" s="30"/>
      <c r="AR1605" s="30"/>
      <c r="AS1605" s="30"/>
      <c r="AT1605" s="30"/>
      <c r="AU1605" s="30"/>
      <c r="AV1605" s="30"/>
      <c r="AW1605" s="30"/>
      <c r="AX1605" s="30"/>
      <c r="AY1605" s="30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30"/>
      <c r="BK1605" s="30"/>
      <c r="BL1605" s="30"/>
      <c r="BM1605" s="30"/>
      <c r="BN1605" s="30"/>
      <c r="BO1605" s="30"/>
      <c r="BP1605" s="30"/>
      <c r="BQ1605" s="30"/>
      <c r="BR1605" s="30"/>
      <c r="BS1605" s="30"/>
      <c r="BT1605" s="1"/>
      <c r="BU1605" s="1"/>
      <c r="BV1605" s="1"/>
      <c r="BW1605" s="1"/>
      <c r="BX1605" s="1"/>
      <c r="BY1605" s="1"/>
      <c r="BZ1605" s="1"/>
      <c r="CA1605" s="1"/>
      <c r="CB1605" s="1"/>
      <c r="CC1605" s="1"/>
      <c r="CD1605" s="30"/>
      <c r="CE1605" s="30"/>
      <c r="CF1605" s="30"/>
      <c r="CG1605" s="30"/>
      <c r="CH1605" s="30"/>
      <c r="CI1605" s="30"/>
      <c r="CJ1605" s="30"/>
      <c r="CK1605" s="30"/>
      <c r="CL1605" s="30"/>
      <c r="CM1605" s="30"/>
      <c r="CN1605" s="1"/>
      <c r="CO1605" s="1"/>
      <c r="CP1605" s="1"/>
      <c r="CQ1605" s="1"/>
      <c r="CR1605" s="1"/>
      <c r="CS1605" s="1"/>
      <c r="CT1605" s="1"/>
      <c r="CU1605" s="1"/>
      <c r="CV1605" s="1"/>
      <c r="CW1605" s="1"/>
    </row>
    <row r="1606" spans="2:101" ht="15" hidden="1" customHeight="1" x14ac:dyDescent="0.25"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30"/>
      <c r="AQ1606" s="30"/>
      <c r="AR1606" s="30"/>
      <c r="AS1606" s="30"/>
      <c r="AT1606" s="30"/>
      <c r="AU1606" s="30"/>
      <c r="AV1606" s="30"/>
      <c r="AW1606" s="30"/>
      <c r="AX1606" s="30"/>
      <c r="AY1606" s="30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30"/>
      <c r="BK1606" s="30"/>
      <c r="BL1606" s="30"/>
      <c r="BM1606" s="30"/>
      <c r="BN1606" s="30"/>
      <c r="BO1606" s="30"/>
      <c r="BP1606" s="30"/>
      <c r="BQ1606" s="30"/>
      <c r="BR1606" s="30"/>
      <c r="BS1606" s="30"/>
      <c r="BT1606" s="1"/>
      <c r="BU1606" s="1"/>
      <c r="BV1606" s="1"/>
      <c r="BW1606" s="1"/>
      <c r="BX1606" s="1"/>
      <c r="BY1606" s="1"/>
      <c r="BZ1606" s="1"/>
      <c r="CA1606" s="1"/>
      <c r="CB1606" s="1"/>
      <c r="CC1606" s="1"/>
      <c r="CD1606" s="30"/>
      <c r="CE1606" s="30"/>
      <c r="CF1606" s="30"/>
      <c r="CG1606" s="30"/>
      <c r="CH1606" s="30"/>
      <c r="CI1606" s="30"/>
      <c r="CJ1606" s="30"/>
      <c r="CK1606" s="30"/>
      <c r="CL1606" s="30"/>
      <c r="CM1606" s="30"/>
      <c r="CN1606" s="1"/>
      <c r="CO1606" s="1"/>
      <c r="CP1606" s="1"/>
      <c r="CQ1606" s="1"/>
      <c r="CR1606" s="1"/>
      <c r="CS1606" s="1"/>
      <c r="CT1606" s="1"/>
      <c r="CU1606" s="1"/>
      <c r="CV1606" s="1"/>
      <c r="CW1606" s="1"/>
    </row>
    <row r="1607" spans="2:101" ht="15" hidden="1" customHeight="1" x14ac:dyDescent="0.25"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30"/>
      <c r="AQ1607" s="30"/>
      <c r="AR1607" s="30"/>
      <c r="AS1607" s="30"/>
      <c r="AT1607" s="30"/>
      <c r="AU1607" s="30"/>
      <c r="AV1607" s="30"/>
      <c r="AW1607" s="30"/>
      <c r="AX1607" s="30"/>
      <c r="AY1607" s="30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30"/>
      <c r="BK1607" s="30"/>
      <c r="BL1607" s="30"/>
      <c r="BM1607" s="30"/>
      <c r="BN1607" s="30"/>
      <c r="BO1607" s="30"/>
      <c r="BP1607" s="30"/>
      <c r="BQ1607" s="30"/>
      <c r="BR1607" s="30"/>
      <c r="BS1607" s="30"/>
      <c r="BT1607" s="1"/>
      <c r="BU1607" s="1"/>
      <c r="BV1607" s="1"/>
      <c r="BW1607" s="1"/>
      <c r="BX1607" s="1"/>
      <c r="BY1607" s="1"/>
      <c r="BZ1607" s="1"/>
      <c r="CA1607" s="1"/>
      <c r="CB1607" s="1"/>
      <c r="CC1607" s="1"/>
      <c r="CD1607" s="30"/>
      <c r="CE1607" s="30"/>
      <c r="CF1607" s="30"/>
      <c r="CG1607" s="30"/>
      <c r="CH1607" s="30"/>
      <c r="CI1607" s="30"/>
      <c r="CJ1607" s="30"/>
      <c r="CK1607" s="30"/>
      <c r="CL1607" s="30"/>
      <c r="CM1607" s="30"/>
      <c r="CN1607" s="1"/>
      <c r="CO1607" s="1"/>
      <c r="CP1607" s="1"/>
      <c r="CQ1607" s="1"/>
      <c r="CR1607" s="1"/>
      <c r="CS1607" s="1"/>
      <c r="CT1607" s="1"/>
      <c r="CU1607" s="1"/>
      <c r="CV1607" s="1"/>
      <c r="CW1607" s="1"/>
    </row>
    <row r="1608" spans="2:101" ht="15" hidden="1" customHeight="1" x14ac:dyDescent="0.25"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30"/>
      <c r="AQ1608" s="30"/>
      <c r="AR1608" s="30"/>
      <c r="AS1608" s="30"/>
      <c r="AT1608" s="30"/>
      <c r="AU1608" s="30"/>
      <c r="AV1608" s="30"/>
      <c r="AW1608" s="30"/>
      <c r="AX1608" s="30"/>
      <c r="AY1608" s="30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30"/>
      <c r="BK1608" s="30"/>
      <c r="BL1608" s="30"/>
      <c r="BM1608" s="30"/>
      <c r="BN1608" s="30"/>
      <c r="BO1608" s="30"/>
      <c r="BP1608" s="30"/>
      <c r="BQ1608" s="30"/>
      <c r="BR1608" s="30"/>
      <c r="BS1608" s="30"/>
      <c r="BT1608" s="1"/>
      <c r="BU1608" s="1"/>
      <c r="BV1608" s="1"/>
      <c r="BW1608" s="1"/>
      <c r="BX1608" s="1"/>
      <c r="BY1608" s="1"/>
      <c r="BZ1608" s="1"/>
      <c r="CA1608" s="1"/>
      <c r="CB1608" s="1"/>
      <c r="CC1608" s="1"/>
      <c r="CD1608" s="30"/>
      <c r="CE1608" s="30"/>
      <c r="CF1608" s="30"/>
      <c r="CG1608" s="30"/>
      <c r="CH1608" s="30"/>
      <c r="CI1608" s="30"/>
      <c r="CJ1608" s="30"/>
      <c r="CK1608" s="30"/>
      <c r="CL1608" s="30"/>
      <c r="CM1608" s="30"/>
      <c r="CN1608" s="1"/>
      <c r="CO1608" s="1"/>
      <c r="CP1608" s="1"/>
      <c r="CQ1608" s="1"/>
      <c r="CR1608" s="1"/>
      <c r="CS1608" s="1"/>
      <c r="CT1608" s="1"/>
      <c r="CU1608" s="1"/>
      <c r="CV1608" s="1"/>
      <c r="CW1608" s="1"/>
    </row>
    <row r="1609" spans="2:101" ht="15" hidden="1" customHeight="1" x14ac:dyDescent="0.25"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30"/>
      <c r="AQ1609" s="30"/>
      <c r="AR1609" s="30"/>
      <c r="AS1609" s="30"/>
      <c r="AT1609" s="30"/>
      <c r="AU1609" s="30"/>
      <c r="AV1609" s="30"/>
      <c r="AW1609" s="30"/>
      <c r="AX1609" s="30"/>
      <c r="AY1609" s="30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30"/>
      <c r="BK1609" s="30"/>
      <c r="BL1609" s="30"/>
      <c r="BM1609" s="30"/>
      <c r="BN1609" s="30"/>
      <c r="BO1609" s="30"/>
      <c r="BP1609" s="30"/>
      <c r="BQ1609" s="30"/>
      <c r="BR1609" s="30"/>
      <c r="BS1609" s="30"/>
      <c r="BT1609" s="1"/>
      <c r="BU1609" s="1"/>
      <c r="BV1609" s="1"/>
      <c r="BW1609" s="1"/>
      <c r="BX1609" s="1"/>
      <c r="BY1609" s="1"/>
      <c r="BZ1609" s="1"/>
      <c r="CA1609" s="1"/>
      <c r="CB1609" s="1"/>
      <c r="CC1609" s="1"/>
      <c r="CD1609" s="30"/>
      <c r="CE1609" s="30"/>
      <c r="CF1609" s="30"/>
      <c r="CG1609" s="30"/>
      <c r="CH1609" s="30"/>
      <c r="CI1609" s="30"/>
      <c r="CJ1609" s="30"/>
      <c r="CK1609" s="30"/>
      <c r="CL1609" s="30"/>
      <c r="CM1609" s="30"/>
      <c r="CN1609" s="1"/>
      <c r="CO1609" s="1"/>
      <c r="CP1609" s="1"/>
      <c r="CQ1609" s="1"/>
      <c r="CR1609" s="1"/>
      <c r="CS1609" s="1"/>
      <c r="CT1609" s="1"/>
      <c r="CU1609" s="1"/>
      <c r="CV1609" s="1"/>
      <c r="CW1609" s="1"/>
    </row>
    <row r="1610" spans="2:101" ht="15" hidden="1" customHeight="1" x14ac:dyDescent="0.25"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30"/>
      <c r="AQ1610" s="30"/>
      <c r="AR1610" s="30"/>
      <c r="AS1610" s="30"/>
      <c r="AT1610" s="30"/>
      <c r="AU1610" s="30"/>
      <c r="AV1610" s="30"/>
      <c r="AW1610" s="30"/>
      <c r="AX1610" s="30"/>
      <c r="AY1610" s="30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30"/>
      <c r="BK1610" s="30"/>
      <c r="BL1610" s="30"/>
      <c r="BM1610" s="30"/>
      <c r="BN1610" s="30"/>
      <c r="BO1610" s="30"/>
      <c r="BP1610" s="30"/>
      <c r="BQ1610" s="30"/>
      <c r="BR1610" s="30"/>
      <c r="BS1610" s="30"/>
      <c r="BT1610" s="1"/>
      <c r="BU1610" s="1"/>
      <c r="BV1610" s="1"/>
      <c r="BW1610" s="1"/>
      <c r="BX1610" s="1"/>
      <c r="BY1610" s="1"/>
      <c r="BZ1610" s="1"/>
      <c r="CA1610" s="1"/>
      <c r="CB1610" s="1"/>
      <c r="CC1610" s="1"/>
      <c r="CD1610" s="30"/>
      <c r="CE1610" s="30"/>
      <c r="CF1610" s="30"/>
      <c r="CG1610" s="30"/>
      <c r="CH1610" s="30"/>
      <c r="CI1610" s="30"/>
      <c r="CJ1610" s="30"/>
      <c r="CK1610" s="30"/>
      <c r="CL1610" s="30"/>
      <c r="CM1610" s="30"/>
      <c r="CN1610" s="1"/>
      <c r="CO1610" s="1"/>
      <c r="CP1610" s="1"/>
      <c r="CQ1610" s="1"/>
      <c r="CR1610" s="1"/>
      <c r="CS1610" s="1"/>
      <c r="CT1610" s="1"/>
      <c r="CU1610" s="1"/>
      <c r="CV1610" s="1"/>
      <c r="CW1610" s="1"/>
    </row>
    <row r="1611" spans="2:101" ht="15" hidden="1" customHeight="1" x14ac:dyDescent="0.25"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30"/>
      <c r="AQ1611" s="30"/>
      <c r="AR1611" s="30"/>
      <c r="AS1611" s="30"/>
      <c r="AT1611" s="30"/>
      <c r="AU1611" s="30"/>
      <c r="AV1611" s="30"/>
      <c r="AW1611" s="30"/>
      <c r="AX1611" s="30"/>
      <c r="AY1611" s="30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30"/>
      <c r="BK1611" s="30"/>
      <c r="BL1611" s="30"/>
      <c r="BM1611" s="30"/>
      <c r="BN1611" s="30"/>
      <c r="BO1611" s="30"/>
      <c r="BP1611" s="30"/>
      <c r="BQ1611" s="30"/>
      <c r="BR1611" s="30"/>
      <c r="BS1611" s="30"/>
      <c r="BT1611" s="1"/>
      <c r="BU1611" s="1"/>
      <c r="BV1611" s="1"/>
      <c r="BW1611" s="1"/>
      <c r="BX1611" s="1"/>
      <c r="BY1611" s="1"/>
      <c r="BZ1611" s="1"/>
      <c r="CA1611" s="1"/>
      <c r="CB1611" s="1"/>
      <c r="CC1611" s="1"/>
      <c r="CD1611" s="30"/>
      <c r="CE1611" s="30"/>
      <c r="CF1611" s="30"/>
      <c r="CG1611" s="30"/>
      <c r="CH1611" s="30"/>
      <c r="CI1611" s="30"/>
      <c r="CJ1611" s="30"/>
      <c r="CK1611" s="30"/>
      <c r="CL1611" s="30"/>
      <c r="CM1611" s="30"/>
      <c r="CN1611" s="1"/>
      <c r="CO1611" s="1"/>
      <c r="CP1611" s="1"/>
      <c r="CQ1611" s="1"/>
      <c r="CR1611" s="1"/>
      <c r="CS1611" s="1"/>
      <c r="CT1611" s="1"/>
      <c r="CU1611" s="1"/>
      <c r="CV1611" s="1"/>
      <c r="CW1611" s="1"/>
    </row>
    <row r="1612" spans="2:101" ht="15" hidden="1" customHeight="1" x14ac:dyDescent="0.25"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30"/>
      <c r="AQ1612" s="30"/>
      <c r="AR1612" s="30"/>
      <c r="AS1612" s="30"/>
      <c r="AT1612" s="30"/>
      <c r="AU1612" s="30"/>
      <c r="AV1612" s="30"/>
      <c r="AW1612" s="30"/>
      <c r="AX1612" s="30"/>
      <c r="AY1612" s="30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30"/>
      <c r="BK1612" s="30"/>
      <c r="BL1612" s="30"/>
      <c r="BM1612" s="30"/>
      <c r="BN1612" s="30"/>
      <c r="BO1612" s="30"/>
      <c r="BP1612" s="30"/>
      <c r="BQ1612" s="30"/>
      <c r="BR1612" s="30"/>
      <c r="BS1612" s="30"/>
      <c r="BT1612" s="1"/>
      <c r="BU1612" s="1"/>
      <c r="BV1612" s="1"/>
      <c r="BW1612" s="1"/>
      <c r="BX1612" s="1"/>
      <c r="BY1612" s="1"/>
      <c r="BZ1612" s="1"/>
      <c r="CA1612" s="1"/>
      <c r="CB1612" s="1"/>
      <c r="CC1612" s="1"/>
      <c r="CD1612" s="30"/>
      <c r="CE1612" s="30"/>
      <c r="CF1612" s="30"/>
      <c r="CG1612" s="30"/>
      <c r="CH1612" s="30"/>
      <c r="CI1612" s="30"/>
      <c r="CJ1612" s="30"/>
      <c r="CK1612" s="30"/>
      <c r="CL1612" s="30"/>
      <c r="CM1612" s="30"/>
      <c r="CN1612" s="1"/>
      <c r="CO1612" s="1"/>
      <c r="CP1612" s="1"/>
      <c r="CQ1612" s="1"/>
      <c r="CR1612" s="1"/>
      <c r="CS1612" s="1"/>
      <c r="CT1612" s="1"/>
      <c r="CU1612" s="1"/>
      <c r="CV1612" s="1"/>
      <c r="CW1612" s="1"/>
    </row>
    <row r="1613" spans="2:101" ht="15" hidden="1" customHeight="1" x14ac:dyDescent="0.25"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30"/>
      <c r="AQ1613" s="30"/>
      <c r="AR1613" s="30"/>
      <c r="AS1613" s="30"/>
      <c r="AT1613" s="30"/>
      <c r="AU1613" s="30"/>
      <c r="AV1613" s="30"/>
      <c r="AW1613" s="30"/>
      <c r="AX1613" s="30"/>
      <c r="AY1613" s="30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30"/>
      <c r="BK1613" s="30"/>
      <c r="BL1613" s="30"/>
      <c r="BM1613" s="30"/>
      <c r="BN1613" s="30"/>
      <c r="BO1613" s="30"/>
      <c r="BP1613" s="30"/>
      <c r="BQ1613" s="30"/>
      <c r="BR1613" s="30"/>
      <c r="BS1613" s="30"/>
      <c r="BT1613" s="1"/>
      <c r="BU1613" s="1"/>
      <c r="BV1613" s="1"/>
      <c r="BW1613" s="1"/>
      <c r="BX1613" s="1"/>
      <c r="BY1613" s="1"/>
      <c r="BZ1613" s="1"/>
      <c r="CA1613" s="1"/>
      <c r="CB1613" s="1"/>
      <c r="CC1613" s="1"/>
      <c r="CD1613" s="30"/>
      <c r="CE1613" s="30"/>
      <c r="CF1613" s="30"/>
      <c r="CG1613" s="30"/>
      <c r="CH1613" s="30"/>
      <c r="CI1613" s="30"/>
      <c r="CJ1613" s="30"/>
      <c r="CK1613" s="30"/>
      <c r="CL1613" s="30"/>
      <c r="CM1613" s="30"/>
      <c r="CN1613" s="1"/>
      <c r="CO1613" s="1"/>
      <c r="CP1613" s="1"/>
      <c r="CQ1613" s="1"/>
      <c r="CR1613" s="1"/>
      <c r="CS1613" s="1"/>
      <c r="CT1613" s="1"/>
      <c r="CU1613" s="1"/>
      <c r="CV1613" s="1"/>
      <c r="CW1613" s="1"/>
    </row>
    <row r="1614" spans="2:101" ht="15" hidden="1" customHeight="1" x14ac:dyDescent="0.25"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30"/>
      <c r="AQ1614" s="30"/>
      <c r="AR1614" s="30"/>
      <c r="AS1614" s="30"/>
      <c r="AT1614" s="30"/>
      <c r="AU1614" s="30"/>
      <c r="AV1614" s="30"/>
      <c r="AW1614" s="30"/>
      <c r="AX1614" s="30"/>
      <c r="AY1614" s="30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30"/>
      <c r="BK1614" s="30"/>
      <c r="BL1614" s="30"/>
      <c r="BM1614" s="30"/>
      <c r="BN1614" s="30"/>
      <c r="BO1614" s="30"/>
      <c r="BP1614" s="30"/>
      <c r="BQ1614" s="30"/>
      <c r="BR1614" s="30"/>
      <c r="BS1614" s="30"/>
      <c r="BT1614" s="1"/>
      <c r="BU1614" s="1"/>
      <c r="BV1614" s="1"/>
      <c r="BW1614" s="1"/>
      <c r="BX1614" s="1"/>
      <c r="BY1614" s="1"/>
      <c r="BZ1614" s="1"/>
      <c r="CA1614" s="1"/>
      <c r="CB1614" s="1"/>
      <c r="CC1614" s="1"/>
      <c r="CD1614" s="30"/>
      <c r="CE1614" s="30"/>
      <c r="CF1614" s="30"/>
      <c r="CG1614" s="30"/>
      <c r="CH1614" s="30"/>
      <c r="CI1614" s="30"/>
      <c r="CJ1614" s="30"/>
      <c r="CK1614" s="30"/>
      <c r="CL1614" s="30"/>
      <c r="CM1614" s="30"/>
      <c r="CN1614" s="1"/>
      <c r="CO1614" s="1"/>
      <c r="CP1614" s="1"/>
      <c r="CQ1614" s="1"/>
      <c r="CR1614" s="1"/>
      <c r="CS1614" s="1"/>
      <c r="CT1614" s="1"/>
      <c r="CU1614" s="1"/>
      <c r="CV1614" s="1"/>
      <c r="CW1614" s="1"/>
    </row>
    <row r="1615" spans="2:101" ht="15" hidden="1" customHeight="1" x14ac:dyDescent="0.25"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30"/>
      <c r="AQ1615" s="30"/>
      <c r="AR1615" s="30"/>
      <c r="AS1615" s="30"/>
      <c r="AT1615" s="30"/>
      <c r="AU1615" s="30"/>
      <c r="AV1615" s="30"/>
      <c r="AW1615" s="30"/>
      <c r="AX1615" s="30"/>
      <c r="AY1615" s="30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30"/>
      <c r="BK1615" s="30"/>
      <c r="BL1615" s="30"/>
      <c r="BM1615" s="30"/>
      <c r="BN1615" s="30"/>
      <c r="BO1615" s="30"/>
      <c r="BP1615" s="30"/>
      <c r="BQ1615" s="30"/>
      <c r="BR1615" s="30"/>
      <c r="BS1615" s="30"/>
      <c r="BT1615" s="1"/>
      <c r="BU1615" s="1"/>
      <c r="BV1615" s="1"/>
      <c r="BW1615" s="1"/>
      <c r="BX1615" s="1"/>
      <c r="BY1615" s="1"/>
      <c r="BZ1615" s="1"/>
      <c r="CA1615" s="1"/>
      <c r="CB1615" s="1"/>
      <c r="CC1615" s="1"/>
      <c r="CD1615" s="30"/>
      <c r="CE1615" s="30"/>
      <c r="CF1615" s="30"/>
      <c r="CG1615" s="30"/>
      <c r="CH1615" s="30"/>
      <c r="CI1615" s="30"/>
      <c r="CJ1615" s="30"/>
      <c r="CK1615" s="30"/>
      <c r="CL1615" s="30"/>
      <c r="CM1615" s="30"/>
      <c r="CN1615" s="1"/>
      <c r="CO1615" s="1"/>
      <c r="CP1615" s="1"/>
      <c r="CQ1615" s="1"/>
      <c r="CR1615" s="1"/>
      <c r="CS1615" s="1"/>
      <c r="CT1615" s="1"/>
      <c r="CU1615" s="1"/>
      <c r="CV1615" s="1"/>
      <c r="CW1615" s="1"/>
    </row>
    <row r="1616" spans="2:101" ht="15" hidden="1" customHeight="1" x14ac:dyDescent="0.25"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30"/>
      <c r="AQ1616" s="30"/>
      <c r="AR1616" s="30"/>
      <c r="AS1616" s="30"/>
      <c r="AT1616" s="30"/>
      <c r="AU1616" s="30"/>
      <c r="AV1616" s="30"/>
      <c r="AW1616" s="30"/>
      <c r="AX1616" s="30"/>
      <c r="AY1616" s="30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30"/>
      <c r="BK1616" s="30"/>
      <c r="BL1616" s="30"/>
      <c r="BM1616" s="30"/>
      <c r="BN1616" s="30"/>
      <c r="BO1616" s="30"/>
      <c r="BP1616" s="30"/>
      <c r="BQ1616" s="30"/>
      <c r="BR1616" s="30"/>
      <c r="BS1616" s="30"/>
      <c r="BT1616" s="1"/>
      <c r="BU1616" s="1"/>
      <c r="BV1616" s="1"/>
      <c r="BW1616" s="1"/>
      <c r="BX1616" s="1"/>
      <c r="BY1616" s="1"/>
      <c r="BZ1616" s="1"/>
      <c r="CA1616" s="1"/>
      <c r="CB1616" s="1"/>
      <c r="CC1616" s="1"/>
      <c r="CD1616" s="30"/>
      <c r="CE1616" s="30"/>
      <c r="CF1616" s="30"/>
      <c r="CG1616" s="30"/>
      <c r="CH1616" s="30"/>
      <c r="CI1616" s="30"/>
      <c r="CJ1616" s="30"/>
      <c r="CK1616" s="30"/>
      <c r="CL1616" s="30"/>
      <c r="CM1616" s="30"/>
      <c r="CN1616" s="1"/>
      <c r="CO1616" s="1"/>
      <c r="CP1616" s="1"/>
      <c r="CQ1616" s="1"/>
      <c r="CR1616" s="1"/>
      <c r="CS1616" s="1"/>
      <c r="CT1616" s="1"/>
      <c r="CU1616" s="1"/>
      <c r="CV1616" s="1"/>
      <c r="CW1616" s="1"/>
    </row>
    <row r="1617" spans="2:101" ht="15" hidden="1" customHeight="1" x14ac:dyDescent="0.25"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30"/>
      <c r="AQ1617" s="30"/>
      <c r="AR1617" s="30"/>
      <c r="AS1617" s="30"/>
      <c r="AT1617" s="30"/>
      <c r="AU1617" s="30"/>
      <c r="AV1617" s="30"/>
      <c r="AW1617" s="30"/>
      <c r="AX1617" s="30"/>
      <c r="AY1617" s="30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30"/>
      <c r="BK1617" s="30"/>
      <c r="BL1617" s="30"/>
      <c r="BM1617" s="30"/>
      <c r="BN1617" s="30"/>
      <c r="BO1617" s="30"/>
      <c r="BP1617" s="30"/>
      <c r="BQ1617" s="30"/>
      <c r="BR1617" s="30"/>
      <c r="BS1617" s="30"/>
      <c r="BT1617" s="1"/>
      <c r="BU1617" s="1"/>
      <c r="BV1617" s="1"/>
      <c r="BW1617" s="1"/>
      <c r="BX1617" s="1"/>
      <c r="BY1617" s="1"/>
      <c r="BZ1617" s="1"/>
      <c r="CA1617" s="1"/>
      <c r="CB1617" s="1"/>
      <c r="CC1617" s="1"/>
      <c r="CD1617" s="30"/>
      <c r="CE1617" s="30"/>
      <c r="CF1617" s="30"/>
      <c r="CG1617" s="30"/>
      <c r="CH1617" s="30"/>
      <c r="CI1617" s="30"/>
      <c r="CJ1617" s="30"/>
      <c r="CK1617" s="30"/>
      <c r="CL1617" s="30"/>
      <c r="CM1617" s="30"/>
      <c r="CN1617" s="1"/>
      <c r="CO1617" s="1"/>
      <c r="CP1617" s="1"/>
      <c r="CQ1617" s="1"/>
      <c r="CR1617" s="1"/>
      <c r="CS1617" s="1"/>
      <c r="CT1617" s="1"/>
      <c r="CU1617" s="1"/>
      <c r="CV1617" s="1"/>
      <c r="CW1617" s="1"/>
    </row>
    <row r="1618" spans="2:101" ht="15" hidden="1" customHeight="1" x14ac:dyDescent="0.25"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30"/>
      <c r="AQ1618" s="30"/>
      <c r="AR1618" s="30"/>
      <c r="AS1618" s="30"/>
      <c r="AT1618" s="30"/>
      <c r="AU1618" s="30"/>
      <c r="AV1618" s="30"/>
      <c r="AW1618" s="30"/>
      <c r="AX1618" s="30"/>
      <c r="AY1618" s="30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30"/>
      <c r="BK1618" s="30"/>
      <c r="BL1618" s="30"/>
      <c r="BM1618" s="30"/>
      <c r="BN1618" s="30"/>
      <c r="BO1618" s="30"/>
      <c r="BP1618" s="30"/>
      <c r="BQ1618" s="30"/>
      <c r="BR1618" s="30"/>
      <c r="BS1618" s="30"/>
      <c r="BT1618" s="1"/>
      <c r="BU1618" s="1"/>
      <c r="BV1618" s="1"/>
      <c r="BW1618" s="1"/>
      <c r="BX1618" s="1"/>
      <c r="BY1618" s="1"/>
      <c r="BZ1618" s="1"/>
      <c r="CA1618" s="1"/>
      <c r="CB1618" s="1"/>
      <c r="CC1618" s="1"/>
      <c r="CD1618" s="30"/>
      <c r="CE1618" s="30"/>
      <c r="CF1618" s="30"/>
      <c r="CG1618" s="30"/>
      <c r="CH1618" s="30"/>
      <c r="CI1618" s="30"/>
      <c r="CJ1618" s="30"/>
      <c r="CK1618" s="30"/>
      <c r="CL1618" s="30"/>
      <c r="CM1618" s="30"/>
      <c r="CN1618" s="1"/>
      <c r="CO1618" s="1"/>
      <c r="CP1618" s="1"/>
      <c r="CQ1618" s="1"/>
      <c r="CR1618" s="1"/>
      <c r="CS1618" s="1"/>
      <c r="CT1618" s="1"/>
      <c r="CU1618" s="1"/>
      <c r="CV1618" s="1"/>
      <c r="CW1618" s="1"/>
    </row>
    <row r="1619" spans="2:101" ht="15" hidden="1" customHeight="1" x14ac:dyDescent="0.25"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30"/>
      <c r="AQ1619" s="30"/>
      <c r="AR1619" s="30"/>
      <c r="AS1619" s="30"/>
      <c r="AT1619" s="30"/>
      <c r="AU1619" s="30"/>
      <c r="AV1619" s="30"/>
      <c r="AW1619" s="30"/>
      <c r="AX1619" s="30"/>
      <c r="AY1619" s="30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30"/>
      <c r="BK1619" s="30"/>
      <c r="BL1619" s="30"/>
      <c r="BM1619" s="30"/>
      <c r="BN1619" s="30"/>
      <c r="BO1619" s="30"/>
      <c r="BP1619" s="30"/>
      <c r="BQ1619" s="30"/>
      <c r="BR1619" s="30"/>
      <c r="BS1619" s="30"/>
      <c r="BT1619" s="1"/>
      <c r="BU1619" s="1"/>
      <c r="BV1619" s="1"/>
      <c r="BW1619" s="1"/>
      <c r="BX1619" s="1"/>
      <c r="BY1619" s="1"/>
      <c r="BZ1619" s="1"/>
      <c r="CA1619" s="1"/>
      <c r="CB1619" s="1"/>
      <c r="CC1619" s="1"/>
      <c r="CD1619" s="30"/>
      <c r="CE1619" s="30"/>
      <c r="CF1619" s="30"/>
      <c r="CG1619" s="30"/>
      <c r="CH1619" s="30"/>
      <c r="CI1619" s="30"/>
      <c r="CJ1619" s="30"/>
      <c r="CK1619" s="30"/>
      <c r="CL1619" s="30"/>
      <c r="CM1619" s="30"/>
      <c r="CN1619" s="1"/>
      <c r="CO1619" s="1"/>
      <c r="CP1619" s="1"/>
      <c r="CQ1619" s="1"/>
      <c r="CR1619" s="1"/>
      <c r="CS1619" s="1"/>
      <c r="CT1619" s="1"/>
      <c r="CU1619" s="1"/>
      <c r="CV1619" s="1"/>
      <c r="CW1619" s="1"/>
    </row>
    <row r="1620" spans="2:101" ht="15" hidden="1" customHeight="1" x14ac:dyDescent="0.25"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30"/>
      <c r="AQ1620" s="30"/>
      <c r="AR1620" s="30"/>
      <c r="AS1620" s="30"/>
      <c r="AT1620" s="30"/>
      <c r="AU1620" s="30"/>
      <c r="AV1620" s="30"/>
      <c r="AW1620" s="30"/>
      <c r="AX1620" s="30"/>
      <c r="AY1620" s="30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30"/>
      <c r="BK1620" s="30"/>
      <c r="BL1620" s="30"/>
      <c r="BM1620" s="30"/>
      <c r="BN1620" s="30"/>
      <c r="BO1620" s="30"/>
      <c r="BP1620" s="30"/>
      <c r="BQ1620" s="30"/>
      <c r="BR1620" s="30"/>
      <c r="BS1620" s="30"/>
      <c r="BT1620" s="1"/>
      <c r="BU1620" s="1"/>
      <c r="BV1620" s="1"/>
      <c r="BW1620" s="1"/>
      <c r="BX1620" s="1"/>
      <c r="BY1620" s="1"/>
      <c r="BZ1620" s="1"/>
      <c r="CA1620" s="1"/>
      <c r="CB1620" s="1"/>
      <c r="CC1620" s="1"/>
      <c r="CD1620" s="30"/>
      <c r="CE1620" s="30"/>
      <c r="CF1620" s="30"/>
      <c r="CG1620" s="30"/>
      <c r="CH1620" s="30"/>
      <c r="CI1620" s="30"/>
      <c r="CJ1620" s="30"/>
      <c r="CK1620" s="30"/>
      <c r="CL1620" s="30"/>
      <c r="CM1620" s="30"/>
      <c r="CN1620" s="1"/>
      <c r="CO1620" s="1"/>
      <c r="CP1620" s="1"/>
      <c r="CQ1620" s="1"/>
      <c r="CR1620" s="1"/>
      <c r="CS1620" s="1"/>
      <c r="CT1620" s="1"/>
      <c r="CU1620" s="1"/>
      <c r="CV1620" s="1"/>
      <c r="CW1620" s="1"/>
    </row>
    <row r="1621" spans="2:101" ht="15" hidden="1" customHeight="1" x14ac:dyDescent="0.25"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30"/>
      <c r="AQ1621" s="30"/>
      <c r="AR1621" s="30"/>
      <c r="AS1621" s="30"/>
      <c r="AT1621" s="30"/>
      <c r="AU1621" s="30"/>
      <c r="AV1621" s="30"/>
      <c r="AW1621" s="30"/>
      <c r="AX1621" s="30"/>
      <c r="AY1621" s="30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30"/>
      <c r="BK1621" s="30"/>
      <c r="BL1621" s="30"/>
      <c r="BM1621" s="30"/>
      <c r="BN1621" s="30"/>
      <c r="BO1621" s="30"/>
      <c r="BP1621" s="30"/>
      <c r="BQ1621" s="30"/>
      <c r="BR1621" s="30"/>
      <c r="BS1621" s="30"/>
      <c r="BT1621" s="1"/>
      <c r="BU1621" s="1"/>
      <c r="BV1621" s="1"/>
      <c r="BW1621" s="1"/>
      <c r="BX1621" s="1"/>
      <c r="BY1621" s="1"/>
      <c r="BZ1621" s="1"/>
      <c r="CA1621" s="1"/>
      <c r="CB1621" s="1"/>
      <c r="CC1621" s="1"/>
      <c r="CD1621" s="30"/>
      <c r="CE1621" s="30"/>
      <c r="CF1621" s="30"/>
      <c r="CG1621" s="30"/>
      <c r="CH1621" s="30"/>
      <c r="CI1621" s="30"/>
      <c r="CJ1621" s="30"/>
      <c r="CK1621" s="30"/>
      <c r="CL1621" s="30"/>
      <c r="CM1621" s="30"/>
      <c r="CN1621" s="1"/>
      <c r="CO1621" s="1"/>
      <c r="CP1621" s="1"/>
      <c r="CQ1621" s="1"/>
      <c r="CR1621" s="1"/>
      <c r="CS1621" s="1"/>
      <c r="CT1621" s="1"/>
      <c r="CU1621" s="1"/>
      <c r="CV1621" s="1"/>
      <c r="CW1621" s="1"/>
    </row>
    <row r="1622" spans="2:101" ht="15" hidden="1" customHeight="1" x14ac:dyDescent="0.25"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30"/>
      <c r="AQ1622" s="30"/>
      <c r="AR1622" s="30"/>
      <c r="AS1622" s="30"/>
      <c r="AT1622" s="30"/>
      <c r="AU1622" s="30"/>
      <c r="AV1622" s="30"/>
      <c r="AW1622" s="30"/>
      <c r="AX1622" s="30"/>
      <c r="AY1622" s="30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30"/>
      <c r="BK1622" s="30"/>
      <c r="BL1622" s="30"/>
      <c r="BM1622" s="30"/>
      <c r="BN1622" s="30"/>
      <c r="BO1622" s="30"/>
      <c r="BP1622" s="30"/>
      <c r="BQ1622" s="30"/>
      <c r="BR1622" s="30"/>
      <c r="BS1622" s="30"/>
      <c r="BT1622" s="1"/>
      <c r="BU1622" s="1"/>
      <c r="BV1622" s="1"/>
      <c r="BW1622" s="1"/>
      <c r="BX1622" s="1"/>
      <c r="BY1622" s="1"/>
      <c r="BZ1622" s="1"/>
      <c r="CA1622" s="1"/>
      <c r="CB1622" s="1"/>
      <c r="CC1622" s="1"/>
      <c r="CD1622" s="30"/>
      <c r="CE1622" s="30"/>
      <c r="CF1622" s="30"/>
      <c r="CG1622" s="30"/>
      <c r="CH1622" s="30"/>
      <c r="CI1622" s="30"/>
      <c r="CJ1622" s="30"/>
      <c r="CK1622" s="30"/>
      <c r="CL1622" s="30"/>
      <c r="CM1622" s="30"/>
      <c r="CN1622" s="1"/>
      <c r="CO1622" s="1"/>
      <c r="CP1622" s="1"/>
      <c r="CQ1622" s="1"/>
      <c r="CR1622" s="1"/>
      <c r="CS1622" s="1"/>
      <c r="CT1622" s="1"/>
      <c r="CU1622" s="1"/>
      <c r="CV1622" s="1"/>
      <c r="CW1622" s="1"/>
    </row>
    <row r="1623" spans="2:101" ht="15" hidden="1" customHeight="1" x14ac:dyDescent="0.25"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30"/>
      <c r="AQ1623" s="30"/>
      <c r="AR1623" s="30"/>
      <c r="AS1623" s="30"/>
      <c r="AT1623" s="30"/>
      <c r="AU1623" s="30"/>
      <c r="AV1623" s="30"/>
      <c r="AW1623" s="30"/>
      <c r="AX1623" s="30"/>
      <c r="AY1623" s="30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30"/>
      <c r="BK1623" s="30"/>
      <c r="BL1623" s="30"/>
      <c r="BM1623" s="30"/>
      <c r="BN1623" s="30"/>
      <c r="BO1623" s="30"/>
      <c r="BP1623" s="30"/>
      <c r="BQ1623" s="30"/>
      <c r="BR1623" s="30"/>
      <c r="BS1623" s="30"/>
      <c r="BT1623" s="1"/>
      <c r="BU1623" s="1"/>
      <c r="BV1623" s="1"/>
      <c r="BW1623" s="1"/>
      <c r="BX1623" s="1"/>
      <c r="BY1623" s="1"/>
      <c r="BZ1623" s="1"/>
      <c r="CA1623" s="1"/>
      <c r="CB1623" s="1"/>
      <c r="CC1623" s="1"/>
      <c r="CD1623" s="30"/>
      <c r="CE1623" s="30"/>
      <c r="CF1623" s="30"/>
      <c r="CG1623" s="30"/>
      <c r="CH1623" s="30"/>
      <c r="CI1623" s="30"/>
      <c r="CJ1623" s="30"/>
      <c r="CK1623" s="30"/>
      <c r="CL1623" s="30"/>
      <c r="CM1623" s="30"/>
      <c r="CN1623" s="1"/>
      <c r="CO1623" s="1"/>
      <c r="CP1623" s="1"/>
      <c r="CQ1623" s="1"/>
      <c r="CR1623" s="1"/>
      <c r="CS1623" s="1"/>
      <c r="CT1623" s="1"/>
      <c r="CU1623" s="1"/>
      <c r="CV1623" s="1"/>
      <c r="CW1623" s="1"/>
    </row>
    <row r="1624" spans="2:101" ht="15" hidden="1" customHeight="1" x14ac:dyDescent="0.25"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30"/>
      <c r="AQ1624" s="30"/>
      <c r="AR1624" s="30"/>
      <c r="AS1624" s="30"/>
      <c r="AT1624" s="30"/>
      <c r="AU1624" s="30"/>
      <c r="AV1624" s="30"/>
      <c r="AW1624" s="30"/>
      <c r="AX1624" s="30"/>
      <c r="AY1624" s="30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30"/>
      <c r="BK1624" s="30"/>
      <c r="BL1624" s="30"/>
      <c r="BM1624" s="30"/>
      <c r="BN1624" s="30"/>
      <c r="BO1624" s="30"/>
      <c r="BP1624" s="30"/>
      <c r="BQ1624" s="30"/>
      <c r="BR1624" s="30"/>
      <c r="BS1624" s="30"/>
      <c r="BT1624" s="1"/>
      <c r="BU1624" s="1"/>
      <c r="BV1624" s="1"/>
      <c r="BW1624" s="1"/>
      <c r="BX1624" s="1"/>
      <c r="BY1624" s="1"/>
      <c r="BZ1624" s="1"/>
      <c r="CA1624" s="1"/>
      <c r="CB1624" s="1"/>
      <c r="CC1624" s="1"/>
      <c r="CD1624" s="30"/>
      <c r="CE1624" s="30"/>
      <c r="CF1624" s="30"/>
      <c r="CG1624" s="30"/>
      <c r="CH1624" s="30"/>
      <c r="CI1624" s="30"/>
      <c r="CJ1624" s="30"/>
      <c r="CK1624" s="30"/>
      <c r="CL1624" s="30"/>
      <c r="CM1624" s="30"/>
      <c r="CN1624" s="1"/>
      <c r="CO1624" s="1"/>
      <c r="CP1624" s="1"/>
      <c r="CQ1624" s="1"/>
      <c r="CR1624" s="1"/>
      <c r="CS1624" s="1"/>
      <c r="CT1624" s="1"/>
      <c r="CU1624" s="1"/>
      <c r="CV1624" s="1"/>
      <c r="CW1624" s="1"/>
    </row>
    <row r="1625" spans="2:101" ht="15" hidden="1" customHeight="1" x14ac:dyDescent="0.25"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30"/>
      <c r="AQ1625" s="30"/>
      <c r="AR1625" s="30"/>
      <c r="AS1625" s="30"/>
      <c r="AT1625" s="30"/>
      <c r="AU1625" s="30"/>
      <c r="AV1625" s="30"/>
      <c r="AW1625" s="30"/>
      <c r="AX1625" s="30"/>
      <c r="AY1625" s="30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30"/>
      <c r="BK1625" s="30"/>
      <c r="BL1625" s="30"/>
      <c r="BM1625" s="30"/>
      <c r="BN1625" s="30"/>
      <c r="BO1625" s="30"/>
      <c r="BP1625" s="30"/>
      <c r="BQ1625" s="30"/>
      <c r="BR1625" s="30"/>
      <c r="BS1625" s="30"/>
      <c r="BT1625" s="1"/>
      <c r="BU1625" s="1"/>
      <c r="BV1625" s="1"/>
      <c r="BW1625" s="1"/>
      <c r="BX1625" s="1"/>
      <c r="BY1625" s="1"/>
      <c r="BZ1625" s="1"/>
      <c r="CA1625" s="1"/>
      <c r="CB1625" s="1"/>
      <c r="CC1625" s="1"/>
      <c r="CD1625" s="30"/>
      <c r="CE1625" s="30"/>
      <c r="CF1625" s="30"/>
      <c r="CG1625" s="30"/>
      <c r="CH1625" s="30"/>
      <c r="CI1625" s="30"/>
      <c r="CJ1625" s="30"/>
      <c r="CK1625" s="30"/>
      <c r="CL1625" s="30"/>
      <c r="CM1625" s="30"/>
      <c r="CN1625" s="1"/>
      <c r="CO1625" s="1"/>
      <c r="CP1625" s="1"/>
      <c r="CQ1625" s="1"/>
      <c r="CR1625" s="1"/>
      <c r="CS1625" s="1"/>
      <c r="CT1625" s="1"/>
      <c r="CU1625" s="1"/>
      <c r="CV1625" s="1"/>
      <c r="CW1625" s="1"/>
    </row>
    <row r="1626" spans="2:101" ht="15" hidden="1" customHeight="1" x14ac:dyDescent="0.25"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30"/>
      <c r="AQ1626" s="30"/>
      <c r="AR1626" s="30"/>
      <c r="AS1626" s="30"/>
      <c r="AT1626" s="30"/>
      <c r="AU1626" s="30"/>
      <c r="AV1626" s="30"/>
      <c r="AW1626" s="30"/>
      <c r="AX1626" s="30"/>
      <c r="AY1626" s="30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30"/>
      <c r="BK1626" s="30"/>
      <c r="BL1626" s="30"/>
      <c r="BM1626" s="30"/>
      <c r="BN1626" s="30"/>
      <c r="BO1626" s="30"/>
      <c r="BP1626" s="30"/>
      <c r="BQ1626" s="30"/>
      <c r="BR1626" s="30"/>
      <c r="BS1626" s="30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30"/>
      <c r="CE1626" s="30"/>
      <c r="CF1626" s="30"/>
      <c r="CG1626" s="30"/>
      <c r="CH1626" s="30"/>
      <c r="CI1626" s="30"/>
      <c r="CJ1626" s="30"/>
      <c r="CK1626" s="30"/>
      <c r="CL1626" s="30"/>
      <c r="CM1626" s="30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</row>
    <row r="1627" spans="2:101" ht="15" hidden="1" customHeight="1" x14ac:dyDescent="0.25"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30"/>
      <c r="AQ1627" s="30"/>
      <c r="AR1627" s="30"/>
      <c r="AS1627" s="30"/>
      <c r="AT1627" s="30"/>
      <c r="AU1627" s="30"/>
      <c r="AV1627" s="30"/>
      <c r="AW1627" s="30"/>
      <c r="AX1627" s="30"/>
      <c r="AY1627" s="30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30"/>
      <c r="BK1627" s="30"/>
      <c r="BL1627" s="30"/>
      <c r="BM1627" s="30"/>
      <c r="BN1627" s="30"/>
      <c r="BO1627" s="30"/>
      <c r="BP1627" s="30"/>
      <c r="BQ1627" s="30"/>
      <c r="BR1627" s="30"/>
      <c r="BS1627" s="30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30"/>
      <c r="CE1627" s="30"/>
      <c r="CF1627" s="30"/>
      <c r="CG1627" s="30"/>
      <c r="CH1627" s="30"/>
      <c r="CI1627" s="30"/>
      <c r="CJ1627" s="30"/>
      <c r="CK1627" s="30"/>
      <c r="CL1627" s="30"/>
      <c r="CM1627" s="30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</row>
    <row r="1628" spans="2:101" ht="15" hidden="1" customHeight="1" x14ac:dyDescent="0.25"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30"/>
      <c r="AQ1628" s="30"/>
      <c r="AR1628" s="30"/>
      <c r="AS1628" s="30"/>
      <c r="AT1628" s="30"/>
      <c r="AU1628" s="30"/>
      <c r="AV1628" s="30"/>
      <c r="AW1628" s="30"/>
      <c r="AX1628" s="30"/>
      <c r="AY1628" s="30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30"/>
      <c r="BK1628" s="30"/>
      <c r="BL1628" s="30"/>
      <c r="BM1628" s="30"/>
      <c r="BN1628" s="30"/>
      <c r="BO1628" s="30"/>
      <c r="BP1628" s="30"/>
      <c r="BQ1628" s="30"/>
      <c r="BR1628" s="30"/>
      <c r="BS1628" s="30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30"/>
      <c r="CE1628" s="30"/>
      <c r="CF1628" s="30"/>
      <c r="CG1628" s="30"/>
      <c r="CH1628" s="30"/>
      <c r="CI1628" s="30"/>
      <c r="CJ1628" s="30"/>
      <c r="CK1628" s="30"/>
      <c r="CL1628" s="30"/>
      <c r="CM1628" s="30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</row>
    <row r="1629" spans="2:101" ht="15" hidden="1" customHeight="1" x14ac:dyDescent="0.25"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30"/>
      <c r="AQ1629" s="30"/>
      <c r="AR1629" s="30"/>
      <c r="AS1629" s="30"/>
      <c r="AT1629" s="30"/>
      <c r="AU1629" s="30"/>
      <c r="AV1629" s="30"/>
      <c r="AW1629" s="30"/>
      <c r="AX1629" s="30"/>
      <c r="AY1629" s="30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30"/>
      <c r="BK1629" s="30"/>
      <c r="BL1629" s="30"/>
      <c r="BM1629" s="30"/>
      <c r="BN1629" s="30"/>
      <c r="BO1629" s="30"/>
      <c r="BP1629" s="30"/>
      <c r="BQ1629" s="30"/>
      <c r="BR1629" s="30"/>
      <c r="BS1629" s="30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30"/>
      <c r="CE1629" s="30"/>
      <c r="CF1629" s="30"/>
      <c r="CG1629" s="30"/>
      <c r="CH1629" s="30"/>
      <c r="CI1629" s="30"/>
      <c r="CJ1629" s="30"/>
      <c r="CK1629" s="30"/>
      <c r="CL1629" s="30"/>
      <c r="CM1629" s="30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</row>
    <row r="1630" spans="2:101" ht="15" hidden="1" customHeight="1" x14ac:dyDescent="0.25"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30"/>
      <c r="W1630" s="30"/>
      <c r="X1630" s="30"/>
      <c r="Y1630" s="30"/>
      <c r="Z1630" s="30"/>
      <c r="AA1630" s="30"/>
      <c r="AB1630" s="30"/>
      <c r="AC1630" s="30"/>
      <c r="AD1630" s="30"/>
      <c r="AE1630" s="30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30"/>
      <c r="AQ1630" s="30"/>
      <c r="AR1630" s="30"/>
      <c r="AS1630" s="30"/>
      <c r="AT1630" s="30"/>
      <c r="AU1630" s="30"/>
      <c r="AV1630" s="30"/>
      <c r="AW1630" s="30"/>
      <c r="AX1630" s="30"/>
      <c r="AY1630" s="30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30"/>
      <c r="BK1630" s="30"/>
      <c r="BL1630" s="30"/>
      <c r="BM1630" s="30"/>
      <c r="BN1630" s="30"/>
      <c r="BO1630" s="30"/>
      <c r="BP1630" s="30"/>
      <c r="BQ1630" s="30"/>
      <c r="BR1630" s="30"/>
      <c r="BS1630" s="30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30"/>
      <c r="CE1630" s="30"/>
      <c r="CF1630" s="30"/>
      <c r="CG1630" s="30"/>
      <c r="CH1630" s="30"/>
      <c r="CI1630" s="30"/>
      <c r="CJ1630" s="30"/>
      <c r="CK1630" s="30"/>
      <c r="CL1630" s="30"/>
      <c r="CM1630" s="30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</row>
    <row r="1631" spans="2:101" ht="15" hidden="1" customHeight="1" x14ac:dyDescent="0.25"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30"/>
      <c r="W1631" s="30"/>
      <c r="X1631" s="30"/>
      <c r="Y1631" s="30"/>
      <c r="Z1631" s="30"/>
      <c r="AA1631" s="30"/>
      <c r="AB1631" s="30"/>
      <c r="AC1631" s="30"/>
      <c r="AD1631" s="30"/>
      <c r="AE1631" s="30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30"/>
      <c r="AQ1631" s="30"/>
      <c r="AR1631" s="30"/>
      <c r="AS1631" s="30"/>
      <c r="AT1631" s="30"/>
      <c r="AU1631" s="30"/>
      <c r="AV1631" s="30"/>
      <c r="AW1631" s="30"/>
      <c r="AX1631" s="30"/>
      <c r="AY1631" s="30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30"/>
      <c r="BK1631" s="30"/>
      <c r="BL1631" s="30"/>
      <c r="BM1631" s="30"/>
      <c r="BN1631" s="30"/>
      <c r="BO1631" s="30"/>
      <c r="BP1631" s="30"/>
      <c r="BQ1631" s="30"/>
      <c r="BR1631" s="30"/>
      <c r="BS1631" s="30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30"/>
      <c r="CE1631" s="30"/>
      <c r="CF1631" s="30"/>
      <c r="CG1631" s="30"/>
      <c r="CH1631" s="30"/>
      <c r="CI1631" s="30"/>
      <c r="CJ1631" s="30"/>
      <c r="CK1631" s="30"/>
      <c r="CL1631" s="30"/>
      <c r="CM1631" s="30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</row>
    <row r="1632" spans="2:101" ht="15" hidden="1" customHeight="1" x14ac:dyDescent="0.25"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30"/>
      <c r="W1632" s="30"/>
      <c r="X1632" s="30"/>
      <c r="Y1632" s="30"/>
      <c r="Z1632" s="30"/>
      <c r="AA1632" s="30"/>
      <c r="AB1632" s="30"/>
      <c r="AC1632" s="30"/>
      <c r="AD1632" s="30"/>
      <c r="AE1632" s="30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30"/>
      <c r="AQ1632" s="30"/>
      <c r="AR1632" s="30"/>
      <c r="AS1632" s="30"/>
      <c r="AT1632" s="30"/>
      <c r="AU1632" s="30"/>
      <c r="AV1632" s="30"/>
      <c r="AW1632" s="30"/>
      <c r="AX1632" s="30"/>
      <c r="AY1632" s="30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30"/>
      <c r="BK1632" s="30"/>
      <c r="BL1632" s="30"/>
      <c r="BM1632" s="30"/>
      <c r="BN1632" s="30"/>
      <c r="BO1632" s="30"/>
      <c r="BP1632" s="30"/>
      <c r="BQ1632" s="30"/>
      <c r="BR1632" s="30"/>
      <c r="BS1632" s="30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30"/>
      <c r="CE1632" s="30"/>
      <c r="CF1632" s="30"/>
      <c r="CG1632" s="30"/>
      <c r="CH1632" s="30"/>
      <c r="CI1632" s="30"/>
      <c r="CJ1632" s="30"/>
      <c r="CK1632" s="30"/>
      <c r="CL1632" s="30"/>
      <c r="CM1632" s="30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</row>
    <row r="1633" spans="2:101" ht="15" hidden="1" customHeight="1" x14ac:dyDescent="0.25"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30"/>
      <c r="W1633" s="30"/>
      <c r="X1633" s="30"/>
      <c r="Y1633" s="30"/>
      <c r="Z1633" s="30"/>
      <c r="AA1633" s="30"/>
      <c r="AB1633" s="30"/>
      <c r="AC1633" s="30"/>
      <c r="AD1633" s="30"/>
      <c r="AE1633" s="30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30"/>
      <c r="AQ1633" s="30"/>
      <c r="AR1633" s="30"/>
      <c r="AS1633" s="30"/>
      <c r="AT1633" s="30"/>
      <c r="AU1633" s="30"/>
      <c r="AV1633" s="30"/>
      <c r="AW1633" s="30"/>
      <c r="AX1633" s="30"/>
      <c r="AY1633" s="30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30"/>
      <c r="BK1633" s="30"/>
      <c r="BL1633" s="30"/>
      <c r="BM1633" s="30"/>
      <c r="BN1633" s="30"/>
      <c r="BO1633" s="30"/>
      <c r="BP1633" s="30"/>
      <c r="BQ1633" s="30"/>
      <c r="BR1633" s="30"/>
      <c r="BS1633" s="30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30"/>
      <c r="CE1633" s="30"/>
      <c r="CF1633" s="30"/>
      <c r="CG1633" s="30"/>
      <c r="CH1633" s="30"/>
      <c r="CI1633" s="30"/>
      <c r="CJ1633" s="30"/>
      <c r="CK1633" s="30"/>
      <c r="CL1633" s="30"/>
      <c r="CM1633" s="30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</row>
    <row r="1634" spans="2:101" ht="15" hidden="1" customHeight="1" x14ac:dyDescent="0.25"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30"/>
      <c r="W1634" s="30"/>
      <c r="X1634" s="30"/>
      <c r="Y1634" s="30"/>
      <c r="Z1634" s="30"/>
      <c r="AA1634" s="30"/>
      <c r="AB1634" s="30"/>
      <c r="AC1634" s="30"/>
      <c r="AD1634" s="30"/>
      <c r="AE1634" s="30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30"/>
      <c r="AQ1634" s="30"/>
      <c r="AR1634" s="30"/>
      <c r="AS1634" s="30"/>
      <c r="AT1634" s="30"/>
      <c r="AU1634" s="30"/>
      <c r="AV1634" s="30"/>
      <c r="AW1634" s="30"/>
      <c r="AX1634" s="30"/>
      <c r="AY1634" s="30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30"/>
      <c r="BK1634" s="30"/>
      <c r="BL1634" s="30"/>
      <c r="BM1634" s="30"/>
      <c r="BN1634" s="30"/>
      <c r="BO1634" s="30"/>
      <c r="BP1634" s="30"/>
      <c r="BQ1634" s="30"/>
      <c r="BR1634" s="30"/>
      <c r="BS1634" s="30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30"/>
      <c r="CE1634" s="30"/>
      <c r="CF1634" s="30"/>
      <c r="CG1634" s="30"/>
      <c r="CH1634" s="30"/>
      <c r="CI1634" s="30"/>
      <c r="CJ1634" s="30"/>
      <c r="CK1634" s="30"/>
      <c r="CL1634" s="30"/>
      <c r="CM1634" s="30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</row>
    <row r="1635" spans="2:101" ht="15" hidden="1" customHeight="1" x14ac:dyDescent="0.25"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30"/>
      <c r="W1635" s="30"/>
      <c r="X1635" s="30"/>
      <c r="Y1635" s="30"/>
      <c r="Z1635" s="30"/>
      <c r="AA1635" s="30"/>
      <c r="AB1635" s="30"/>
      <c r="AC1635" s="30"/>
      <c r="AD1635" s="30"/>
      <c r="AE1635" s="30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30"/>
      <c r="AQ1635" s="30"/>
      <c r="AR1635" s="30"/>
      <c r="AS1635" s="30"/>
      <c r="AT1635" s="30"/>
      <c r="AU1635" s="30"/>
      <c r="AV1635" s="30"/>
      <c r="AW1635" s="30"/>
      <c r="AX1635" s="30"/>
      <c r="AY1635" s="30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30"/>
      <c r="BK1635" s="30"/>
      <c r="BL1635" s="30"/>
      <c r="BM1635" s="30"/>
      <c r="BN1635" s="30"/>
      <c r="BO1635" s="30"/>
      <c r="BP1635" s="30"/>
      <c r="BQ1635" s="30"/>
      <c r="BR1635" s="30"/>
      <c r="BS1635" s="30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30"/>
      <c r="CE1635" s="30"/>
      <c r="CF1635" s="30"/>
      <c r="CG1635" s="30"/>
      <c r="CH1635" s="30"/>
      <c r="CI1635" s="30"/>
      <c r="CJ1635" s="30"/>
      <c r="CK1635" s="30"/>
      <c r="CL1635" s="30"/>
      <c r="CM1635" s="30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</row>
    <row r="1636" spans="2:101" ht="15" hidden="1" customHeight="1" x14ac:dyDescent="0.25"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30"/>
      <c r="W1636" s="30"/>
      <c r="X1636" s="30"/>
      <c r="Y1636" s="30"/>
      <c r="Z1636" s="30"/>
      <c r="AA1636" s="30"/>
      <c r="AB1636" s="30"/>
      <c r="AC1636" s="30"/>
      <c r="AD1636" s="30"/>
      <c r="AE1636" s="30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30"/>
      <c r="AQ1636" s="30"/>
      <c r="AR1636" s="30"/>
      <c r="AS1636" s="30"/>
      <c r="AT1636" s="30"/>
      <c r="AU1636" s="30"/>
      <c r="AV1636" s="30"/>
      <c r="AW1636" s="30"/>
      <c r="AX1636" s="30"/>
      <c r="AY1636" s="30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30"/>
      <c r="BK1636" s="30"/>
      <c r="BL1636" s="30"/>
      <c r="BM1636" s="30"/>
      <c r="BN1636" s="30"/>
      <c r="BO1636" s="30"/>
      <c r="BP1636" s="30"/>
      <c r="BQ1636" s="30"/>
      <c r="BR1636" s="30"/>
      <c r="BS1636" s="30"/>
      <c r="BT1636" s="1"/>
      <c r="BU1636" s="1"/>
      <c r="BV1636" s="1"/>
      <c r="BW1636" s="1"/>
      <c r="BX1636" s="1"/>
      <c r="BY1636" s="1"/>
      <c r="BZ1636" s="1"/>
      <c r="CA1636" s="1"/>
      <c r="CB1636" s="1"/>
      <c r="CC1636" s="1"/>
      <c r="CD1636" s="30"/>
      <c r="CE1636" s="30"/>
      <c r="CF1636" s="30"/>
      <c r="CG1636" s="30"/>
      <c r="CH1636" s="30"/>
      <c r="CI1636" s="30"/>
      <c r="CJ1636" s="30"/>
      <c r="CK1636" s="30"/>
      <c r="CL1636" s="30"/>
      <c r="CM1636" s="30"/>
      <c r="CN1636" s="1"/>
      <c r="CO1636" s="1"/>
      <c r="CP1636" s="1"/>
      <c r="CQ1636" s="1"/>
      <c r="CR1636" s="1"/>
      <c r="CS1636" s="1"/>
      <c r="CT1636" s="1"/>
      <c r="CU1636" s="1"/>
      <c r="CV1636" s="1"/>
      <c r="CW1636" s="1"/>
    </row>
    <row r="1637" spans="2:101" ht="15" hidden="1" customHeight="1" x14ac:dyDescent="0.25"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30"/>
      <c r="W1637" s="30"/>
      <c r="X1637" s="30"/>
      <c r="Y1637" s="30"/>
      <c r="Z1637" s="30"/>
      <c r="AA1637" s="30"/>
      <c r="AB1637" s="30"/>
      <c r="AC1637" s="30"/>
      <c r="AD1637" s="30"/>
      <c r="AE1637" s="30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30"/>
      <c r="AQ1637" s="30"/>
      <c r="AR1637" s="30"/>
      <c r="AS1637" s="30"/>
      <c r="AT1637" s="30"/>
      <c r="AU1637" s="30"/>
      <c r="AV1637" s="30"/>
      <c r="AW1637" s="30"/>
      <c r="AX1637" s="30"/>
      <c r="AY1637" s="30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30"/>
      <c r="BK1637" s="30"/>
      <c r="BL1637" s="30"/>
      <c r="BM1637" s="30"/>
      <c r="BN1637" s="30"/>
      <c r="BO1637" s="30"/>
      <c r="BP1637" s="30"/>
      <c r="BQ1637" s="30"/>
      <c r="BR1637" s="30"/>
      <c r="BS1637" s="30"/>
      <c r="BT1637" s="1"/>
      <c r="BU1637" s="1"/>
      <c r="BV1637" s="1"/>
      <c r="BW1637" s="1"/>
      <c r="BX1637" s="1"/>
      <c r="BY1637" s="1"/>
      <c r="BZ1637" s="1"/>
      <c r="CA1637" s="1"/>
      <c r="CB1637" s="1"/>
      <c r="CC1637" s="1"/>
      <c r="CD1637" s="30"/>
      <c r="CE1637" s="30"/>
      <c r="CF1637" s="30"/>
      <c r="CG1637" s="30"/>
      <c r="CH1637" s="30"/>
      <c r="CI1637" s="30"/>
      <c r="CJ1637" s="30"/>
      <c r="CK1637" s="30"/>
      <c r="CL1637" s="30"/>
      <c r="CM1637" s="30"/>
      <c r="CN1637" s="1"/>
      <c r="CO1637" s="1"/>
      <c r="CP1637" s="1"/>
      <c r="CQ1637" s="1"/>
      <c r="CR1637" s="1"/>
      <c r="CS1637" s="1"/>
      <c r="CT1637" s="1"/>
      <c r="CU1637" s="1"/>
      <c r="CV1637" s="1"/>
      <c r="CW1637" s="1"/>
    </row>
    <row r="1638" spans="2:101" ht="15" hidden="1" customHeight="1" x14ac:dyDescent="0.25"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30"/>
      <c r="W1638" s="30"/>
      <c r="X1638" s="30"/>
      <c r="Y1638" s="30"/>
      <c r="Z1638" s="30"/>
      <c r="AA1638" s="30"/>
      <c r="AB1638" s="30"/>
      <c r="AC1638" s="30"/>
      <c r="AD1638" s="30"/>
      <c r="AE1638" s="30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30"/>
      <c r="AQ1638" s="30"/>
      <c r="AR1638" s="30"/>
      <c r="AS1638" s="30"/>
      <c r="AT1638" s="30"/>
      <c r="AU1638" s="30"/>
      <c r="AV1638" s="30"/>
      <c r="AW1638" s="30"/>
      <c r="AX1638" s="30"/>
      <c r="AY1638" s="30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30"/>
      <c r="BK1638" s="30"/>
      <c r="BL1638" s="30"/>
      <c r="BM1638" s="30"/>
      <c r="BN1638" s="30"/>
      <c r="BO1638" s="30"/>
      <c r="BP1638" s="30"/>
      <c r="BQ1638" s="30"/>
      <c r="BR1638" s="30"/>
      <c r="BS1638" s="30"/>
      <c r="BT1638" s="1"/>
      <c r="BU1638" s="1"/>
      <c r="BV1638" s="1"/>
      <c r="BW1638" s="1"/>
      <c r="BX1638" s="1"/>
      <c r="BY1638" s="1"/>
      <c r="BZ1638" s="1"/>
      <c r="CA1638" s="1"/>
      <c r="CB1638" s="1"/>
      <c r="CC1638" s="1"/>
      <c r="CD1638" s="30"/>
      <c r="CE1638" s="30"/>
      <c r="CF1638" s="30"/>
      <c r="CG1638" s="30"/>
      <c r="CH1638" s="30"/>
      <c r="CI1638" s="30"/>
      <c r="CJ1638" s="30"/>
      <c r="CK1638" s="30"/>
      <c r="CL1638" s="30"/>
      <c r="CM1638" s="30"/>
      <c r="CN1638" s="1"/>
      <c r="CO1638" s="1"/>
      <c r="CP1638" s="1"/>
      <c r="CQ1638" s="1"/>
      <c r="CR1638" s="1"/>
      <c r="CS1638" s="1"/>
      <c r="CT1638" s="1"/>
      <c r="CU1638" s="1"/>
      <c r="CV1638" s="1"/>
      <c r="CW1638" s="1"/>
    </row>
    <row r="1639" spans="2:101" ht="15" hidden="1" customHeight="1" x14ac:dyDescent="0.25"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30"/>
      <c r="W1639" s="30"/>
      <c r="X1639" s="30"/>
      <c r="Y1639" s="30"/>
      <c r="Z1639" s="30"/>
      <c r="AA1639" s="30"/>
      <c r="AB1639" s="30"/>
      <c r="AC1639" s="30"/>
      <c r="AD1639" s="30"/>
      <c r="AE1639" s="30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30"/>
      <c r="AQ1639" s="30"/>
      <c r="AR1639" s="30"/>
      <c r="AS1639" s="30"/>
      <c r="AT1639" s="30"/>
      <c r="AU1639" s="30"/>
      <c r="AV1639" s="30"/>
      <c r="AW1639" s="30"/>
      <c r="AX1639" s="30"/>
      <c r="AY1639" s="30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30"/>
      <c r="BK1639" s="30"/>
      <c r="BL1639" s="30"/>
      <c r="BM1639" s="30"/>
      <c r="BN1639" s="30"/>
      <c r="BO1639" s="30"/>
      <c r="BP1639" s="30"/>
      <c r="BQ1639" s="30"/>
      <c r="BR1639" s="30"/>
      <c r="BS1639" s="30"/>
      <c r="BT1639" s="1"/>
      <c r="BU1639" s="1"/>
      <c r="BV1639" s="1"/>
      <c r="BW1639" s="1"/>
      <c r="BX1639" s="1"/>
      <c r="BY1639" s="1"/>
      <c r="BZ1639" s="1"/>
      <c r="CA1639" s="1"/>
      <c r="CB1639" s="1"/>
      <c r="CC1639" s="1"/>
      <c r="CD1639" s="30"/>
      <c r="CE1639" s="30"/>
      <c r="CF1639" s="30"/>
      <c r="CG1639" s="30"/>
      <c r="CH1639" s="30"/>
      <c r="CI1639" s="30"/>
      <c r="CJ1639" s="30"/>
      <c r="CK1639" s="30"/>
      <c r="CL1639" s="30"/>
      <c r="CM1639" s="30"/>
      <c r="CN1639" s="1"/>
      <c r="CO1639" s="1"/>
      <c r="CP1639" s="1"/>
      <c r="CQ1639" s="1"/>
      <c r="CR1639" s="1"/>
      <c r="CS1639" s="1"/>
      <c r="CT1639" s="1"/>
      <c r="CU1639" s="1"/>
      <c r="CV1639" s="1"/>
      <c r="CW1639" s="1"/>
    </row>
    <row r="1640" spans="2:101" ht="15" hidden="1" customHeight="1" x14ac:dyDescent="0.25"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30"/>
      <c r="W1640" s="30"/>
      <c r="X1640" s="30"/>
      <c r="Y1640" s="30"/>
      <c r="Z1640" s="30"/>
      <c r="AA1640" s="30"/>
      <c r="AB1640" s="30"/>
      <c r="AC1640" s="30"/>
      <c r="AD1640" s="30"/>
      <c r="AE1640" s="30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30"/>
      <c r="AQ1640" s="30"/>
      <c r="AR1640" s="30"/>
      <c r="AS1640" s="30"/>
      <c r="AT1640" s="30"/>
      <c r="AU1640" s="30"/>
      <c r="AV1640" s="30"/>
      <c r="AW1640" s="30"/>
      <c r="AX1640" s="30"/>
      <c r="AY1640" s="30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30"/>
      <c r="BK1640" s="30"/>
      <c r="BL1640" s="30"/>
      <c r="BM1640" s="30"/>
      <c r="BN1640" s="30"/>
      <c r="BO1640" s="30"/>
      <c r="BP1640" s="30"/>
      <c r="BQ1640" s="30"/>
      <c r="BR1640" s="30"/>
      <c r="BS1640" s="30"/>
      <c r="BT1640" s="1"/>
      <c r="BU1640" s="1"/>
      <c r="BV1640" s="1"/>
      <c r="BW1640" s="1"/>
      <c r="BX1640" s="1"/>
      <c r="BY1640" s="1"/>
      <c r="BZ1640" s="1"/>
      <c r="CA1640" s="1"/>
      <c r="CB1640" s="1"/>
      <c r="CC1640" s="1"/>
      <c r="CD1640" s="30"/>
      <c r="CE1640" s="30"/>
      <c r="CF1640" s="30"/>
      <c r="CG1640" s="30"/>
      <c r="CH1640" s="30"/>
      <c r="CI1640" s="30"/>
      <c r="CJ1640" s="30"/>
      <c r="CK1640" s="30"/>
      <c r="CL1640" s="30"/>
      <c r="CM1640" s="30"/>
      <c r="CN1640" s="1"/>
      <c r="CO1640" s="1"/>
      <c r="CP1640" s="1"/>
      <c r="CQ1640" s="1"/>
      <c r="CR1640" s="1"/>
      <c r="CS1640" s="1"/>
      <c r="CT1640" s="1"/>
      <c r="CU1640" s="1"/>
      <c r="CV1640" s="1"/>
      <c r="CW1640" s="1"/>
    </row>
    <row r="1641" spans="2:101" ht="15" hidden="1" customHeight="1" x14ac:dyDescent="0.25"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30"/>
      <c r="W1641" s="30"/>
      <c r="X1641" s="30"/>
      <c r="Y1641" s="30"/>
      <c r="Z1641" s="30"/>
      <c r="AA1641" s="30"/>
      <c r="AB1641" s="30"/>
      <c r="AC1641" s="30"/>
      <c r="AD1641" s="30"/>
      <c r="AE1641" s="30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30"/>
      <c r="AQ1641" s="30"/>
      <c r="AR1641" s="30"/>
      <c r="AS1641" s="30"/>
      <c r="AT1641" s="30"/>
      <c r="AU1641" s="30"/>
      <c r="AV1641" s="30"/>
      <c r="AW1641" s="30"/>
      <c r="AX1641" s="30"/>
      <c r="AY1641" s="30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30"/>
      <c r="BK1641" s="30"/>
      <c r="BL1641" s="30"/>
      <c r="BM1641" s="30"/>
      <c r="BN1641" s="30"/>
      <c r="BO1641" s="30"/>
      <c r="BP1641" s="30"/>
      <c r="BQ1641" s="30"/>
      <c r="BR1641" s="30"/>
      <c r="BS1641" s="30"/>
      <c r="BT1641" s="1"/>
      <c r="BU1641" s="1"/>
      <c r="BV1641" s="1"/>
      <c r="BW1641" s="1"/>
      <c r="BX1641" s="1"/>
      <c r="BY1641" s="1"/>
      <c r="BZ1641" s="1"/>
      <c r="CA1641" s="1"/>
      <c r="CB1641" s="1"/>
      <c r="CC1641" s="1"/>
      <c r="CD1641" s="30"/>
      <c r="CE1641" s="30"/>
      <c r="CF1641" s="30"/>
      <c r="CG1641" s="30"/>
      <c r="CH1641" s="30"/>
      <c r="CI1641" s="30"/>
      <c r="CJ1641" s="30"/>
      <c r="CK1641" s="30"/>
      <c r="CL1641" s="30"/>
      <c r="CM1641" s="30"/>
      <c r="CN1641" s="1"/>
      <c r="CO1641" s="1"/>
      <c r="CP1641" s="1"/>
      <c r="CQ1641" s="1"/>
      <c r="CR1641" s="1"/>
      <c r="CS1641" s="1"/>
      <c r="CT1641" s="1"/>
      <c r="CU1641" s="1"/>
      <c r="CV1641" s="1"/>
      <c r="CW1641" s="1"/>
    </row>
    <row r="1642" spans="2:101" ht="15" hidden="1" customHeight="1" x14ac:dyDescent="0.25"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30"/>
      <c r="W1642" s="30"/>
      <c r="X1642" s="30"/>
      <c r="Y1642" s="30"/>
      <c r="Z1642" s="30"/>
      <c r="AA1642" s="30"/>
      <c r="AB1642" s="30"/>
      <c r="AC1642" s="30"/>
      <c r="AD1642" s="30"/>
      <c r="AE1642" s="30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30"/>
      <c r="AQ1642" s="30"/>
      <c r="AR1642" s="30"/>
      <c r="AS1642" s="30"/>
      <c r="AT1642" s="30"/>
      <c r="AU1642" s="30"/>
      <c r="AV1642" s="30"/>
      <c r="AW1642" s="30"/>
      <c r="AX1642" s="30"/>
      <c r="AY1642" s="30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30"/>
      <c r="BK1642" s="30"/>
      <c r="BL1642" s="30"/>
      <c r="BM1642" s="30"/>
      <c r="BN1642" s="30"/>
      <c r="BO1642" s="30"/>
      <c r="BP1642" s="30"/>
      <c r="BQ1642" s="30"/>
      <c r="BR1642" s="30"/>
      <c r="BS1642" s="30"/>
      <c r="BT1642" s="1"/>
      <c r="BU1642" s="1"/>
      <c r="BV1642" s="1"/>
      <c r="BW1642" s="1"/>
      <c r="BX1642" s="1"/>
      <c r="BY1642" s="1"/>
      <c r="BZ1642" s="1"/>
      <c r="CA1642" s="1"/>
      <c r="CB1642" s="1"/>
      <c r="CC1642" s="1"/>
      <c r="CD1642" s="30"/>
      <c r="CE1642" s="30"/>
      <c r="CF1642" s="30"/>
      <c r="CG1642" s="30"/>
      <c r="CH1642" s="30"/>
      <c r="CI1642" s="30"/>
      <c r="CJ1642" s="30"/>
      <c r="CK1642" s="30"/>
      <c r="CL1642" s="30"/>
      <c r="CM1642" s="30"/>
      <c r="CN1642" s="1"/>
      <c r="CO1642" s="1"/>
      <c r="CP1642" s="1"/>
      <c r="CQ1642" s="1"/>
      <c r="CR1642" s="1"/>
      <c r="CS1642" s="1"/>
      <c r="CT1642" s="1"/>
      <c r="CU1642" s="1"/>
      <c r="CV1642" s="1"/>
      <c r="CW1642" s="1"/>
    </row>
    <row r="1643" spans="2:101" ht="15" hidden="1" customHeight="1" x14ac:dyDescent="0.25"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30"/>
      <c r="W1643" s="30"/>
      <c r="X1643" s="30"/>
      <c r="Y1643" s="30"/>
      <c r="Z1643" s="30"/>
      <c r="AA1643" s="30"/>
      <c r="AB1643" s="30"/>
      <c r="AC1643" s="30"/>
      <c r="AD1643" s="30"/>
      <c r="AE1643" s="30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30"/>
      <c r="AQ1643" s="30"/>
      <c r="AR1643" s="30"/>
      <c r="AS1643" s="30"/>
      <c r="AT1643" s="30"/>
      <c r="AU1643" s="30"/>
      <c r="AV1643" s="30"/>
      <c r="AW1643" s="30"/>
      <c r="AX1643" s="30"/>
      <c r="AY1643" s="30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30"/>
      <c r="BK1643" s="30"/>
      <c r="BL1643" s="30"/>
      <c r="BM1643" s="30"/>
      <c r="BN1643" s="30"/>
      <c r="BO1643" s="30"/>
      <c r="BP1643" s="30"/>
      <c r="BQ1643" s="30"/>
      <c r="BR1643" s="30"/>
      <c r="BS1643" s="30"/>
      <c r="BT1643" s="1"/>
      <c r="BU1643" s="1"/>
      <c r="BV1643" s="1"/>
      <c r="BW1643" s="1"/>
      <c r="BX1643" s="1"/>
      <c r="BY1643" s="1"/>
      <c r="BZ1643" s="1"/>
      <c r="CA1643" s="1"/>
      <c r="CB1643" s="1"/>
      <c r="CC1643" s="1"/>
      <c r="CD1643" s="30"/>
      <c r="CE1643" s="30"/>
      <c r="CF1643" s="30"/>
      <c r="CG1643" s="30"/>
      <c r="CH1643" s="30"/>
      <c r="CI1643" s="30"/>
      <c r="CJ1643" s="30"/>
      <c r="CK1643" s="30"/>
      <c r="CL1643" s="30"/>
      <c r="CM1643" s="30"/>
      <c r="CN1643" s="1"/>
      <c r="CO1643" s="1"/>
      <c r="CP1643" s="1"/>
      <c r="CQ1643" s="1"/>
      <c r="CR1643" s="1"/>
      <c r="CS1643" s="1"/>
      <c r="CT1643" s="1"/>
      <c r="CU1643" s="1"/>
      <c r="CV1643" s="1"/>
      <c r="CW1643" s="1"/>
    </row>
    <row r="1644" spans="2:101" ht="15" hidden="1" customHeight="1" x14ac:dyDescent="0.25"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30"/>
      <c r="W1644" s="30"/>
      <c r="X1644" s="30"/>
      <c r="Y1644" s="30"/>
      <c r="Z1644" s="30"/>
      <c r="AA1644" s="30"/>
      <c r="AB1644" s="30"/>
      <c r="AC1644" s="30"/>
      <c r="AD1644" s="30"/>
      <c r="AE1644" s="30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30"/>
      <c r="AQ1644" s="30"/>
      <c r="AR1644" s="30"/>
      <c r="AS1644" s="30"/>
      <c r="AT1644" s="30"/>
      <c r="AU1644" s="30"/>
      <c r="AV1644" s="30"/>
      <c r="AW1644" s="30"/>
      <c r="AX1644" s="30"/>
      <c r="AY1644" s="30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30"/>
      <c r="BK1644" s="30"/>
      <c r="BL1644" s="30"/>
      <c r="BM1644" s="30"/>
      <c r="BN1644" s="30"/>
      <c r="BO1644" s="30"/>
      <c r="BP1644" s="30"/>
      <c r="BQ1644" s="30"/>
      <c r="BR1644" s="30"/>
      <c r="BS1644" s="30"/>
      <c r="BT1644" s="1"/>
      <c r="BU1644" s="1"/>
      <c r="BV1644" s="1"/>
      <c r="BW1644" s="1"/>
      <c r="BX1644" s="1"/>
      <c r="BY1644" s="1"/>
      <c r="BZ1644" s="1"/>
      <c r="CA1644" s="1"/>
      <c r="CB1644" s="1"/>
      <c r="CC1644" s="1"/>
      <c r="CD1644" s="30"/>
      <c r="CE1644" s="30"/>
      <c r="CF1644" s="30"/>
      <c r="CG1644" s="30"/>
      <c r="CH1644" s="30"/>
      <c r="CI1644" s="30"/>
      <c r="CJ1644" s="30"/>
      <c r="CK1644" s="30"/>
      <c r="CL1644" s="30"/>
      <c r="CM1644" s="30"/>
      <c r="CN1644" s="1"/>
      <c r="CO1644" s="1"/>
      <c r="CP1644" s="1"/>
      <c r="CQ1644" s="1"/>
      <c r="CR1644" s="1"/>
      <c r="CS1644" s="1"/>
      <c r="CT1644" s="1"/>
      <c r="CU1644" s="1"/>
      <c r="CV1644" s="1"/>
      <c r="CW1644" s="1"/>
    </row>
    <row r="1645" spans="2:101" ht="15" hidden="1" customHeight="1" x14ac:dyDescent="0.25"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30"/>
      <c r="W1645" s="30"/>
      <c r="X1645" s="30"/>
      <c r="Y1645" s="30"/>
      <c r="Z1645" s="30"/>
      <c r="AA1645" s="30"/>
      <c r="AB1645" s="30"/>
      <c r="AC1645" s="30"/>
      <c r="AD1645" s="30"/>
      <c r="AE1645" s="30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30"/>
      <c r="AQ1645" s="30"/>
      <c r="AR1645" s="30"/>
      <c r="AS1645" s="30"/>
      <c r="AT1645" s="30"/>
      <c r="AU1645" s="30"/>
      <c r="AV1645" s="30"/>
      <c r="AW1645" s="30"/>
      <c r="AX1645" s="30"/>
      <c r="AY1645" s="30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30"/>
      <c r="BK1645" s="30"/>
      <c r="BL1645" s="30"/>
      <c r="BM1645" s="30"/>
      <c r="BN1645" s="30"/>
      <c r="BO1645" s="30"/>
      <c r="BP1645" s="30"/>
      <c r="BQ1645" s="30"/>
      <c r="BR1645" s="30"/>
      <c r="BS1645" s="30"/>
      <c r="BT1645" s="1"/>
      <c r="BU1645" s="1"/>
      <c r="BV1645" s="1"/>
      <c r="BW1645" s="1"/>
      <c r="BX1645" s="1"/>
      <c r="BY1645" s="1"/>
      <c r="BZ1645" s="1"/>
      <c r="CA1645" s="1"/>
      <c r="CB1645" s="1"/>
      <c r="CC1645" s="1"/>
      <c r="CD1645" s="30"/>
      <c r="CE1645" s="30"/>
      <c r="CF1645" s="30"/>
      <c r="CG1645" s="30"/>
      <c r="CH1645" s="30"/>
      <c r="CI1645" s="30"/>
      <c r="CJ1645" s="30"/>
      <c r="CK1645" s="30"/>
      <c r="CL1645" s="30"/>
      <c r="CM1645" s="30"/>
      <c r="CN1645" s="1"/>
      <c r="CO1645" s="1"/>
      <c r="CP1645" s="1"/>
      <c r="CQ1645" s="1"/>
      <c r="CR1645" s="1"/>
      <c r="CS1645" s="1"/>
      <c r="CT1645" s="1"/>
      <c r="CU1645" s="1"/>
      <c r="CV1645" s="1"/>
      <c r="CW1645" s="1"/>
    </row>
    <row r="1646" spans="2:101" ht="15" hidden="1" customHeight="1" x14ac:dyDescent="0.25"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30"/>
      <c r="W1646" s="30"/>
      <c r="X1646" s="30"/>
      <c r="Y1646" s="30"/>
      <c r="Z1646" s="30"/>
      <c r="AA1646" s="30"/>
      <c r="AB1646" s="30"/>
      <c r="AC1646" s="30"/>
      <c r="AD1646" s="30"/>
      <c r="AE1646" s="30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30"/>
      <c r="AQ1646" s="30"/>
      <c r="AR1646" s="30"/>
      <c r="AS1646" s="30"/>
      <c r="AT1646" s="30"/>
      <c r="AU1646" s="30"/>
      <c r="AV1646" s="30"/>
      <c r="AW1646" s="30"/>
      <c r="AX1646" s="30"/>
      <c r="AY1646" s="30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30"/>
      <c r="BK1646" s="30"/>
      <c r="BL1646" s="30"/>
      <c r="BM1646" s="30"/>
      <c r="BN1646" s="30"/>
      <c r="BO1646" s="30"/>
      <c r="BP1646" s="30"/>
      <c r="BQ1646" s="30"/>
      <c r="BR1646" s="30"/>
      <c r="BS1646" s="30"/>
      <c r="BT1646" s="1"/>
      <c r="BU1646" s="1"/>
      <c r="BV1646" s="1"/>
      <c r="BW1646" s="1"/>
      <c r="BX1646" s="1"/>
      <c r="BY1646" s="1"/>
      <c r="BZ1646" s="1"/>
      <c r="CA1646" s="1"/>
      <c r="CB1646" s="1"/>
      <c r="CC1646" s="1"/>
      <c r="CD1646" s="30"/>
      <c r="CE1646" s="30"/>
      <c r="CF1646" s="30"/>
      <c r="CG1646" s="30"/>
      <c r="CH1646" s="30"/>
      <c r="CI1646" s="30"/>
      <c r="CJ1646" s="30"/>
      <c r="CK1646" s="30"/>
      <c r="CL1646" s="30"/>
      <c r="CM1646" s="30"/>
      <c r="CN1646" s="1"/>
      <c r="CO1646" s="1"/>
      <c r="CP1646" s="1"/>
      <c r="CQ1646" s="1"/>
      <c r="CR1646" s="1"/>
      <c r="CS1646" s="1"/>
      <c r="CT1646" s="1"/>
      <c r="CU1646" s="1"/>
      <c r="CV1646" s="1"/>
      <c r="CW1646" s="1"/>
    </row>
    <row r="1647" spans="2:101" ht="15" hidden="1" customHeight="1" x14ac:dyDescent="0.25"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30"/>
      <c r="W1647" s="30"/>
      <c r="X1647" s="30"/>
      <c r="Y1647" s="30"/>
      <c r="Z1647" s="30"/>
      <c r="AA1647" s="30"/>
      <c r="AB1647" s="30"/>
      <c r="AC1647" s="30"/>
      <c r="AD1647" s="30"/>
      <c r="AE1647" s="30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30"/>
      <c r="AQ1647" s="30"/>
      <c r="AR1647" s="30"/>
      <c r="AS1647" s="30"/>
      <c r="AT1647" s="30"/>
      <c r="AU1647" s="30"/>
      <c r="AV1647" s="30"/>
      <c r="AW1647" s="30"/>
      <c r="AX1647" s="30"/>
      <c r="AY1647" s="30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30"/>
      <c r="BK1647" s="30"/>
      <c r="BL1647" s="30"/>
      <c r="BM1647" s="30"/>
      <c r="BN1647" s="30"/>
      <c r="BO1647" s="30"/>
      <c r="BP1647" s="30"/>
      <c r="BQ1647" s="30"/>
      <c r="BR1647" s="30"/>
      <c r="BS1647" s="30"/>
      <c r="BT1647" s="1"/>
      <c r="BU1647" s="1"/>
      <c r="BV1647" s="1"/>
      <c r="BW1647" s="1"/>
      <c r="BX1647" s="1"/>
      <c r="BY1647" s="1"/>
      <c r="BZ1647" s="1"/>
      <c r="CA1647" s="1"/>
      <c r="CB1647" s="1"/>
      <c r="CC1647" s="1"/>
      <c r="CD1647" s="30"/>
      <c r="CE1647" s="30"/>
      <c r="CF1647" s="30"/>
      <c r="CG1647" s="30"/>
      <c r="CH1647" s="30"/>
      <c r="CI1647" s="30"/>
      <c r="CJ1647" s="30"/>
      <c r="CK1647" s="30"/>
      <c r="CL1647" s="30"/>
      <c r="CM1647" s="30"/>
      <c r="CN1647" s="1"/>
      <c r="CO1647" s="1"/>
      <c r="CP1647" s="1"/>
      <c r="CQ1647" s="1"/>
      <c r="CR1647" s="1"/>
      <c r="CS1647" s="1"/>
      <c r="CT1647" s="1"/>
      <c r="CU1647" s="1"/>
      <c r="CV1647" s="1"/>
      <c r="CW1647" s="1"/>
    </row>
    <row r="1648" spans="2:101" ht="15" hidden="1" customHeight="1" x14ac:dyDescent="0.25"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30"/>
      <c r="W1648" s="30"/>
      <c r="X1648" s="30"/>
      <c r="Y1648" s="30"/>
      <c r="Z1648" s="30"/>
      <c r="AA1648" s="30"/>
      <c r="AB1648" s="30"/>
      <c r="AC1648" s="30"/>
      <c r="AD1648" s="30"/>
      <c r="AE1648" s="30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30"/>
      <c r="AQ1648" s="30"/>
      <c r="AR1648" s="30"/>
      <c r="AS1648" s="30"/>
      <c r="AT1648" s="30"/>
      <c r="AU1648" s="30"/>
      <c r="AV1648" s="30"/>
      <c r="AW1648" s="30"/>
      <c r="AX1648" s="30"/>
      <c r="AY1648" s="30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30"/>
      <c r="BK1648" s="30"/>
      <c r="BL1648" s="30"/>
      <c r="BM1648" s="30"/>
      <c r="BN1648" s="30"/>
      <c r="BO1648" s="30"/>
      <c r="BP1648" s="30"/>
      <c r="BQ1648" s="30"/>
      <c r="BR1648" s="30"/>
      <c r="BS1648" s="30"/>
      <c r="BT1648" s="1"/>
      <c r="BU1648" s="1"/>
      <c r="BV1648" s="1"/>
      <c r="BW1648" s="1"/>
      <c r="BX1648" s="1"/>
      <c r="BY1648" s="1"/>
      <c r="BZ1648" s="1"/>
      <c r="CA1648" s="1"/>
      <c r="CB1648" s="1"/>
      <c r="CC1648" s="1"/>
      <c r="CD1648" s="30"/>
      <c r="CE1648" s="30"/>
      <c r="CF1648" s="30"/>
      <c r="CG1648" s="30"/>
      <c r="CH1648" s="30"/>
      <c r="CI1648" s="30"/>
      <c r="CJ1648" s="30"/>
      <c r="CK1648" s="30"/>
      <c r="CL1648" s="30"/>
      <c r="CM1648" s="30"/>
      <c r="CN1648" s="1"/>
      <c r="CO1648" s="1"/>
      <c r="CP1648" s="1"/>
      <c r="CQ1648" s="1"/>
      <c r="CR1648" s="1"/>
      <c r="CS1648" s="1"/>
      <c r="CT1648" s="1"/>
      <c r="CU1648" s="1"/>
      <c r="CV1648" s="1"/>
      <c r="CW1648" s="1"/>
    </row>
    <row r="1649" spans="1:101" ht="15" hidden="1" customHeight="1" x14ac:dyDescent="0.25"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30"/>
      <c r="W1649" s="30"/>
      <c r="X1649" s="30"/>
      <c r="Y1649" s="30"/>
      <c r="Z1649" s="30"/>
      <c r="AA1649" s="30"/>
      <c r="AB1649" s="30"/>
      <c r="AC1649" s="30"/>
      <c r="AD1649" s="30"/>
      <c r="AE1649" s="30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30"/>
      <c r="AQ1649" s="30"/>
      <c r="AR1649" s="30"/>
      <c r="AS1649" s="30"/>
      <c r="AT1649" s="30"/>
      <c r="AU1649" s="30"/>
      <c r="AV1649" s="30"/>
      <c r="AW1649" s="30"/>
      <c r="AX1649" s="30"/>
      <c r="AY1649" s="30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30"/>
      <c r="BK1649" s="30"/>
      <c r="BL1649" s="30"/>
      <c r="BM1649" s="30"/>
      <c r="BN1649" s="30"/>
      <c r="BO1649" s="30"/>
      <c r="BP1649" s="30"/>
      <c r="BQ1649" s="30"/>
      <c r="BR1649" s="30"/>
      <c r="BS1649" s="30"/>
      <c r="BT1649" s="1"/>
      <c r="BU1649" s="1"/>
      <c r="BV1649" s="1"/>
      <c r="BW1649" s="1"/>
      <c r="BX1649" s="1"/>
      <c r="BY1649" s="1"/>
      <c r="BZ1649" s="1"/>
      <c r="CA1649" s="1"/>
      <c r="CB1649" s="1"/>
      <c r="CC1649" s="1"/>
      <c r="CD1649" s="30"/>
      <c r="CE1649" s="30"/>
      <c r="CF1649" s="30"/>
      <c r="CG1649" s="30"/>
      <c r="CH1649" s="30"/>
      <c r="CI1649" s="30"/>
      <c r="CJ1649" s="30"/>
      <c r="CK1649" s="30"/>
      <c r="CL1649" s="30"/>
      <c r="CM1649" s="30"/>
      <c r="CN1649" s="1"/>
      <c r="CO1649" s="1"/>
      <c r="CP1649" s="1"/>
      <c r="CQ1649" s="1"/>
      <c r="CR1649" s="1"/>
      <c r="CS1649" s="1"/>
      <c r="CT1649" s="1"/>
      <c r="CU1649" s="1"/>
      <c r="CV1649" s="1"/>
      <c r="CW1649" s="1"/>
    </row>
    <row r="1650" spans="1:101" ht="15" hidden="1" customHeight="1" x14ac:dyDescent="0.25"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30"/>
      <c r="W1650" s="30"/>
      <c r="X1650" s="30"/>
      <c r="Y1650" s="30"/>
      <c r="Z1650" s="30"/>
      <c r="AA1650" s="30"/>
      <c r="AB1650" s="30"/>
      <c r="AC1650" s="30"/>
      <c r="AD1650" s="30"/>
      <c r="AE1650" s="30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30"/>
      <c r="AQ1650" s="30"/>
      <c r="AR1650" s="30"/>
      <c r="AS1650" s="30"/>
      <c r="AT1650" s="30"/>
      <c r="AU1650" s="30"/>
      <c r="AV1650" s="30"/>
      <c r="AW1650" s="30"/>
      <c r="AX1650" s="30"/>
      <c r="AY1650" s="30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30"/>
      <c r="BK1650" s="30"/>
      <c r="BL1650" s="30"/>
      <c r="BM1650" s="30"/>
      <c r="BN1650" s="30"/>
      <c r="BO1650" s="30"/>
      <c r="BP1650" s="30"/>
      <c r="BQ1650" s="30"/>
      <c r="BR1650" s="30"/>
      <c r="BS1650" s="30"/>
      <c r="BT1650" s="1"/>
      <c r="BU1650" s="1"/>
      <c r="BV1650" s="1"/>
      <c r="BW1650" s="1"/>
      <c r="BX1650" s="1"/>
      <c r="BY1650" s="1"/>
      <c r="BZ1650" s="1"/>
      <c r="CA1650" s="1"/>
      <c r="CB1650" s="1"/>
      <c r="CC1650" s="1"/>
      <c r="CD1650" s="30"/>
      <c r="CE1650" s="30"/>
      <c r="CF1650" s="30"/>
      <c r="CG1650" s="30"/>
      <c r="CH1650" s="30"/>
      <c r="CI1650" s="30"/>
      <c r="CJ1650" s="30"/>
      <c r="CK1650" s="30"/>
      <c r="CL1650" s="30"/>
      <c r="CM1650" s="30"/>
      <c r="CN1650" s="1"/>
      <c r="CO1650" s="1"/>
      <c r="CP1650" s="1"/>
      <c r="CQ1650" s="1"/>
      <c r="CR1650" s="1"/>
      <c r="CS1650" s="1"/>
      <c r="CT1650" s="1"/>
      <c r="CU1650" s="1"/>
      <c r="CV1650" s="1"/>
      <c r="CW1650" s="1"/>
    </row>
    <row r="1651" spans="1:101" ht="15" hidden="1" customHeight="1" x14ac:dyDescent="0.25"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30"/>
      <c r="W1651" s="30"/>
      <c r="X1651" s="30"/>
      <c r="Y1651" s="30"/>
      <c r="Z1651" s="30"/>
      <c r="AA1651" s="30"/>
      <c r="AB1651" s="30"/>
      <c r="AC1651" s="30"/>
      <c r="AD1651" s="30"/>
      <c r="AE1651" s="30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30"/>
      <c r="AQ1651" s="30"/>
      <c r="AR1651" s="30"/>
      <c r="AS1651" s="30"/>
      <c r="AT1651" s="30"/>
      <c r="AU1651" s="30"/>
      <c r="AV1651" s="30"/>
      <c r="AW1651" s="30"/>
      <c r="AX1651" s="30"/>
      <c r="AY1651" s="30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30"/>
      <c r="BK1651" s="30"/>
      <c r="BL1651" s="30"/>
      <c r="BM1651" s="30"/>
      <c r="BN1651" s="30"/>
      <c r="BO1651" s="30"/>
      <c r="BP1651" s="30"/>
      <c r="BQ1651" s="30"/>
      <c r="BR1651" s="30"/>
      <c r="BS1651" s="30"/>
      <c r="BT1651" s="1"/>
      <c r="BU1651" s="1"/>
      <c r="BV1651" s="1"/>
      <c r="BW1651" s="1"/>
      <c r="BX1651" s="1"/>
      <c r="BY1651" s="1"/>
      <c r="BZ1651" s="1"/>
      <c r="CA1651" s="1"/>
      <c r="CB1651" s="1"/>
      <c r="CC1651" s="1"/>
      <c r="CD1651" s="30"/>
      <c r="CE1651" s="30"/>
      <c r="CF1651" s="30"/>
      <c r="CG1651" s="30"/>
      <c r="CH1651" s="30"/>
      <c r="CI1651" s="30"/>
      <c r="CJ1651" s="30"/>
      <c r="CK1651" s="30"/>
      <c r="CL1651" s="30"/>
      <c r="CM1651" s="30"/>
      <c r="CN1651" s="1"/>
      <c r="CO1651" s="1"/>
      <c r="CP1651" s="1"/>
      <c r="CQ1651" s="1"/>
      <c r="CR1651" s="1"/>
      <c r="CS1651" s="1"/>
      <c r="CT1651" s="1"/>
      <c r="CU1651" s="1"/>
      <c r="CV1651" s="1"/>
      <c r="CW1651" s="1"/>
    </row>
    <row r="1652" spans="1:101" ht="15" hidden="1" customHeight="1" x14ac:dyDescent="0.25">
      <c r="A1652" s="21">
        <v>27</v>
      </c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30"/>
      <c r="W1652" s="30"/>
      <c r="X1652" s="30"/>
      <c r="Y1652" s="30"/>
      <c r="Z1652" s="30"/>
      <c r="AA1652" s="30"/>
      <c r="AB1652" s="30"/>
      <c r="AC1652" s="30"/>
      <c r="AD1652" s="30"/>
      <c r="AE1652" s="30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30"/>
      <c r="AQ1652" s="30"/>
      <c r="AR1652" s="30"/>
      <c r="AS1652" s="30"/>
      <c r="AT1652" s="30"/>
      <c r="AU1652" s="30"/>
      <c r="AV1652" s="30"/>
      <c r="AW1652" s="30"/>
      <c r="AX1652" s="30"/>
      <c r="AY1652" s="30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30"/>
      <c r="BK1652" s="30"/>
      <c r="BL1652" s="30"/>
      <c r="BM1652" s="30"/>
      <c r="BN1652" s="30"/>
      <c r="BO1652" s="30"/>
      <c r="BP1652" s="30"/>
      <c r="BQ1652" s="30"/>
      <c r="BR1652" s="30"/>
      <c r="BS1652" s="30"/>
      <c r="BT1652" s="1"/>
      <c r="BU1652" s="1"/>
      <c r="BV1652" s="1"/>
      <c r="BW1652" s="1"/>
      <c r="BX1652" s="1"/>
      <c r="BY1652" s="1"/>
      <c r="BZ1652" s="1"/>
      <c r="CA1652" s="1"/>
      <c r="CB1652" s="1"/>
      <c r="CC1652" s="1"/>
      <c r="CD1652" s="30"/>
      <c r="CE1652" s="30"/>
      <c r="CF1652" s="30"/>
      <c r="CG1652" s="30"/>
      <c r="CH1652" s="30"/>
      <c r="CI1652" s="30"/>
      <c r="CJ1652" s="30"/>
      <c r="CK1652" s="30"/>
      <c r="CL1652" s="30"/>
      <c r="CM1652" s="30"/>
      <c r="CN1652" s="1"/>
      <c r="CO1652" s="1"/>
      <c r="CP1652" s="1"/>
      <c r="CQ1652" s="1"/>
      <c r="CR1652" s="1"/>
      <c r="CS1652" s="1"/>
      <c r="CT1652" s="1"/>
      <c r="CU1652" s="1"/>
      <c r="CV1652" s="1"/>
      <c r="CW1652" s="1"/>
    </row>
    <row r="1653" spans="1:101" ht="15" hidden="1" customHeight="1" x14ac:dyDescent="0.25">
      <c r="A1653" s="21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30"/>
      <c r="W1653" s="30"/>
      <c r="X1653" s="30"/>
      <c r="Y1653" s="30"/>
      <c r="Z1653" s="30"/>
      <c r="AA1653" s="30"/>
      <c r="AB1653" s="30"/>
      <c r="AC1653" s="30"/>
      <c r="AD1653" s="30"/>
      <c r="AE1653" s="30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30"/>
      <c r="AQ1653" s="30"/>
      <c r="AR1653" s="30"/>
      <c r="AS1653" s="30"/>
      <c r="AT1653" s="30"/>
      <c r="AU1653" s="30"/>
      <c r="AV1653" s="30"/>
      <c r="AW1653" s="30"/>
      <c r="AX1653" s="30"/>
      <c r="AY1653" s="30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30"/>
      <c r="BK1653" s="30"/>
      <c r="BL1653" s="30"/>
      <c r="BM1653" s="30"/>
      <c r="BN1653" s="30"/>
      <c r="BO1653" s="30"/>
      <c r="BP1653" s="30"/>
      <c r="BQ1653" s="30"/>
      <c r="BR1653" s="30"/>
      <c r="BS1653" s="30"/>
      <c r="BT1653" s="1"/>
      <c r="BU1653" s="1"/>
      <c r="BV1653" s="1"/>
      <c r="BW1653" s="1"/>
      <c r="BX1653" s="1"/>
      <c r="BY1653" s="1"/>
      <c r="BZ1653" s="1"/>
      <c r="CA1653" s="1"/>
      <c r="CB1653" s="1"/>
      <c r="CC1653" s="1"/>
      <c r="CD1653" s="30"/>
      <c r="CE1653" s="30"/>
      <c r="CF1653" s="30"/>
      <c r="CG1653" s="30"/>
      <c r="CH1653" s="30"/>
      <c r="CI1653" s="30"/>
      <c r="CJ1653" s="30"/>
      <c r="CK1653" s="30"/>
      <c r="CL1653" s="30"/>
      <c r="CM1653" s="30"/>
      <c r="CN1653" s="1"/>
      <c r="CO1653" s="1"/>
      <c r="CP1653" s="1"/>
      <c r="CQ1653" s="1"/>
      <c r="CR1653" s="1"/>
      <c r="CS1653" s="1"/>
      <c r="CT1653" s="1"/>
      <c r="CU1653" s="1"/>
      <c r="CV1653" s="1"/>
      <c r="CW1653" s="1"/>
    </row>
    <row r="1654" spans="1:101" ht="15" hidden="1" customHeight="1" x14ac:dyDescent="0.25">
      <c r="A1654" s="21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30"/>
      <c r="W1654" s="30"/>
      <c r="X1654" s="30"/>
      <c r="Y1654" s="30"/>
      <c r="Z1654" s="30"/>
      <c r="AA1654" s="30"/>
      <c r="AB1654" s="30"/>
      <c r="AC1654" s="30"/>
      <c r="AD1654" s="30"/>
      <c r="AE1654" s="30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30"/>
      <c r="AQ1654" s="30"/>
      <c r="AR1654" s="30"/>
      <c r="AS1654" s="30"/>
      <c r="AT1654" s="30"/>
      <c r="AU1654" s="30"/>
      <c r="AV1654" s="30"/>
      <c r="AW1654" s="30"/>
      <c r="AX1654" s="30"/>
      <c r="AY1654" s="30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30"/>
      <c r="BK1654" s="30"/>
      <c r="BL1654" s="30"/>
      <c r="BM1654" s="30"/>
      <c r="BN1654" s="30"/>
      <c r="BO1654" s="30"/>
      <c r="BP1654" s="30"/>
      <c r="BQ1654" s="30"/>
      <c r="BR1654" s="30"/>
      <c r="BS1654" s="30"/>
      <c r="BT1654" s="1"/>
      <c r="BU1654" s="1"/>
      <c r="BV1654" s="1"/>
      <c r="BW1654" s="1"/>
      <c r="BX1654" s="1"/>
      <c r="BY1654" s="1"/>
      <c r="BZ1654" s="1"/>
      <c r="CA1654" s="1"/>
      <c r="CB1654" s="1"/>
      <c r="CC1654" s="1"/>
      <c r="CD1654" s="30"/>
      <c r="CE1654" s="30"/>
      <c r="CF1654" s="30"/>
      <c r="CG1654" s="30"/>
      <c r="CH1654" s="30"/>
      <c r="CI1654" s="30"/>
      <c r="CJ1654" s="30"/>
      <c r="CK1654" s="30"/>
      <c r="CL1654" s="30"/>
      <c r="CM1654" s="30"/>
      <c r="CN1654" s="1"/>
      <c r="CO1654" s="1"/>
      <c r="CP1654" s="1"/>
      <c r="CQ1654" s="1"/>
      <c r="CR1654" s="1"/>
      <c r="CS1654" s="1"/>
      <c r="CT1654" s="1"/>
      <c r="CU1654" s="1"/>
      <c r="CV1654" s="1"/>
      <c r="CW1654" s="1"/>
    </row>
    <row r="1655" spans="1:101" ht="15" hidden="1" customHeight="1" x14ac:dyDescent="0.25">
      <c r="A1655" s="21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30"/>
      <c r="W1655" s="30"/>
      <c r="X1655" s="30"/>
      <c r="Y1655" s="30"/>
      <c r="Z1655" s="30"/>
      <c r="AA1655" s="30"/>
      <c r="AB1655" s="30"/>
      <c r="AC1655" s="30"/>
      <c r="AD1655" s="30"/>
      <c r="AE1655" s="30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30"/>
      <c r="AQ1655" s="30"/>
      <c r="AR1655" s="30"/>
      <c r="AS1655" s="30"/>
      <c r="AT1655" s="30"/>
      <c r="AU1655" s="30"/>
      <c r="AV1655" s="30"/>
      <c r="AW1655" s="30"/>
      <c r="AX1655" s="30"/>
      <c r="AY1655" s="30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30"/>
      <c r="BK1655" s="30"/>
      <c r="BL1655" s="30"/>
      <c r="BM1655" s="30"/>
      <c r="BN1655" s="30"/>
      <c r="BO1655" s="30"/>
      <c r="BP1655" s="30"/>
      <c r="BQ1655" s="30"/>
      <c r="BR1655" s="30"/>
      <c r="BS1655" s="30"/>
      <c r="BT1655" s="1"/>
      <c r="BU1655" s="1"/>
      <c r="BV1655" s="1"/>
      <c r="BW1655" s="1"/>
      <c r="BX1655" s="1"/>
      <c r="BY1655" s="1"/>
      <c r="BZ1655" s="1"/>
      <c r="CA1655" s="1"/>
      <c r="CB1655" s="1"/>
      <c r="CC1655" s="1"/>
      <c r="CD1655" s="30"/>
      <c r="CE1655" s="30"/>
      <c r="CF1655" s="30"/>
      <c r="CG1655" s="30"/>
      <c r="CH1655" s="30"/>
      <c r="CI1655" s="30"/>
      <c r="CJ1655" s="30"/>
      <c r="CK1655" s="30"/>
      <c r="CL1655" s="30"/>
      <c r="CM1655" s="30"/>
      <c r="CN1655" s="1"/>
      <c r="CO1655" s="1"/>
      <c r="CP1655" s="1"/>
      <c r="CQ1655" s="1"/>
      <c r="CR1655" s="1"/>
      <c r="CS1655" s="1"/>
      <c r="CT1655" s="1"/>
      <c r="CU1655" s="1"/>
      <c r="CV1655" s="1"/>
      <c r="CW1655" s="1"/>
    </row>
    <row r="1656" spans="1:101" ht="15" hidden="1" customHeight="1" x14ac:dyDescent="0.25">
      <c r="A1656" s="21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30"/>
      <c r="W1656" s="30"/>
      <c r="X1656" s="30"/>
      <c r="Y1656" s="30"/>
      <c r="Z1656" s="30"/>
      <c r="AA1656" s="30"/>
      <c r="AB1656" s="30"/>
      <c r="AC1656" s="30"/>
      <c r="AD1656" s="30"/>
      <c r="AE1656" s="30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30"/>
      <c r="AQ1656" s="30"/>
      <c r="AR1656" s="30"/>
      <c r="AS1656" s="30"/>
      <c r="AT1656" s="30"/>
      <c r="AU1656" s="30"/>
      <c r="AV1656" s="30"/>
      <c r="AW1656" s="30"/>
      <c r="AX1656" s="30"/>
      <c r="AY1656" s="30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30"/>
      <c r="BK1656" s="30"/>
      <c r="BL1656" s="30"/>
      <c r="BM1656" s="30"/>
      <c r="BN1656" s="30"/>
      <c r="BO1656" s="30"/>
      <c r="BP1656" s="30"/>
      <c r="BQ1656" s="30"/>
      <c r="BR1656" s="30"/>
      <c r="BS1656" s="30"/>
      <c r="BT1656" s="1"/>
      <c r="BU1656" s="1"/>
      <c r="BV1656" s="1"/>
      <c r="BW1656" s="1"/>
      <c r="BX1656" s="1"/>
      <c r="BY1656" s="1"/>
      <c r="BZ1656" s="1"/>
      <c r="CA1656" s="1"/>
      <c r="CB1656" s="1"/>
      <c r="CC1656" s="1"/>
      <c r="CD1656" s="30"/>
      <c r="CE1656" s="30"/>
      <c r="CF1656" s="30"/>
      <c r="CG1656" s="30"/>
      <c r="CH1656" s="30"/>
      <c r="CI1656" s="30"/>
      <c r="CJ1656" s="30"/>
      <c r="CK1656" s="30"/>
      <c r="CL1656" s="30"/>
      <c r="CM1656" s="30"/>
      <c r="CN1656" s="1"/>
      <c r="CO1656" s="1"/>
      <c r="CP1656" s="1"/>
      <c r="CQ1656" s="1"/>
      <c r="CR1656" s="1"/>
      <c r="CS1656" s="1"/>
      <c r="CT1656" s="1"/>
      <c r="CU1656" s="1"/>
      <c r="CV1656" s="1"/>
      <c r="CW1656" s="1"/>
    </row>
    <row r="1657" spans="1:101" ht="15" hidden="1" customHeight="1" x14ac:dyDescent="0.25">
      <c r="A1657" s="21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30"/>
      <c r="W1657" s="30"/>
      <c r="X1657" s="30"/>
      <c r="Y1657" s="30"/>
      <c r="Z1657" s="30"/>
      <c r="AA1657" s="30"/>
      <c r="AB1657" s="30"/>
      <c r="AC1657" s="30"/>
      <c r="AD1657" s="30"/>
      <c r="AE1657" s="30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30"/>
      <c r="AQ1657" s="30"/>
      <c r="AR1657" s="30"/>
      <c r="AS1657" s="30"/>
      <c r="AT1657" s="30"/>
      <c r="AU1657" s="30"/>
      <c r="AV1657" s="30"/>
      <c r="AW1657" s="30"/>
      <c r="AX1657" s="30"/>
      <c r="AY1657" s="30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30"/>
      <c r="BK1657" s="30"/>
      <c r="BL1657" s="30"/>
      <c r="BM1657" s="30"/>
      <c r="BN1657" s="30"/>
      <c r="BO1657" s="30"/>
      <c r="BP1657" s="30"/>
      <c r="BQ1657" s="30"/>
      <c r="BR1657" s="30"/>
      <c r="BS1657" s="30"/>
      <c r="BT1657" s="1"/>
      <c r="BU1657" s="1"/>
      <c r="BV1657" s="1"/>
      <c r="BW1657" s="1"/>
      <c r="BX1657" s="1"/>
      <c r="BY1657" s="1"/>
      <c r="BZ1657" s="1"/>
      <c r="CA1657" s="1"/>
      <c r="CB1657" s="1"/>
      <c r="CC1657" s="1"/>
      <c r="CD1657" s="30"/>
      <c r="CE1657" s="30"/>
      <c r="CF1657" s="30"/>
      <c r="CG1657" s="30"/>
      <c r="CH1657" s="30"/>
      <c r="CI1657" s="30"/>
      <c r="CJ1657" s="30"/>
      <c r="CK1657" s="30"/>
      <c r="CL1657" s="30"/>
      <c r="CM1657" s="30"/>
      <c r="CN1657" s="1"/>
      <c r="CO1657" s="1"/>
      <c r="CP1657" s="1"/>
      <c r="CQ1657" s="1"/>
      <c r="CR1657" s="1"/>
      <c r="CS1657" s="1"/>
      <c r="CT1657" s="1"/>
      <c r="CU1657" s="1"/>
      <c r="CV1657" s="1"/>
      <c r="CW1657" s="1"/>
    </row>
    <row r="1658" spans="1:101" ht="15" hidden="1" customHeight="1" x14ac:dyDescent="0.25">
      <c r="A1658" s="21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30"/>
      <c r="W1658" s="30"/>
      <c r="X1658" s="30"/>
      <c r="Y1658" s="30"/>
      <c r="Z1658" s="30"/>
      <c r="AA1658" s="30"/>
      <c r="AB1658" s="30"/>
      <c r="AC1658" s="30"/>
      <c r="AD1658" s="30"/>
      <c r="AE1658" s="30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30"/>
      <c r="AQ1658" s="30"/>
      <c r="AR1658" s="30"/>
      <c r="AS1658" s="30"/>
      <c r="AT1658" s="30"/>
      <c r="AU1658" s="30"/>
      <c r="AV1658" s="30"/>
      <c r="AW1658" s="30"/>
      <c r="AX1658" s="30"/>
      <c r="AY1658" s="30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30"/>
      <c r="BK1658" s="30"/>
      <c r="BL1658" s="30"/>
      <c r="BM1658" s="30"/>
      <c r="BN1658" s="30"/>
      <c r="BO1658" s="30"/>
      <c r="BP1658" s="30"/>
      <c r="BQ1658" s="30"/>
      <c r="BR1658" s="30"/>
      <c r="BS1658" s="30"/>
      <c r="BT1658" s="1"/>
      <c r="BU1658" s="1"/>
      <c r="BV1658" s="1"/>
      <c r="BW1658" s="1"/>
      <c r="BX1658" s="1"/>
      <c r="BY1658" s="1"/>
      <c r="BZ1658" s="1"/>
      <c r="CA1658" s="1"/>
      <c r="CB1658" s="1"/>
      <c r="CC1658" s="1"/>
      <c r="CD1658" s="30"/>
      <c r="CE1658" s="30"/>
      <c r="CF1658" s="30"/>
      <c r="CG1658" s="30"/>
      <c r="CH1658" s="30"/>
      <c r="CI1658" s="30"/>
      <c r="CJ1658" s="30"/>
      <c r="CK1658" s="30"/>
      <c r="CL1658" s="30"/>
      <c r="CM1658" s="30"/>
      <c r="CN1658" s="1"/>
      <c r="CO1658" s="1"/>
      <c r="CP1658" s="1"/>
      <c r="CQ1658" s="1"/>
      <c r="CR1658" s="1"/>
      <c r="CS1658" s="1"/>
      <c r="CT1658" s="1"/>
      <c r="CU1658" s="1"/>
      <c r="CV1658" s="1"/>
      <c r="CW1658" s="1"/>
    </row>
    <row r="1659" spans="1:101" ht="15" hidden="1" customHeight="1" x14ac:dyDescent="0.25">
      <c r="A1659" s="21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30"/>
      <c r="W1659" s="30"/>
      <c r="X1659" s="30"/>
      <c r="Y1659" s="30"/>
      <c r="Z1659" s="30"/>
      <c r="AA1659" s="30"/>
      <c r="AB1659" s="30"/>
      <c r="AC1659" s="30"/>
      <c r="AD1659" s="30"/>
      <c r="AE1659" s="30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30"/>
      <c r="AQ1659" s="30"/>
      <c r="AR1659" s="30"/>
      <c r="AS1659" s="30"/>
      <c r="AT1659" s="30"/>
      <c r="AU1659" s="30"/>
      <c r="AV1659" s="30"/>
      <c r="AW1659" s="30"/>
      <c r="AX1659" s="30"/>
      <c r="AY1659" s="30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30"/>
      <c r="BK1659" s="30"/>
      <c r="BL1659" s="30"/>
      <c r="BM1659" s="30"/>
      <c r="BN1659" s="30"/>
      <c r="BO1659" s="30"/>
      <c r="BP1659" s="30"/>
      <c r="BQ1659" s="30"/>
      <c r="BR1659" s="30"/>
      <c r="BS1659" s="30"/>
      <c r="BT1659" s="1"/>
      <c r="BU1659" s="1"/>
      <c r="BV1659" s="1"/>
      <c r="BW1659" s="1"/>
      <c r="BX1659" s="1"/>
      <c r="BY1659" s="1"/>
      <c r="BZ1659" s="1"/>
      <c r="CA1659" s="1"/>
      <c r="CB1659" s="1"/>
      <c r="CC1659" s="1"/>
      <c r="CD1659" s="30"/>
      <c r="CE1659" s="30"/>
      <c r="CF1659" s="30"/>
      <c r="CG1659" s="30"/>
      <c r="CH1659" s="30"/>
      <c r="CI1659" s="30"/>
      <c r="CJ1659" s="30"/>
      <c r="CK1659" s="30"/>
      <c r="CL1659" s="30"/>
      <c r="CM1659" s="30"/>
      <c r="CN1659" s="1"/>
      <c r="CO1659" s="1"/>
      <c r="CP1659" s="1"/>
      <c r="CQ1659" s="1"/>
      <c r="CR1659" s="1"/>
      <c r="CS1659" s="1"/>
      <c r="CT1659" s="1"/>
      <c r="CU1659" s="1"/>
      <c r="CV1659" s="1"/>
      <c r="CW1659" s="1"/>
    </row>
    <row r="1660" spans="1:101" ht="15" hidden="1" customHeight="1" x14ac:dyDescent="0.25">
      <c r="A1660" s="21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30"/>
      <c r="W1660" s="30"/>
      <c r="X1660" s="30"/>
      <c r="Y1660" s="30"/>
      <c r="Z1660" s="30"/>
      <c r="AA1660" s="30"/>
      <c r="AB1660" s="30"/>
      <c r="AC1660" s="30"/>
      <c r="AD1660" s="30"/>
      <c r="AE1660" s="30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30"/>
      <c r="AQ1660" s="30"/>
      <c r="AR1660" s="30"/>
      <c r="AS1660" s="30"/>
      <c r="AT1660" s="30"/>
      <c r="AU1660" s="30"/>
      <c r="AV1660" s="30"/>
      <c r="AW1660" s="30"/>
      <c r="AX1660" s="30"/>
      <c r="AY1660" s="30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30"/>
      <c r="BK1660" s="30"/>
      <c r="BL1660" s="30"/>
      <c r="BM1660" s="30"/>
      <c r="BN1660" s="30"/>
      <c r="BO1660" s="30"/>
      <c r="BP1660" s="30"/>
      <c r="BQ1660" s="30"/>
      <c r="BR1660" s="30"/>
      <c r="BS1660" s="30"/>
      <c r="BT1660" s="1"/>
      <c r="BU1660" s="1"/>
      <c r="BV1660" s="1"/>
      <c r="BW1660" s="1"/>
      <c r="BX1660" s="1"/>
      <c r="BY1660" s="1"/>
      <c r="BZ1660" s="1"/>
      <c r="CA1660" s="1"/>
      <c r="CB1660" s="1"/>
      <c r="CC1660" s="1"/>
      <c r="CD1660" s="30"/>
      <c r="CE1660" s="30"/>
      <c r="CF1660" s="30"/>
      <c r="CG1660" s="30"/>
      <c r="CH1660" s="30"/>
      <c r="CI1660" s="30"/>
      <c r="CJ1660" s="30"/>
      <c r="CK1660" s="30"/>
      <c r="CL1660" s="30"/>
      <c r="CM1660" s="30"/>
      <c r="CN1660" s="1"/>
      <c r="CO1660" s="1"/>
      <c r="CP1660" s="1"/>
      <c r="CQ1660" s="1"/>
      <c r="CR1660" s="1"/>
      <c r="CS1660" s="1"/>
      <c r="CT1660" s="1"/>
      <c r="CU1660" s="1"/>
      <c r="CV1660" s="1"/>
      <c r="CW1660" s="1"/>
    </row>
    <row r="1661" spans="1:101" ht="15" hidden="1" customHeight="1" x14ac:dyDescent="0.25">
      <c r="A1661" s="21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30"/>
      <c r="W1661" s="30"/>
      <c r="X1661" s="30"/>
      <c r="Y1661" s="30"/>
      <c r="Z1661" s="30"/>
      <c r="AA1661" s="30"/>
      <c r="AB1661" s="30"/>
      <c r="AC1661" s="30"/>
      <c r="AD1661" s="30"/>
      <c r="AE1661" s="30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30"/>
      <c r="AQ1661" s="30"/>
      <c r="AR1661" s="30"/>
      <c r="AS1661" s="30"/>
      <c r="AT1661" s="30"/>
      <c r="AU1661" s="30"/>
      <c r="AV1661" s="30"/>
      <c r="AW1661" s="30"/>
      <c r="AX1661" s="30"/>
      <c r="AY1661" s="30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30"/>
      <c r="BK1661" s="30"/>
      <c r="BL1661" s="30"/>
      <c r="BM1661" s="30"/>
      <c r="BN1661" s="30"/>
      <c r="BO1661" s="30"/>
      <c r="BP1661" s="30"/>
      <c r="BQ1661" s="30"/>
      <c r="BR1661" s="30"/>
      <c r="BS1661" s="30"/>
      <c r="BT1661" s="1"/>
      <c r="BU1661" s="1"/>
      <c r="BV1661" s="1"/>
      <c r="BW1661" s="1"/>
      <c r="BX1661" s="1"/>
      <c r="BY1661" s="1"/>
      <c r="BZ1661" s="1"/>
      <c r="CA1661" s="1"/>
      <c r="CB1661" s="1"/>
      <c r="CC1661" s="1"/>
      <c r="CD1661" s="30"/>
      <c r="CE1661" s="30"/>
      <c r="CF1661" s="30"/>
      <c r="CG1661" s="30"/>
      <c r="CH1661" s="30"/>
      <c r="CI1661" s="30"/>
      <c r="CJ1661" s="30"/>
      <c r="CK1661" s="30"/>
      <c r="CL1661" s="30"/>
      <c r="CM1661" s="30"/>
      <c r="CN1661" s="1"/>
      <c r="CO1661" s="1"/>
      <c r="CP1661" s="1"/>
      <c r="CQ1661" s="1"/>
      <c r="CR1661" s="1"/>
      <c r="CS1661" s="1"/>
      <c r="CT1661" s="1"/>
      <c r="CU1661" s="1"/>
      <c r="CV1661" s="1"/>
      <c r="CW1661" s="1"/>
    </row>
    <row r="1662" spans="1:101" ht="15" hidden="1" customHeight="1" x14ac:dyDescent="0.25">
      <c r="A1662" s="21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30"/>
      <c r="W1662" s="30"/>
      <c r="X1662" s="30"/>
      <c r="Y1662" s="30"/>
      <c r="Z1662" s="30"/>
      <c r="AA1662" s="30"/>
      <c r="AB1662" s="30"/>
      <c r="AC1662" s="30"/>
      <c r="AD1662" s="30"/>
      <c r="AE1662" s="30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30"/>
      <c r="AQ1662" s="30"/>
      <c r="AR1662" s="30"/>
      <c r="AS1662" s="30"/>
      <c r="AT1662" s="30"/>
      <c r="AU1662" s="30"/>
      <c r="AV1662" s="30"/>
      <c r="AW1662" s="30"/>
      <c r="AX1662" s="30"/>
      <c r="AY1662" s="30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30"/>
      <c r="BK1662" s="30"/>
      <c r="BL1662" s="30"/>
      <c r="BM1662" s="30"/>
      <c r="BN1662" s="30"/>
      <c r="BO1662" s="30"/>
      <c r="BP1662" s="30"/>
      <c r="BQ1662" s="30"/>
      <c r="BR1662" s="30"/>
      <c r="BS1662" s="30"/>
      <c r="BT1662" s="1"/>
      <c r="BU1662" s="1"/>
      <c r="BV1662" s="1"/>
      <c r="BW1662" s="1"/>
      <c r="BX1662" s="1"/>
      <c r="BY1662" s="1"/>
      <c r="BZ1662" s="1"/>
      <c r="CA1662" s="1"/>
      <c r="CB1662" s="1"/>
      <c r="CC1662" s="1"/>
      <c r="CD1662" s="30"/>
      <c r="CE1662" s="30"/>
      <c r="CF1662" s="30"/>
      <c r="CG1662" s="30"/>
      <c r="CH1662" s="30"/>
      <c r="CI1662" s="30"/>
      <c r="CJ1662" s="30"/>
      <c r="CK1662" s="30"/>
      <c r="CL1662" s="30"/>
      <c r="CM1662" s="30"/>
      <c r="CN1662" s="1"/>
      <c r="CO1662" s="1"/>
      <c r="CP1662" s="1"/>
      <c r="CQ1662" s="1"/>
      <c r="CR1662" s="1"/>
      <c r="CS1662" s="1"/>
      <c r="CT1662" s="1"/>
      <c r="CU1662" s="1"/>
      <c r="CV1662" s="1"/>
      <c r="CW1662" s="1"/>
    </row>
    <row r="1663" spans="1:101" ht="15" hidden="1" customHeight="1" x14ac:dyDescent="0.25">
      <c r="A1663" s="21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30"/>
      <c r="W1663" s="30"/>
      <c r="X1663" s="30"/>
      <c r="Y1663" s="30"/>
      <c r="Z1663" s="30"/>
      <c r="AA1663" s="30"/>
      <c r="AB1663" s="30"/>
      <c r="AC1663" s="30"/>
      <c r="AD1663" s="30"/>
      <c r="AE1663" s="30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30"/>
      <c r="AQ1663" s="30"/>
      <c r="AR1663" s="30"/>
      <c r="AS1663" s="30"/>
      <c r="AT1663" s="30"/>
      <c r="AU1663" s="30"/>
      <c r="AV1663" s="30"/>
      <c r="AW1663" s="30"/>
      <c r="AX1663" s="30"/>
      <c r="AY1663" s="30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30"/>
      <c r="BK1663" s="30"/>
      <c r="BL1663" s="30"/>
      <c r="BM1663" s="30"/>
      <c r="BN1663" s="30"/>
      <c r="BO1663" s="30"/>
      <c r="BP1663" s="30"/>
      <c r="BQ1663" s="30"/>
      <c r="BR1663" s="30"/>
      <c r="BS1663" s="30"/>
      <c r="BT1663" s="1"/>
      <c r="BU1663" s="1"/>
      <c r="BV1663" s="1"/>
      <c r="BW1663" s="1"/>
      <c r="BX1663" s="1"/>
      <c r="BY1663" s="1"/>
      <c r="BZ1663" s="1"/>
      <c r="CA1663" s="1"/>
      <c r="CB1663" s="1"/>
      <c r="CC1663" s="1"/>
      <c r="CD1663" s="30"/>
      <c r="CE1663" s="30"/>
      <c r="CF1663" s="30"/>
      <c r="CG1663" s="30"/>
      <c r="CH1663" s="30"/>
      <c r="CI1663" s="30"/>
      <c r="CJ1663" s="30"/>
      <c r="CK1663" s="30"/>
      <c r="CL1663" s="30"/>
      <c r="CM1663" s="30"/>
      <c r="CN1663" s="1"/>
      <c r="CO1663" s="1"/>
      <c r="CP1663" s="1"/>
      <c r="CQ1663" s="1"/>
      <c r="CR1663" s="1"/>
      <c r="CS1663" s="1"/>
      <c r="CT1663" s="1"/>
      <c r="CU1663" s="1"/>
      <c r="CV1663" s="1"/>
      <c r="CW1663" s="1"/>
    </row>
    <row r="1664" spans="1:101" ht="15" hidden="1" customHeight="1" x14ac:dyDescent="0.25">
      <c r="A1664" s="21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30"/>
      <c r="W1664" s="30"/>
      <c r="X1664" s="30"/>
      <c r="Y1664" s="30"/>
      <c r="Z1664" s="30"/>
      <c r="AA1664" s="30"/>
      <c r="AB1664" s="30"/>
      <c r="AC1664" s="30"/>
      <c r="AD1664" s="30"/>
      <c r="AE1664" s="30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30"/>
      <c r="AQ1664" s="30"/>
      <c r="AR1664" s="30"/>
      <c r="AS1664" s="30"/>
      <c r="AT1664" s="30"/>
      <c r="AU1664" s="30"/>
      <c r="AV1664" s="30"/>
      <c r="AW1664" s="30"/>
      <c r="AX1664" s="30"/>
      <c r="AY1664" s="30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30"/>
      <c r="BK1664" s="30"/>
      <c r="BL1664" s="30"/>
      <c r="BM1664" s="30"/>
      <c r="BN1664" s="30"/>
      <c r="BO1664" s="30"/>
      <c r="BP1664" s="30"/>
      <c r="BQ1664" s="30"/>
      <c r="BR1664" s="30"/>
      <c r="BS1664" s="30"/>
      <c r="BT1664" s="1"/>
      <c r="BU1664" s="1"/>
      <c r="BV1664" s="1"/>
      <c r="BW1664" s="1"/>
      <c r="BX1664" s="1"/>
      <c r="BY1664" s="1"/>
      <c r="BZ1664" s="1"/>
      <c r="CA1664" s="1"/>
      <c r="CB1664" s="1"/>
      <c r="CC1664" s="1"/>
      <c r="CD1664" s="30"/>
      <c r="CE1664" s="30"/>
      <c r="CF1664" s="30"/>
      <c r="CG1664" s="30"/>
      <c r="CH1664" s="30"/>
      <c r="CI1664" s="30"/>
      <c r="CJ1664" s="30"/>
      <c r="CK1664" s="30"/>
      <c r="CL1664" s="30"/>
      <c r="CM1664" s="30"/>
      <c r="CN1664" s="1"/>
      <c r="CO1664" s="1"/>
      <c r="CP1664" s="1"/>
      <c r="CQ1664" s="1"/>
      <c r="CR1664" s="1"/>
      <c r="CS1664" s="1"/>
      <c r="CT1664" s="1"/>
      <c r="CU1664" s="1"/>
      <c r="CV1664" s="1"/>
      <c r="CW1664" s="1"/>
    </row>
    <row r="1665" spans="1:101" ht="15" hidden="1" customHeight="1" x14ac:dyDescent="0.25">
      <c r="A1665" s="21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30"/>
      <c r="W1665" s="30"/>
      <c r="X1665" s="30"/>
      <c r="Y1665" s="30"/>
      <c r="Z1665" s="30"/>
      <c r="AA1665" s="30"/>
      <c r="AB1665" s="30"/>
      <c r="AC1665" s="30"/>
      <c r="AD1665" s="30"/>
      <c r="AE1665" s="30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30"/>
      <c r="AQ1665" s="30"/>
      <c r="AR1665" s="30"/>
      <c r="AS1665" s="30"/>
      <c r="AT1665" s="30"/>
      <c r="AU1665" s="30"/>
      <c r="AV1665" s="30"/>
      <c r="AW1665" s="30"/>
      <c r="AX1665" s="30"/>
      <c r="AY1665" s="30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30"/>
      <c r="BK1665" s="30"/>
      <c r="BL1665" s="30"/>
      <c r="BM1665" s="30"/>
      <c r="BN1665" s="30"/>
      <c r="BO1665" s="30"/>
      <c r="BP1665" s="30"/>
      <c r="BQ1665" s="30"/>
      <c r="BR1665" s="30"/>
      <c r="BS1665" s="30"/>
      <c r="BT1665" s="1"/>
      <c r="BU1665" s="1"/>
      <c r="BV1665" s="1"/>
      <c r="BW1665" s="1"/>
      <c r="BX1665" s="1"/>
      <c r="BY1665" s="1"/>
      <c r="BZ1665" s="1"/>
      <c r="CA1665" s="1"/>
      <c r="CB1665" s="1"/>
      <c r="CC1665" s="1"/>
      <c r="CD1665" s="30"/>
      <c r="CE1665" s="30"/>
      <c r="CF1665" s="30"/>
      <c r="CG1665" s="30"/>
      <c r="CH1665" s="30"/>
      <c r="CI1665" s="30"/>
      <c r="CJ1665" s="30"/>
      <c r="CK1665" s="30"/>
      <c r="CL1665" s="30"/>
      <c r="CM1665" s="30"/>
      <c r="CN1665" s="1"/>
      <c r="CO1665" s="1"/>
      <c r="CP1665" s="1"/>
      <c r="CQ1665" s="1"/>
      <c r="CR1665" s="1"/>
      <c r="CS1665" s="1"/>
      <c r="CT1665" s="1"/>
      <c r="CU1665" s="1"/>
      <c r="CV1665" s="1"/>
      <c r="CW1665" s="1"/>
    </row>
    <row r="1666" spans="1:101" ht="15" hidden="1" customHeight="1" x14ac:dyDescent="0.25">
      <c r="A1666" s="21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30"/>
      <c r="W1666" s="30"/>
      <c r="X1666" s="30"/>
      <c r="Y1666" s="30"/>
      <c r="Z1666" s="30"/>
      <c r="AA1666" s="30"/>
      <c r="AB1666" s="30"/>
      <c r="AC1666" s="30"/>
      <c r="AD1666" s="30"/>
      <c r="AE1666" s="30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30"/>
      <c r="AQ1666" s="30"/>
      <c r="AR1666" s="30"/>
      <c r="AS1666" s="30"/>
      <c r="AT1666" s="30"/>
      <c r="AU1666" s="30"/>
      <c r="AV1666" s="30"/>
      <c r="AW1666" s="30"/>
      <c r="AX1666" s="30"/>
      <c r="AY1666" s="30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30"/>
      <c r="BK1666" s="30"/>
      <c r="BL1666" s="30"/>
      <c r="BM1666" s="30"/>
      <c r="BN1666" s="30"/>
      <c r="BO1666" s="30"/>
      <c r="BP1666" s="30"/>
      <c r="BQ1666" s="30"/>
      <c r="BR1666" s="30"/>
      <c r="BS1666" s="30"/>
      <c r="BT1666" s="1"/>
      <c r="BU1666" s="1"/>
      <c r="BV1666" s="1"/>
      <c r="BW1666" s="1"/>
      <c r="BX1666" s="1"/>
      <c r="BY1666" s="1"/>
      <c r="BZ1666" s="1"/>
      <c r="CA1666" s="1"/>
      <c r="CB1666" s="1"/>
      <c r="CC1666" s="1"/>
      <c r="CD1666" s="30"/>
      <c r="CE1666" s="30"/>
      <c r="CF1666" s="30"/>
      <c r="CG1666" s="30"/>
      <c r="CH1666" s="30"/>
      <c r="CI1666" s="30"/>
      <c r="CJ1666" s="30"/>
      <c r="CK1666" s="30"/>
      <c r="CL1666" s="30"/>
      <c r="CM1666" s="30"/>
      <c r="CN1666" s="1"/>
      <c r="CO1666" s="1"/>
      <c r="CP1666" s="1"/>
      <c r="CQ1666" s="1"/>
      <c r="CR1666" s="1"/>
      <c r="CS1666" s="1"/>
      <c r="CT1666" s="1"/>
      <c r="CU1666" s="1"/>
      <c r="CV1666" s="1"/>
      <c r="CW1666" s="1"/>
    </row>
    <row r="1667" spans="1:101" ht="15" hidden="1" customHeight="1" x14ac:dyDescent="0.25">
      <c r="A1667" s="21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30"/>
      <c r="W1667" s="30"/>
      <c r="X1667" s="30"/>
      <c r="Y1667" s="30"/>
      <c r="Z1667" s="30"/>
      <c r="AA1667" s="30"/>
      <c r="AB1667" s="30"/>
      <c r="AC1667" s="30"/>
      <c r="AD1667" s="30"/>
      <c r="AE1667" s="30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30"/>
      <c r="AQ1667" s="30"/>
      <c r="AR1667" s="30"/>
      <c r="AS1667" s="30"/>
      <c r="AT1667" s="30"/>
      <c r="AU1667" s="30"/>
      <c r="AV1667" s="30"/>
      <c r="AW1667" s="30"/>
      <c r="AX1667" s="30"/>
      <c r="AY1667" s="30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30"/>
      <c r="BK1667" s="30"/>
      <c r="BL1667" s="30"/>
      <c r="BM1667" s="30"/>
      <c r="BN1667" s="30"/>
      <c r="BO1667" s="30"/>
      <c r="BP1667" s="30"/>
      <c r="BQ1667" s="30"/>
      <c r="BR1667" s="30"/>
      <c r="BS1667" s="30"/>
      <c r="BT1667" s="1"/>
      <c r="BU1667" s="1"/>
      <c r="BV1667" s="1"/>
      <c r="BW1667" s="1"/>
      <c r="BX1667" s="1"/>
      <c r="BY1667" s="1"/>
      <c r="BZ1667" s="1"/>
      <c r="CA1667" s="1"/>
      <c r="CB1667" s="1"/>
      <c r="CC1667" s="1"/>
      <c r="CD1667" s="30"/>
      <c r="CE1667" s="30"/>
      <c r="CF1667" s="30"/>
      <c r="CG1667" s="30"/>
      <c r="CH1667" s="30"/>
      <c r="CI1667" s="30"/>
      <c r="CJ1667" s="30"/>
      <c r="CK1667" s="30"/>
      <c r="CL1667" s="30"/>
      <c r="CM1667" s="30"/>
      <c r="CN1667" s="1"/>
      <c r="CO1667" s="1"/>
      <c r="CP1667" s="1"/>
      <c r="CQ1667" s="1"/>
      <c r="CR1667" s="1"/>
      <c r="CS1667" s="1"/>
      <c r="CT1667" s="1"/>
      <c r="CU1667" s="1"/>
      <c r="CV1667" s="1"/>
      <c r="CW1667" s="1"/>
    </row>
    <row r="1668" spans="1:101" ht="15" hidden="1" customHeight="1" x14ac:dyDescent="0.25">
      <c r="A1668" s="21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30"/>
      <c r="W1668" s="30"/>
      <c r="X1668" s="30"/>
      <c r="Y1668" s="30"/>
      <c r="Z1668" s="30"/>
      <c r="AA1668" s="30"/>
      <c r="AB1668" s="30"/>
      <c r="AC1668" s="30"/>
      <c r="AD1668" s="30"/>
      <c r="AE1668" s="30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30"/>
      <c r="AQ1668" s="30"/>
      <c r="AR1668" s="30"/>
      <c r="AS1668" s="30"/>
      <c r="AT1668" s="30"/>
      <c r="AU1668" s="30"/>
      <c r="AV1668" s="30"/>
      <c r="AW1668" s="30"/>
      <c r="AX1668" s="30"/>
      <c r="AY1668" s="30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30"/>
      <c r="BK1668" s="30"/>
      <c r="BL1668" s="30"/>
      <c r="BM1668" s="30"/>
      <c r="BN1668" s="30"/>
      <c r="BO1668" s="30"/>
      <c r="BP1668" s="30"/>
      <c r="BQ1668" s="30"/>
      <c r="BR1668" s="30"/>
      <c r="BS1668" s="30"/>
      <c r="BT1668" s="1"/>
      <c r="BU1668" s="1"/>
      <c r="BV1668" s="1"/>
      <c r="BW1668" s="1"/>
      <c r="BX1668" s="1"/>
      <c r="BY1668" s="1"/>
      <c r="BZ1668" s="1"/>
      <c r="CA1668" s="1"/>
      <c r="CB1668" s="1"/>
      <c r="CC1668" s="1"/>
      <c r="CD1668" s="30"/>
      <c r="CE1668" s="30"/>
      <c r="CF1668" s="30"/>
      <c r="CG1668" s="30"/>
      <c r="CH1668" s="30"/>
      <c r="CI1668" s="30"/>
      <c r="CJ1668" s="30"/>
      <c r="CK1668" s="30"/>
      <c r="CL1668" s="30"/>
      <c r="CM1668" s="30"/>
      <c r="CN1668" s="1"/>
      <c r="CO1668" s="1"/>
      <c r="CP1668" s="1"/>
      <c r="CQ1668" s="1"/>
      <c r="CR1668" s="1"/>
      <c r="CS1668" s="1"/>
      <c r="CT1668" s="1"/>
      <c r="CU1668" s="1"/>
      <c r="CV1668" s="1"/>
      <c r="CW1668" s="1"/>
    </row>
    <row r="1669" spans="1:101" ht="15" hidden="1" customHeight="1" x14ac:dyDescent="0.25">
      <c r="A1669" s="21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30"/>
      <c r="W1669" s="30"/>
      <c r="X1669" s="30"/>
      <c r="Y1669" s="30"/>
      <c r="Z1669" s="30"/>
      <c r="AA1669" s="30"/>
      <c r="AB1669" s="30"/>
      <c r="AC1669" s="30"/>
      <c r="AD1669" s="30"/>
      <c r="AE1669" s="30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30"/>
      <c r="AQ1669" s="30"/>
      <c r="AR1669" s="30"/>
      <c r="AS1669" s="30"/>
      <c r="AT1669" s="30"/>
      <c r="AU1669" s="30"/>
      <c r="AV1669" s="30"/>
      <c r="AW1669" s="30"/>
      <c r="AX1669" s="30"/>
      <c r="AY1669" s="30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30"/>
      <c r="BK1669" s="30"/>
      <c r="BL1669" s="30"/>
      <c r="BM1669" s="30"/>
      <c r="BN1669" s="30"/>
      <c r="BO1669" s="30"/>
      <c r="BP1669" s="30"/>
      <c r="BQ1669" s="30"/>
      <c r="BR1669" s="30"/>
      <c r="BS1669" s="30"/>
      <c r="BT1669" s="1"/>
      <c r="BU1669" s="1"/>
      <c r="BV1669" s="1"/>
      <c r="BW1669" s="1"/>
      <c r="BX1669" s="1"/>
      <c r="BY1669" s="1"/>
      <c r="BZ1669" s="1"/>
      <c r="CA1669" s="1"/>
      <c r="CB1669" s="1"/>
      <c r="CC1669" s="1"/>
      <c r="CD1669" s="30"/>
      <c r="CE1669" s="30"/>
      <c r="CF1669" s="30"/>
      <c r="CG1669" s="30"/>
      <c r="CH1669" s="30"/>
      <c r="CI1669" s="30"/>
      <c r="CJ1669" s="30"/>
      <c r="CK1669" s="30"/>
      <c r="CL1669" s="30"/>
      <c r="CM1669" s="30"/>
      <c r="CN1669" s="1"/>
      <c r="CO1669" s="1"/>
      <c r="CP1669" s="1"/>
      <c r="CQ1669" s="1"/>
      <c r="CR1669" s="1"/>
      <c r="CS1669" s="1"/>
      <c r="CT1669" s="1"/>
      <c r="CU1669" s="1"/>
      <c r="CV1669" s="1"/>
      <c r="CW1669" s="1"/>
    </row>
    <row r="1670" spans="1:101" ht="15" hidden="1" customHeight="1" x14ac:dyDescent="0.25">
      <c r="A1670" s="21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30"/>
      <c r="W1670" s="30"/>
      <c r="X1670" s="30"/>
      <c r="Y1670" s="30"/>
      <c r="Z1670" s="30"/>
      <c r="AA1670" s="30"/>
      <c r="AB1670" s="30"/>
      <c r="AC1670" s="30"/>
      <c r="AD1670" s="30"/>
      <c r="AE1670" s="30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30"/>
      <c r="AQ1670" s="30"/>
      <c r="AR1670" s="30"/>
      <c r="AS1670" s="30"/>
      <c r="AT1670" s="30"/>
      <c r="AU1670" s="30"/>
      <c r="AV1670" s="30"/>
      <c r="AW1670" s="30"/>
      <c r="AX1670" s="30"/>
      <c r="AY1670" s="30"/>
      <c r="AZ1670" s="1"/>
      <c r="BA1670" s="1"/>
      <c r="BB1670" s="1"/>
      <c r="BC1670" s="1"/>
      <c r="BD1670" s="1"/>
      <c r="BE1670" s="1"/>
      <c r="BF1670" s="1"/>
      <c r="BG1670" s="1"/>
      <c r="BH1670" s="1"/>
      <c r="BI1670" s="1"/>
      <c r="BJ1670" s="30"/>
      <c r="BK1670" s="30"/>
      <c r="BL1670" s="30"/>
      <c r="BM1670" s="30"/>
      <c r="BN1670" s="30"/>
      <c r="BO1670" s="30"/>
      <c r="BP1670" s="30"/>
      <c r="BQ1670" s="30"/>
      <c r="BR1670" s="30"/>
      <c r="BS1670" s="30"/>
      <c r="BT1670" s="1"/>
      <c r="BU1670" s="1"/>
      <c r="BV1670" s="1"/>
      <c r="BW1670" s="1"/>
      <c r="BX1670" s="1"/>
      <c r="BY1670" s="1"/>
      <c r="BZ1670" s="1"/>
      <c r="CA1670" s="1"/>
      <c r="CB1670" s="1"/>
      <c r="CC1670" s="1"/>
      <c r="CD1670" s="30"/>
      <c r="CE1670" s="30"/>
      <c r="CF1670" s="30"/>
      <c r="CG1670" s="30"/>
      <c r="CH1670" s="30"/>
      <c r="CI1670" s="30"/>
      <c r="CJ1670" s="30"/>
      <c r="CK1670" s="30"/>
      <c r="CL1670" s="30"/>
      <c r="CM1670" s="30"/>
      <c r="CN1670" s="1"/>
      <c r="CO1670" s="1"/>
      <c r="CP1670" s="1"/>
      <c r="CQ1670" s="1"/>
      <c r="CR1670" s="1"/>
      <c r="CS1670" s="1"/>
      <c r="CT1670" s="1"/>
      <c r="CU1670" s="1"/>
      <c r="CV1670" s="1"/>
      <c r="CW1670" s="1"/>
    </row>
    <row r="1671" spans="1:101" ht="15" hidden="1" customHeight="1" x14ac:dyDescent="0.25">
      <c r="A1671" s="21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30"/>
      <c r="W1671" s="30"/>
      <c r="X1671" s="30"/>
      <c r="Y1671" s="30"/>
      <c r="Z1671" s="30"/>
      <c r="AA1671" s="30"/>
      <c r="AB1671" s="30"/>
      <c r="AC1671" s="30"/>
      <c r="AD1671" s="30"/>
      <c r="AE1671" s="30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30"/>
      <c r="AQ1671" s="30"/>
      <c r="AR1671" s="30"/>
      <c r="AS1671" s="30"/>
      <c r="AT1671" s="30"/>
      <c r="AU1671" s="30"/>
      <c r="AV1671" s="30"/>
      <c r="AW1671" s="30"/>
      <c r="AX1671" s="30"/>
      <c r="AY1671" s="30"/>
      <c r="AZ1671" s="1"/>
      <c r="BA1671" s="1"/>
      <c r="BB1671" s="1"/>
      <c r="BC1671" s="1"/>
      <c r="BD1671" s="1"/>
      <c r="BE1671" s="1"/>
      <c r="BF1671" s="1"/>
      <c r="BG1671" s="1"/>
      <c r="BH1671" s="1"/>
      <c r="BI1671" s="1"/>
      <c r="BJ1671" s="30"/>
      <c r="BK1671" s="30"/>
      <c r="BL1671" s="30"/>
      <c r="BM1671" s="30"/>
      <c r="BN1671" s="30"/>
      <c r="BO1671" s="30"/>
      <c r="BP1671" s="30"/>
      <c r="BQ1671" s="30"/>
      <c r="BR1671" s="30"/>
      <c r="BS1671" s="30"/>
      <c r="BT1671" s="1"/>
      <c r="BU1671" s="1"/>
      <c r="BV1671" s="1"/>
      <c r="BW1671" s="1"/>
      <c r="BX1671" s="1"/>
      <c r="BY1671" s="1"/>
      <c r="BZ1671" s="1"/>
      <c r="CA1671" s="1"/>
      <c r="CB1671" s="1"/>
      <c r="CC1671" s="1"/>
      <c r="CD1671" s="30"/>
      <c r="CE1671" s="30"/>
      <c r="CF1671" s="30"/>
      <c r="CG1671" s="30"/>
      <c r="CH1671" s="30"/>
      <c r="CI1671" s="30"/>
      <c r="CJ1671" s="30"/>
      <c r="CK1671" s="30"/>
      <c r="CL1671" s="30"/>
      <c r="CM1671" s="30"/>
      <c r="CN1671" s="1"/>
      <c r="CO1671" s="1"/>
      <c r="CP1671" s="1"/>
      <c r="CQ1671" s="1"/>
      <c r="CR1671" s="1"/>
      <c r="CS1671" s="1"/>
      <c r="CT1671" s="1"/>
      <c r="CU1671" s="1"/>
      <c r="CV1671" s="1"/>
      <c r="CW1671" s="1"/>
    </row>
    <row r="1672" spans="1:101" ht="15" hidden="1" customHeight="1" x14ac:dyDescent="0.25">
      <c r="A1672" s="21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30"/>
      <c r="W1672" s="30"/>
      <c r="X1672" s="30"/>
      <c r="Y1672" s="30"/>
      <c r="Z1672" s="30"/>
      <c r="AA1672" s="30"/>
      <c r="AB1672" s="30"/>
      <c r="AC1672" s="30"/>
      <c r="AD1672" s="30"/>
      <c r="AE1672" s="30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30"/>
      <c r="AQ1672" s="30"/>
      <c r="AR1672" s="30"/>
      <c r="AS1672" s="30"/>
      <c r="AT1672" s="30"/>
      <c r="AU1672" s="30"/>
      <c r="AV1672" s="30"/>
      <c r="AW1672" s="30"/>
      <c r="AX1672" s="30"/>
      <c r="AY1672" s="30"/>
      <c r="AZ1672" s="1"/>
      <c r="BA1672" s="1"/>
      <c r="BB1672" s="1"/>
      <c r="BC1672" s="1"/>
      <c r="BD1672" s="1"/>
      <c r="BE1672" s="1"/>
      <c r="BF1672" s="1"/>
      <c r="BG1672" s="1"/>
      <c r="BH1672" s="1"/>
      <c r="BI1672" s="1"/>
      <c r="BJ1672" s="30"/>
      <c r="BK1672" s="30"/>
      <c r="BL1672" s="30"/>
      <c r="BM1672" s="30"/>
      <c r="BN1672" s="30"/>
      <c r="BO1672" s="30"/>
      <c r="BP1672" s="30"/>
      <c r="BQ1672" s="30"/>
      <c r="BR1672" s="30"/>
      <c r="BS1672" s="30"/>
      <c r="BT1672" s="1"/>
      <c r="BU1672" s="1"/>
      <c r="BV1672" s="1"/>
      <c r="BW1672" s="1"/>
      <c r="BX1672" s="1"/>
      <c r="BY1672" s="1"/>
      <c r="BZ1672" s="1"/>
      <c r="CA1672" s="1"/>
      <c r="CB1672" s="1"/>
      <c r="CC1672" s="1"/>
      <c r="CD1672" s="30"/>
      <c r="CE1672" s="30"/>
      <c r="CF1672" s="30"/>
      <c r="CG1672" s="30"/>
      <c r="CH1672" s="30"/>
      <c r="CI1672" s="30"/>
      <c r="CJ1672" s="30"/>
      <c r="CK1672" s="30"/>
      <c r="CL1672" s="30"/>
      <c r="CM1672" s="30"/>
      <c r="CN1672" s="1"/>
      <c r="CO1672" s="1"/>
      <c r="CP1672" s="1"/>
      <c r="CQ1672" s="1"/>
      <c r="CR1672" s="1"/>
      <c r="CS1672" s="1"/>
      <c r="CT1672" s="1"/>
      <c r="CU1672" s="1"/>
      <c r="CV1672" s="1"/>
      <c r="CW1672" s="1"/>
    </row>
    <row r="1673" spans="1:101" ht="15" hidden="1" customHeight="1" x14ac:dyDescent="0.25">
      <c r="A1673" s="21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30"/>
      <c r="W1673" s="30"/>
      <c r="X1673" s="30"/>
      <c r="Y1673" s="30"/>
      <c r="Z1673" s="30"/>
      <c r="AA1673" s="30"/>
      <c r="AB1673" s="30"/>
      <c r="AC1673" s="30"/>
      <c r="AD1673" s="30"/>
      <c r="AE1673" s="30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30"/>
      <c r="AQ1673" s="30"/>
      <c r="AR1673" s="30"/>
      <c r="AS1673" s="30"/>
      <c r="AT1673" s="30"/>
      <c r="AU1673" s="30"/>
      <c r="AV1673" s="30"/>
      <c r="AW1673" s="30"/>
      <c r="AX1673" s="30"/>
      <c r="AY1673" s="30"/>
      <c r="AZ1673" s="1"/>
      <c r="BA1673" s="1"/>
      <c r="BB1673" s="1"/>
      <c r="BC1673" s="1"/>
      <c r="BD1673" s="1"/>
      <c r="BE1673" s="1"/>
      <c r="BF1673" s="1"/>
      <c r="BG1673" s="1"/>
      <c r="BH1673" s="1"/>
      <c r="BI1673" s="1"/>
      <c r="BJ1673" s="30"/>
      <c r="BK1673" s="30"/>
      <c r="BL1673" s="30"/>
      <c r="BM1673" s="30"/>
      <c r="BN1673" s="30"/>
      <c r="BO1673" s="30"/>
      <c r="BP1673" s="30"/>
      <c r="BQ1673" s="30"/>
      <c r="BR1673" s="30"/>
      <c r="BS1673" s="30"/>
      <c r="BT1673" s="1"/>
      <c r="BU1673" s="1"/>
      <c r="BV1673" s="1"/>
      <c r="BW1673" s="1"/>
      <c r="BX1673" s="1"/>
      <c r="BY1673" s="1"/>
      <c r="BZ1673" s="1"/>
      <c r="CA1673" s="1"/>
      <c r="CB1673" s="1"/>
      <c r="CC1673" s="1"/>
      <c r="CD1673" s="30"/>
      <c r="CE1673" s="30"/>
      <c r="CF1673" s="30"/>
      <c r="CG1673" s="30"/>
      <c r="CH1673" s="30"/>
      <c r="CI1673" s="30"/>
      <c r="CJ1673" s="30"/>
      <c r="CK1673" s="30"/>
      <c r="CL1673" s="30"/>
      <c r="CM1673" s="30"/>
      <c r="CN1673" s="1"/>
      <c r="CO1673" s="1"/>
      <c r="CP1673" s="1"/>
      <c r="CQ1673" s="1"/>
      <c r="CR1673" s="1"/>
      <c r="CS1673" s="1"/>
      <c r="CT1673" s="1"/>
      <c r="CU1673" s="1"/>
      <c r="CV1673" s="1"/>
      <c r="CW1673" s="1"/>
    </row>
    <row r="1674" spans="1:101" ht="15" hidden="1" customHeight="1" x14ac:dyDescent="0.25">
      <c r="A1674" s="21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30"/>
      <c r="W1674" s="30"/>
      <c r="X1674" s="30"/>
      <c r="Y1674" s="30"/>
      <c r="Z1674" s="30"/>
      <c r="AA1674" s="30"/>
      <c r="AB1674" s="30"/>
      <c r="AC1674" s="30"/>
      <c r="AD1674" s="30"/>
      <c r="AE1674" s="30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30"/>
      <c r="AQ1674" s="30"/>
      <c r="AR1674" s="30"/>
      <c r="AS1674" s="30"/>
      <c r="AT1674" s="30"/>
      <c r="AU1674" s="30"/>
      <c r="AV1674" s="30"/>
      <c r="AW1674" s="30"/>
      <c r="AX1674" s="30"/>
      <c r="AY1674" s="30"/>
      <c r="AZ1674" s="1"/>
      <c r="BA1674" s="1"/>
      <c r="BB1674" s="1"/>
      <c r="BC1674" s="1"/>
      <c r="BD1674" s="1"/>
      <c r="BE1674" s="1"/>
      <c r="BF1674" s="1"/>
      <c r="BG1674" s="1"/>
      <c r="BH1674" s="1"/>
      <c r="BI1674" s="1"/>
      <c r="BJ1674" s="30"/>
      <c r="BK1674" s="30"/>
      <c r="BL1674" s="30"/>
      <c r="BM1674" s="30"/>
      <c r="BN1674" s="30"/>
      <c r="BO1674" s="30"/>
      <c r="BP1674" s="30"/>
      <c r="BQ1674" s="30"/>
      <c r="BR1674" s="30"/>
      <c r="BS1674" s="30"/>
      <c r="BT1674" s="1"/>
      <c r="BU1674" s="1"/>
      <c r="BV1674" s="1"/>
      <c r="BW1674" s="1"/>
      <c r="BX1674" s="1"/>
      <c r="BY1674" s="1"/>
      <c r="BZ1674" s="1"/>
      <c r="CA1674" s="1"/>
      <c r="CB1674" s="1"/>
      <c r="CC1674" s="1"/>
      <c r="CD1674" s="30"/>
      <c r="CE1674" s="30"/>
      <c r="CF1674" s="30"/>
      <c r="CG1674" s="30"/>
      <c r="CH1674" s="30"/>
      <c r="CI1674" s="30"/>
      <c r="CJ1674" s="30"/>
      <c r="CK1674" s="30"/>
      <c r="CL1674" s="30"/>
      <c r="CM1674" s="30"/>
      <c r="CN1674" s="1"/>
      <c r="CO1674" s="1"/>
      <c r="CP1674" s="1"/>
      <c r="CQ1674" s="1"/>
      <c r="CR1674" s="1"/>
      <c r="CS1674" s="1"/>
      <c r="CT1674" s="1"/>
      <c r="CU1674" s="1"/>
      <c r="CV1674" s="1"/>
      <c r="CW1674" s="1"/>
    </row>
    <row r="1675" spans="1:101" ht="15" hidden="1" customHeight="1" x14ac:dyDescent="0.25">
      <c r="A1675" s="21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30"/>
      <c r="W1675" s="30"/>
      <c r="X1675" s="30"/>
      <c r="Y1675" s="30"/>
      <c r="Z1675" s="30"/>
      <c r="AA1675" s="30"/>
      <c r="AB1675" s="30"/>
      <c r="AC1675" s="30"/>
      <c r="AD1675" s="30"/>
      <c r="AE1675" s="30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30"/>
      <c r="AQ1675" s="30"/>
      <c r="AR1675" s="30"/>
      <c r="AS1675" s="30"/>
      <c r="AT1675" s="30"/>
      <c r="AU1675" s="30"/>
      <c r="AV1675" s="30"/>
      <c r="AW1675" s="30"/>
      <c r="AX1675" s="30"/>
      <c r="AY1675" s="30"/>
      <c r="AZ1675" s="1"/>
      <c r="BA1675" s="1"/>
      <c r="BB1675" s="1"/>
      <c r="BC1675" s="1"/>
      <c r="BD1675" s="1"/>
      <c r="BE1675" s="1"/>
      <c r="BF1675" s="1"/>
      <c r="BG1675" s="1"/>
      <c r="BH1675" s="1"/>
      <c r="BI1675" s="1"/>
      <c r="BJ1675" s="30"/>
      <c r="BK1675" s="30"/>
      <c r="BL1675" s="30"/>
      <c r="BM1675" s="30"/>
      <c r="BN1675" s="30"/>
      <c r="BO1675" s="30"/>
      <c r="BP1675" s="30"/>
      <c r="BQ1675" s="30"/>
      <c r="BR1675" s="30"/>
      <c r="BS1675" s="30"/>
      <c r="BT1675" s="1"/>
      <c r="BU1675" s="1"/>
      <c r="BV1675" s="1"/>
      <c r="BW1675" s="1"/>
      <c r="BX1675" s="1"/>
      <c r="BY1675" s="1"/>
      <c r="BZ1675" s="1"/>
      <c r="CA1675" s="1"/>
      <c r="CB1675" s="1"/>
      <c r="CC1675" s="1"/>
      <c r="CD1675" s="30"/>
      <c r="CE1675" s="30"/>
      <c r="CF1675" s="30"/>
      <c r="CG1675" s="30"/>
      <c r="CH1675" s="30"/>
      <c r="CI1675" s="30"/>
      <c r="CJ1675" s="30"/>
      <c r="CK1675" s="30"/>
      <c r="CL1675" s="30"/>
      <c r="CM1675" s="30"/>
      <c r="CN1675" s="1"/>
      <c r="CO1675" s="1"/>
      <c r="CP1675" s="1"/>
      <c r="CQ1675" s="1"/>
      <c r="CR1675" s="1"/>
      <c r="CS1675" s="1"/>
      <c r="CT1675" s="1"/>
      <c r="CU1675" s="1"/>
      <c r="CV1675" s="1"/>
      <c r="CW1675" s="1"/>
    </row>
    <row r="1676" spans="1:101" ht="15" hidden="1" customHeight="1" x14ac:dyDescent="0.25">
      <c r="A1676" s="21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30"/>
      <c r="W1676" s="30"/>
      <c r="X1676" s="30"/>
      <c r="Y1676" s="30"/>
      <c r="Z1676" s="30"/>
      <c r="AA1676" s="30"/>
      <c r="AB1676" s="30"/>
      <c r="AC1676" s="30"/>
      <c r="AD1676" s="30"/>
      <c r="AE1676" s="30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30"/>
      <c r="AQ1676" s="30"/>
      <c r="AR1676" s="30"/>
      <c r="AS1676" s="30"/>
      <c r="AT1676" s="30"/>
      <c r="AU1676" s="30"/>
      <c r="AV1676" s="30"/>
      <c r="AW1676" s="30"/>
      <c r="AX1676" s="30"/>
      <c r="AY1676" s="30"/>
      <c r="AZ1676" s="1"/>
      <c r="BA1676" s="1"/>
      <c r="BB1676" s="1"/>
      <c r="BC1676" s="1"/>
      <c r="BD1676" s="1"/>
      <c r="BE1676" s="1"/>
      <c r="BF1676" s="1"/>
      <c r="BG1676" s="1"/>
      <c r="BH1676" s="1"/>
      <c r="BI1676" s="1"/>
      <c r="BJ1676" s="30"/>
      <c r="BK1676" s="30"/>
      <c r="BL1676" s="30"/>
      <c r="BM1676" s="30"/>
      <c r="BN1676" s="30"/>
      <c r="BO1676" s="30"/>
      <c r="BP1676" s="30"/>
      <c r="BQ1676" s="30"/>
      <c r="BR1676" s="30"/>
      <c r="BS1676" s="30"/>
      <c r="BT1676" s="1"/>
      <c r="BU1676" s="1"/>
      <c r="BV1676" s="1"/>
      <c r="BW1676" s="1"/>
      <c r="BX1676" s="1"/>
      <c r="BY1676" s="1"/>
      <c r="BZ1676" s="1"/>
      <c r="CA1676" s="1"/>
      <c r="CB1676" s="1"/>
      <c r="CC1676" s="1"/>
      <c r="CD1676" s="30"/>
      <c r="CE1676" s="30"/>
      <c r="CF1676" s="30"/>
      <c r="CG1676" s="30"/>
      <c r="CH1676" s="30"/>
      <c r="CI1676" s="30"/>
      <c r="CJ1676" s="30"/>
      <c r="CK1676" s="30"/>
      <c r="CL1676" s="30"/>
      <c r="CM1676" s="30"/>
      <c r="CN1676" s="1"/>
      <c r="CO1676" s="1"/>
      <c r="CP1676" s="1"/>
      <c r="CQ1676" s="1"/>
      <c r="CR1676" s="1"/>
      <c r="CS1676" s="1"/>
      <c r="CT1676" s="1"/>
      <c r="CU1676" s="1"/>
      <c r="CV1676" s="1"/>
      <c r="CW1676" s="1"/>
    </row>
    <row r="1677" spans="1:101" ht="15" hidden="1" customHeight="1" x14ac:dyDescent="0.25">
      <c r="A1677" s="21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30"/>
      <c r="W1677" s="30"/>
      <c r="X1677" s="30"/>
      <c r="Y1677" s="30"/>
      <c r="Z1677" s="30"/>
      <c r="AA1677" s="30"/>
      <c r="AB1677" s="30"/>
      <c r="AC1677" s="30"/>
      <c r="AD1677" s="30"/>
      <c r="AE1677" s="30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30"/>
      <c r="AQ1677" s="30"/>
      <c r="AR1677" s="30"/>
      <c r="AS1677" s="30"/>
      <c r="AT1677" s="30"/>
      <c r="AU1677" s="30"/>
      <c r="AV1677" s="30"/>
      <c r="AW1677" s="30"/>
      <c r="AX1677" s="30"/>
      <c r="AY1677" s="30"/>
      <c r="AZ1677" s="1"/>
      <c r="BA1677" s="1"/>
      <c r="BB1677" s="1"/>
      <c r="BC1677" s="1"/>
      <c r="BD1677" s="1"/>
      <c r="BE1677" s="1"/>
      <c r="BF1677" s="1"/>
      <c r="BG1677" s="1"/>
      <c r="BH1677" s="1"/>
      <c r="BI1677" s="1"/>
      <c r="BJ1677" s="30"/>
      <c r="BK1677" s="30"/>
      <c r="BL1677" s="30"/>
      <c r="BM1677" s="30"/>
      <c r="BN1677" s="30"/>
      <c r="BO1677" s="30"/>
      <c r="BP1677" s="30"/>
      <c r="BQ1677" s="30"/>
      <c r="BR1677" s="30"/>
      <c r="BS1677" s="30"/>
      <c r="BT1677" s="1"/>
      <c r="BU1677" s="1"/>
      <c r="BV1677" s="1"/>
      <c r="BW1677" s="1"/>
      <c r="BX1677" s="1"/>
      <c r="BY1677" s="1"/>
      <c r="BZ1677" s="1"/>
      <c r="CA1677" s="1"/>
      <c r="CB1677" s="1"/>
      <c r="CC1677" s="1"/>
      <c r="CD1677" s="30"/>
      <c r="CE1677" s="30"/>
      <c r="CF1677" s="30"/>
      <c r="CG1677" s="30"/>
      <c r="CH1677" s="30"/>
      <c r="CI1677" s="30"/>
      <c r="CJ1677" s="30"/>
      <c r="CK1677" s="30"/>
      <c r="CL1677" s="30"/>
      <c r="CM1677" s="30"/>
      <c r="CN1677" s="1"/>
      <c r="CO1677" s="1"/>
      <c r="CP1677" s="1"/>
      <c r="CQ1677" s="1"/>
      <c r="CR1677" s="1"/>
      <c r="CS1677" s="1"/>
      <c r="CT1677" s="1"/>
      <c r="CU1677" s="1"/>
      <c r="CV1677" s="1"/>
      <c r="CW1677" s="1"/>
    </row>
    <row r="1678" spans="1:101" ht="15" hidden="1" customHeight="1" x14ac:dyDescent="0.25">
      <c r="A1678" s="21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30"/>
      <c r="W1678" s="30"/>
      <c r="X1678" s="30"/>
      <c r="Y1678" s="30"/>
      <c r="Z1678" s="30"/>
      <c r="AA1678" s="30"/>
      <c r="AB1678" s="30"/>
      <c r="AC1678" s="30"/>
      <c r="AD1678" s="30"/>
      <c r="AE1678" s="30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30"/>
      <c r="AQ1678" s="30"/>
      <c r="AR1678" s="30"/>
      <c r="AS1678" s="30"/>
      <c r="AT1678" s="30"/>
      <c r="AU1678" s="30"/>
      <c r="AV1678" s="30"/>
      <c r="AW1678" s="30"/>
      <c r="AX1678" s="30"/>
      <c r="AY1678" s="30"/>
      <c r="AZ1678" s="1"/>
      <c r="BA1678" s="1"/>
      <c r="BB1678" s="1"/>
      <c r="BC1678" s="1"/>
      <c r="BD1678" s="1"/>
      <c r="BE1678" s="1"/>
      <c r="BF1678" s="1"/>
      <c r="BG1678" s="1"/>
      <c r="BH1678" s="1"/>
      <c r="BI1678" s="1"/>
      <c r="BJ1678" s="30"/>
      <c r="BK1678" s="30"/>
      <c r="BL1678" s="30"/>
      <c r="BM1678" s="30"/>
      <c r="BN1678" s="30"/>
      <c r="BO1678" s="30"/>
      <c r="BP1678" s="30"/>
      <c r="BQ1678" s="30"/>
      <c r="BR1678" s="30"/>
      <c r="BS1678" s="30"/>
      <c r="BT1678" s="1"/>
      <c r="BU1678" s="1"/>
      <c r="BV1678" s="1"/>
      <c r="BW1678" s="1"/>
      <c r="BX1678" s="1"/>
      <c r="BY1678" s="1"/>
      <c r="BZ1678" s="1"/>
      <c r="CA1678" s="1"/>
      <c r="CB1678" s="1"/>
      <c r="CC1678" s="1"/>
      <c r="CD1678" s="30"/>
      <c r="CE1678" s="30"/>
      <c r="CF1678" s="30"/>
      <c r="CG1678" s="30"/>
      <c r="CH1678" s="30"/>
      <c r="CI1678" s="30"/>
      <c r="CJ1678" s="30"/>
      <c r="CK1678" s="30"/>
      <c r="CL1678" s="30"/>
      <c r="CM1678" s="30"/>
      <c r="CN1678" s="1"/>
      <c r="CO1678" s="1"/>
      <c r="CP1678" s="1"/>
      <c r="CQ1678" s="1"/>
      <c r="CR1678" s="1"/>
      <c r="CS1678" s="1"/>
      <c r="CT1678" s="1"/>
      <c r="CU1678" s="1"/>
      <c r="CV1678" s="1"/>
      <c r="CW1678" s="1"/>
    </row>
    <row r="1679" spans="1:101" ht="15" hidden="1" customHeight="1" x14ac:dyDescent="0.25">
      <c r="A1679" s="21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30"/>
      <c r="W1679" s="30"/>
      <c r="X1679" s="30"/>
      <c r="Y1679" s="30"/>
      <c r="Z1679" s="30"/>
      <c r="AA1679" s="30"/>
      <c r="AB1679" s="30"/>
      <c r="AC1679" s="30"/>
      <c r="AD1679" s="30"/>
      <c r="AE1679" s="30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30"/>
      <c r="AQ1679" s="30"/>
      <c r="AR1679" s="30"/>
      <c r="AS1679" s="30"/>
      <c r="AT1679" s="30"/>
      <c r="AU1679" s="30"/>
      <c r="AV1679" s="30"/>
      <c r="AW1679" s="30"/>
      <c r="AX1679" s="30"/>
      <c r="AY1679" s="30"/>
      <c r="AZ1679" s="1"/>
      <c r="BA1679" s="1"/>
      <c r="BB1679" s="1"/>
      <c r="BC1679" s="1"/>
      <c r="BD1679" s="1"/>
      <c r="BE1679" s="1"/>
      <c r="BF1679" s="1"/>
      <c r="BG1679" s="1"/>
      <c r="BH1679" s="1"/>
      <c r="BI1679" s="1"/>
      <c r="BJ1679" s="30"/>
      <c r="BK1679" s="30"/>
      <c r="BL1679" s="30"/>
      <c r="BM1679" s="30"/>
      <c r="BN1679" s="30"/>
      <c r="BO1679" s="30"/>
      <c r="BP1679" s="30"/>
      <c r="BQ1679" s="30"/>
      <c r="BR1679" s="30"/>
      <c r="BS1679" s="30"/>
      <c r="BT1679" s="1"/>
      <c r="BU1679" s="1"/>
      <c r="BV1679" s="1"/>
      <c r="BW1679" s="1"/>
      <c r="BX1679" s="1"/>
      <c r="BY1679" s="1"/>
      <c r="BZ1679" s="1"/>
      <c r="CA1679" s="1"/>
      <c r="CB1679" s="1"/>
      <c r="CC1679" s="1"/>
      <c r="CD1679" s="30"/>
      <c r="CE1679" s="30"/>
      <c r="CF1679" s="30"/>
      <c r="CG1679" s="30"/>
      <c r="CH1679" s="30"/>
      <c r="CI1679" s="30"/>
      <c r="CJ1679" s="30"/>
      <c r="CK1679" s="30"/>
      <c r="CL1679" s="30"/>
      <c r="CM1679" s="30"/>
      <c r="CN1679" s="1"/>
      <c r="CO1679" s="1"/>
      <c r="CP1679" s="1"/>
      <c r="CQ1679" s="1"/>
      <c r="CR1679" s="1"/>
      <c r="CS1679" s="1"/>
      <c r="CT1679" s="1"/>
      <c r="CU1679" s="1"/>
      <c r="CV1679" s="1"/>
      <c r="CW1679" s="1"/>
    </row>
    <row r="1680" spans="1:101" ht="15" hidden="1" customHeight="1" x14ac:dyDescent="0.25">
      <c r="A1680" s="21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30"/>
      <c r="W1680" s="30"/>
      <c r="X1680" s="30"/>
      <c r="Y1680" s="30"/>
      <c r="Z1680" s="30"/>
      <c r="AA1680" s="30"/>
      <c r="AB1680" s="30"/>
      <c r="AC1680" s="30"/>
      <c r="AD1680" s="30"/>
      <c r="AE1680" s="30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30"/>
      <c r="AQ1680" s="30"/>
      <c r="AR1680" s="30"/>
      <c r="AS1680" s="30"/>
      <c r="AT1680" s="30"/>
      <c r="AU1680" s="30"/>
      <c r="AV1680" s="30"/>
      <c r="AW1680" s="30"/>
      <c r="AX1680" s="30"/>
      <c r="AY1680" s="30"/>
      <c r="AZ1680" s="1"/>
      <c r="BA1680" s="1"/>
      <c r="BB1680" s="1"/>
      <c r="BC1680" s="1"/>
      <c r="BD1680" s="1"/>
      <c r="BE1680" s="1"/>
      <c r="BF1680" s="1"/>
      <c r="BG1680" s="1"/>
      <c r="BH1680" s="1"/>
      <c r="BI1680" s="1"/>
      <c r="BJ1680" s="30"/>
      <c r="BK1680" s="30"/>
      <c r="BL1680" s="30"/>
      <c r="BM1680" s="30"/>
      <c r="BN1680" s="30"/>
      <c r="BO1680" s="30"/>
      <c r="BP1680" s="30"/>
      <c r="BQ1680" s="30"/>
      <c r="BR1680" s="30"/>
      <c r="BS1680" s="30"/>
      <c r="BT1680" s="1"/>
      <c r="BU1680" s="1"/>
      <c r="BV1680" s="1"/>
      <c r="BW1680" s="1"/>
      <c r="BX1680" s="1"/>
      <c r="BY1680" s="1"/>
      <c r="BZ1680" s="1"/>
      <c r="CA1680" s="1"/>
      <c r="CB1680" s="1"/>
      <c r="CC1680" s="1"/>
      <c r="CD1680" s="30"/>
      <c r="CE1680" s="30"/>
      <c r="CF1680" s="30"/>
      <c r="CG1680" s="30"/>
      <c r="CH1680" s="30"/>
      <c r="CI1680" s="30"/>
      <c r="CJ1680" s="30"/>
      <c r="CK1680" s="30"/>
      <c r="CL1680" s="30"/>
      <c r="CM1680" s="30"/>
      <c r="CN1680" s="1"/>
      <c r="CO1680" s="1"/>
      <c r="CP1680" s="1"/>
      <c r="CQ1680" s="1"/>
      <c r="CR1680" s="1"/>
      <c r="CS1680" s="1"/>
      <c r="CT1680" s="1"/>
      <c r="CU1680" s="1"/>
      <c r="CV1680" s="1"/>
      <c r="CW1680" s="1"/>
    </row>
    <row r="1681" spans="1:101" ht="15" hidden="1" customHeight="1" x14ac:dyDescent="0.25">
      <c r="A1681" s="21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30"/>
      <c r="W1681" s="30"/>
      <c r="X1681" s="30"/>
      <c r="Y1681" s="30"/>
      <c r="Z1681" s="30"/>
      <c r="AA1681" s="30"/>
      <c r="AB1681" s="30"/>
      <c r="AC1681" s="30"/>
      <c r="AD1681" s="30"/>
      <c r="AE1681" s="30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30"/>
      <c r="AQ1681" s="30"/>
      <c r="AR1681" s="30"/>
      <c r="AS1681" s="30"/>
      <c r="AT1681" s="30"/>
      <c r="AU1681" s="30"/>
      <c r="AV1681" s="30"/>
      <c r="AW1681" s="30"/>
      <c r="AX1681" s="30"/>
      <c r="AY1681" s="30"/>
      <c r="AZ1681" s="1"/>
      <c r="BA1681" s="1"/>
      <c r="BB1681" s="1"/>
      <c r="BC1681" s="1"/>
      <c r="BD1681" s="1"/>
      <c r="BE1681" s="1"/>
      <c r="BF1681" s="1"/>
      <c r="BG1681" s="1"/>
      <c r="BH1681" s="1"/>
      <c r="BI1681" s="1"/>
      <c r="BJ1681" s="30"/>
      <c r="BK1681" s="30"/>
      <c r="BL1681" s="30"/>
      <c r="BM1681" s="30"/>
      <c r="BN1681" s="30"/>
      <c r="BO1681" s="30"/>
      <c r="BP1681" s="30"/>
      <c r="BQ1681" s="30"/>
      <c r="BR1681" s="30"/>
      <c r="BS1681" s="30"/>
      <c r="BT1681" s="1"/>
      <c r="BU1681" s="1"/>
      <c r="BV1681" s="1"/>
      <c r="BW1681" s="1"/>
      <c r="BX1681" s="1"/>
      <c r="BY1681" s="1"/>
      <c r="BZ1681" s="1"/>
      <c r="CA1681" s="1"/>
      <c r="CB1681" s="1"/>
      <c r="CC1681" s="1"/>
      <c r="CD1681" s="30"/>
      <c r="CE1681" s="30"/>
      <c r="CF1681" s="30"/>
      <c r="CG1681" s="30"/>
      <c r="CH1681" s="30"/>
      <c r="CI1681" s="30"/>
      <c r="CJ1681" s="30"/>
      <c r="CK1681" s="30"/>
      <c r="CL1681" s="30"/>
      <c r="CM1681" s="30"/>
      <c r="CN1681" s="1"/>
      <c r="CO1681" s="1"/>
      <c r="CP1681" s="1"/>
      <c r="CQ1681" s="1"/>
      <c r="CR1681" s="1"/>
      <c r="CS1681" s="1"/>
      <c r="CT1681" s="1"/>
      <c r="CU1681" s="1"/>
      <c r="CV1681" s="1"/>
      <c r="CW1681" s="1"/>
    </row>
    <row r="1682" spans="1:101" ht="15" hidden="1" customHeight="1" x14ac:dyDescent="0.25">
      <c r="A1682" s="21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30"/>
      <c r="W1682" s="30"/>
      <c r="X1682" s="30"/>
      <c r="Y1682" s="30"/>
      <c r="Z1682" s="30"/>
      <c r="AA1682" s="30"/>
      <c r="AB1682" s="30"/>
      <c r="AC1682" s="30"/>
      <c r="AD1682" s="30"/>
      <c r="AE1682" s="30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30"/>
      <c r="AQ1682" s="30"/>
      <c r="AR1682" s="30"/>
      <c r="AS1682" s="30"/>
      <c r="AT1682" s="30"/>
      <c r="AU1682" s="30"/>
      <c r="AV1682" s="30"/>
      <c r="AW1682" s="30"/>
      <c r="AX1682" s="30"/>
      <c r="AY1682" s="30"/>
      <c r="AZ1682" s="1"/>
      <c r="BA1682" s="1"/>
      <c r="BB1682" s="1"/>
      <c r="BC1682" s="1"/>
      <c r="BD1682" s="1"/>
      <c r="BE1682" s="1"/>
      <c r="BF1682" s="1"/>
      <c r="BG1682" s="1"/>
      <c r="BH1682" s="1"/>
      <c r="BI1682" s="1"/>
      <c r="BJ1682" s="30"/>
      <c r="BK1682" s="30"/>
      <c r="BL1682" s="30"/>
      <c r="BM1682" s="30"/>
      <c r="BN1682" s="30"/>
      <c r="BO1682" s="30"/>
      <c r="BP1682" s="30"/>
      <c r="BQ1682" s="30"/>
      <c r="BR1682" s="30"/>
      <c r="BS1682" s="30"/>
      <c r="BT1682" s="1"/>
      <c r="BU1682" s="1"/>
      <c r="BV1682" s="1"/>
      <c r="BW1682" s="1"/>
      <c r="BX1682" s="1"/>
      <c r="BY1682" s="1"/>
      <c r="BZ1682" s="1"/>
      <c r="CA1682" s="1"/>
      <c r="CB1682" s="1"/>
      <c r="CC1682" s="1"/>
      <c r="CD1682" s="30"/>
      <c r="CE1682" s="30"/>
      <c r="CF1682" s="30"/>
      <c r="CG1682" s="30"/>
      <c r="CH1682" s="30"/>
      <c r="CI1682" s="30"/>
      <c r="CJ1682" s="30"/>
      <c r="CK1682" s="30"/>
      <c r="CL1682" s="30"/>
      <c r="CM1682" s="30"/>
      <c r="CN1682" s="1"/>
      <c r="CO1682" s="1"/>
      <c r="CP1682" s="1"/>
      <c r="CQ1682" s="1"/>
      <c r="CR1682" s="1"/>
      <c r="CS1682" s="1"/>
      <c r="CT1682" s="1"/>
      <c r="CU1682" s="1"/>
      <c r="CV1682" s="1"/>
      <c r="CW1682" s="1"/>
    </row>
    <row r="1683" spans="1:101" ht="15" hidden="1" customHeight="1" x14ac:dyDescent="0.25">
      <c r="A1683" s="21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30"/>
      <c r="W1683" s="30"/>
      <c r="X1683" s="30"/>
      <c r="Y1683" s="30"/>
      <c r="Z1683" s="30"/>
      <c r="AA1683" s="30"/>
      <c r="AB1683" s="30"/>
      <c r="AC1683" s="30"/>
      <c r="AD1683" s="30"/>
      <c r="AE1683" s="30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30"/>
      <c r="AQ1683" s="30"/>
      <c r="AR1683" s="30"/>
      <c r="AS1683" s="30"/>
      <c r="AT1683" s="30"/>
      <c r="AU1683" s="30"/>
      <c r="AV1683" s="30"/>
      <c r="AW1683" s="30"/>
      <c r="AX1683" s="30"/>
      <c r="AY1683" s="30"/>
      <c r="AZ1683" s="1"/>
      <c r="BA1683" s="1"/>
      <c r="BB1683" s="1"/>
      <c r="BC1683" s="1"/>
      <c r="BD1683" s="1"/>
      <c r="BE1683" s="1"/>
      <c r="BF1683" s="1"/>
      <c r="BG1683" s="1"/>
      <c r="BH1683" s="1"/>
      <c r="BI1683" s="1"/>
      <c r="BJ1683" s="30"/>
      <c r="BK1683" s="30"/>
      <c r="BL1683" s="30"/>
      <c r="BM1683" s="30"/>
      <c r="BN1683" s="30"/>
      <c r="BO1683" s="30"/>
      <c r="BP1683" s="30"/>
      <c r="BQ1683" s="30"/>
      <c r="BR1683" s="30"/>
      <c r="BS1683" s="30"/>
      <c r="BT1683" s="1"/>
      <c r="BU1683" s="1"/>
      <c r="BV1683" s="1"/>
      <c r="BW1683" s="1"/>
      <c r="BX1683" s="1"/>
      <c r="BY1683" s="1"/>
      <c r="BZ1683" s="1"/>
      <c r="CA1683" s="1"/>
      <c r="CB1683" s="1"/>
      <c r="CC1683" s="1"/>
      <c r="CD1683" s="30"/>
      <c r="CE1683" s="30"/>
      <c r="CF1683" s="30"/>
      <c r="CG1683" s="30"/>
      <c r="CH1683" s="30"/>
      <c r="CI1683" s="30"/>
      <c r="CJ1683" s="30"/>
      <c r="CK1683" s="30"/>
      <c r="CL1683" s="30"/>
      <c r="CM1683" s="30"/>
      <c r="CN1683" s="1"/>
      <c r="CO1683" s="1"/>
      <c r="CP1683" s="1"/>
      <c r="CQ1683" s="1"/>
      <c r="CR1683" s="1"/>
      <c r="CS1683" s="1"/>
      <c r="CT1683" s="1"/>
      <c r="CU1683" s="1"/>
      <c r="CV1683" s="1"/>
      <c r="CW1683" s="1"/>
    </row>
    <row r="1684" spans="1:101" ht="15" hidden="1" customHeight="1" x14ac:dyDescent="0.25">
      <c r="A1684" s="21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30"/>
      <c r="W1684" s="30"/>
      <c r="X1684" s="30"/>
      <c r="Y1684" s="30"/>
      <c r="Z1684" s="30"/>
      <c r="AA1684" s="30"/>
      <c r="AB1684" s="30"/>
      <c r="AC1684" s="30"/>
      <c r="AD1684" s="30"/>
      <c r="AE1684" s="30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30"/>
      <c r="AQ1684" s="30"/>
      <c r="AR1684" s="30"/>
      <c r="AS1684" s="30"/>
      <c r="AT1684" s="30"/>
      <c r="AU1684" s="30"/>
      <c r="AV1684" s="30"/>
      <c r="AW1684" s="30"/>
      <c r="AX1684" s="30"/>
      <c r="AY1684" s="30"/>
      <c r="AZ1684" s="1"/>
      <c r="BA1684" s="1"/>
      <c r="BB1684" s="1"/>
      <c r="BC1684" s="1"/>
      <c r="BD1684" s="1"/>
      <c r="BE1684" s="1"/>
      <c r="BF1684" s="1"/>
      <c r="BG1684" s="1"/>
      <c r="BH1684" s="1"/>
      <c r="BI1684" s="1"/>
      <c r="BJ1684" s="30"/>
      <c r="BK1684" s="30"/>
      <c r="BL1684" s="30"/>
      <c r="BM1684" s="30"/>
      <c r="BN1684" s="30"/>
      <c r="BO1684" s="30"/>
      <c r="BP1684" s="30"/>
      <c r="BQ1684" s="30"/>
      <c r="BR1684" s="30"/>
      <c r="BS1684" s="30"/>
      <c r="BT1684" s="1"/>
      <c r="BU1684" s="1"/>
      <c r="BV1684" s="1"/>
      <c r="BW1684" s="1"/>
      <c r="BX1684" s="1"/>
      <c r="BY1684" s="1"/>
      <c r="BZ1684" s="1"/>
      <c r="CA1684" s="1"/>
      <c r="CB1684" s="1"/>
      <c r="CC1684" s="1"/>
      <c r="CD1684" s="30"/>
      <c r="CE1684" s="30"/>
      <c r="CF1684" s="30"/>
      <c r="CG1684" s="30"/>
      <c r="CH1684" s="30"/>
      <c r="CI1684" s="30"/>
      <c r="CJ1684" s="30"/>
      <c r="CK1684" s="30"/>
      <c r="CL1684" s="30"/>
      <c r="CM1684" s="30"/>
      <c r="CN1684" s="1"/>
      <c r="CO1684" s="1"/>
      <c r="CP1684" s="1"/>
      <c r="CQ1684" s="1"/>
      <c r="CR1684" s="1"/>
      <c r="CS1684" s="1"/>
      <c r="CT1684" s="1"/>
      <c r="CU1684" s="1"/>
      <c r="CV1684" s="1"/>
      <c r="CW1684" s="1"/>
    </row>
    <row r="1685" spans="1:101" ht="15" hidden="1" customHeight="1" x14ac:dyDescent="0.25">
      <c r="A1685" s="21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30"/>
      <c r="W1685" s="30"/>
      <c r="X1685" s="30"/>
      <c r="Y1685" s="30"/>
      <c r="Z1685" s="30"/>
      <c r="AA1685" s="30"/>
      <c r="AB1685" s="30"/>
      <c r="AC1685" s="30"/>
      <c r="AD1685" s="30"/>
      <c r="AE1685" s="30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30"/>
      <c r="AQ1685" s="30"/>
      <c r="AR1685" s="30"/>
      <c r="AS1685" s="30"/>
      <c r="AT1685" s="30"/>
      <c r="AU1685" s="30"/>
      <c r="AV1685" s="30"/>
      <c r="AW1685" s="30"/>
      <c r="AX1685" s="30"/>
      <c r="AY1685" s="30"/>
      <c r="AZ1685" s="1"/>
      <c r="BA1685" s="1"/>
      <c r="BB1685" s="1"/>
      <c r="BC1685" s="1"/>
      <c r="BD1685" s="1"/>
      <c r="BE1685" s="1"/>
      <c r="BF1685" s="1"/>
      <c r="BG1685" s="1"/>
      <c r="BH1685" s="1"/>
      <c r="BI1685" s="1"/>
      <c r="BJ1685" s="30"/>
      <c r="BK1685" s="30"/>
      <c r="BL1685" s="30"/>
      <c r="BM1685" s="30"/>
      <c r="BN1685" s="30"/>
      <c r="BO1685" s="30"/>
      <c r="BP1685" s="30"/>
      <c r="BQ1685" s="30"/>
      <c r="BR1685" s="30"/>
      <c r="BS1685" s="30"/>
      <c r="BT1685" s="1"/>
      <c r="BU1685" s="1"/>
      <c r="BV1685" s="1"/>
      <c r="BW1685" s="1"/>
      <c r="BX1685" s="1"/>
      <c r="BY1685" s="1"/>
      <c r="BZ1685" s="1"/>
      <c r="CA1685" s="1"/>
      <c r="CB1685" s="1"/>
      <c r="CC1685" s="1"/>
      <c r="CD1685" s="30"/>
      <c r="CE1685" s="30"/>
      <c r="CF1685" s="30"/>
      <c r="CG1685" s="30"/>
      <c r="CH1685" s="30"/>
      <c r="CI1685" s="30"/>
      <c r="CJ1685" s="30"/>
      <c r="CK1685" s="30"/>
      <c r="CL1685" s="30"/>
      <c r="CM1685" s="30"/>
      <c r="CN1685" s="1"/>
      <c r="CO1685" s="1"/>
      <c r="CP1685" s="1"/>
      <c r="CQ1685" s="1"/>
      <c r="CR1685" s="1"/>
      <c r="CS1685" s="1"/>
      <c r="CT1685" s="1"/>
      <c r="CU1685" s="1"/>
      <c r="CV1685" s="1"/>
      <c r="CW1685" s="1"/>
    </row>
    <row r="1686" spans="1:101" ht="15" hidden="1" customHeight="1" x14ac:dyDescent="0.25">
      <c r="A1686" s="21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30"/>
      <c r="W1686" s="30"/>
      <c r="X1686" s="30"/>
      <c r="Y1686" s="30"/>
      <c r="Z1686" s="30"/>
      <c r="AA1686" s="30"/>
      <c r="AB1686" s="30"/>
      <c r="AC1686" s="30"/>
      <c r="AD1686" s="30"/>
      <c r="AE1686" s="30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30"/>
      <c r="AQ1686" s="30"/>
      <c r="AR1686" s="30"/>
      <c r="AS1686" s="30"/>
      <c r="AT1686" s="30"/>
      <c r="AU1686" s="30"/>
      <c r="AV1686" s="30"/>
      <c r="AW1686" s="30"/>
      <c r="AX1686" s="30"/>
      <c r="AY1686" s="30"/>
      <c r="AZ1686" s="1"/>
      <c r="BA1686" s="1"/>
      <c r="BB1686" s="1"/>
      <c r="BC1686" s="1"/>
      <c r="BD1686" s="1"/>
      <c r="BE1686" s="1"/>
      <c r="BF1686" s="1"/>
      <c r="BG1686" s="1"/>
      <c r="BH1686" s="1"/>
      <c r="BI1686" s="1"/>
      <c r="BJ1686" s="30"/>
      <c r="BK1686" s="30"/>
      <c r="BL1686" s="30"/>
      <c r="BM1686" s="30"/>
      <c r="BN1686" s="30"/>
      <c r="BO1686" s="30"/>
      <c r="BP1686" s="30"/>
      <c r="BQ1686" s="30"/>
      <c r="BR1686" s="30"/>
      <c r="BS1686" s="30"/>
      <c r="BT1686" s="1"/>
      <c r="BU1686" s="1"/>
      <c r="BV1686" s="1"/>
      <c r="BW1686" s="1"/>
      <c r="BX1686" s="1"/>
      <c r="BY1686" s="1"/>
      <c r="BZ1686" s="1"/>
      <c r="CA1686" s="1"/>
      <c r="CB1686" s="1"/>
      <c r="CC1686" s="1"/>
      <c r="CD1686" s="30"/>
      <c r="CE1686" s="30"/>
      <c r="CF1686" s="30"/>
      <c r="CG1686" s="30"/>
      <c r="CH1686" s="30"/>
      <c r="CI1686" s="30"/>
      <c r="CJ1686" s="30"/>
      <c r="CK1686" s="30"/>
      <c r="CL1686" s="30"/>
      <c r="CM1686" s="30"/>
      <c r="CN1686" s="1"/>
      <c r="CO1686" s="1"/>
      <c r="CP1686" s="1"/>
      <c r="CQ1686" s="1"/>
      <c r="CR1686" s="1"/>
      <c r="CS1686" s="1"/>
      <c r="CT1686" s="1"/>
      <c r="CU1686" s="1"/>
      <c r="CV1686" s="1"/>
      <c r="CW1686" s="1"/>
    </row>
    <row r="1687" spans="1:101" ht="15" hidden="1" customHeight="1" x14ac:dyDescent="0.25">
      <c r="A1687" s="21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30"/>
      <c r="W1687" s="30"/>
      <c r="X1687" s="30"/>
      <c r="Y1687" s="30"/>
      <c r="Z1687" s="30"/>
      <c r="AA1687" s="30"/>
      <c r="AB1687" s="30"/>
      <c r="AC1687" s="30"/>
      <c r="AD1687" s="30"/>
      <c r="AE1687" s="30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30"/>
      <c r="AQ1687" s="30"/>
      <c r="AR1687" s="30"/>
      <c r="AS1687" s="30"/>
      <c r="AT1687" s="30"/>
      <c r="AU1687" s="30"/>
      <c r="AV1687" s="30"/>
      <c r="AW1687" s="30"/>
      <c r="AX1687" s="30"/>
      <c r="AY1687" s="30"/>
      <c r="AZ1687" s="1"/>
      <c r="BA1687" s="1"/>
      <c r="BB1687" s="1"/>
      <c r="BC1687" s="1"/>
      <c r="BD1687" s="1"/>
      <c r="BE1687" s="1"/>
      <c r="BF1687" s="1"/>
      <c r="BG1687" s="1"/>
      <c r="BH1687" s="1"/>
      <c r="BI1687" s="1"/>
      <c r="BJ1687" s="30"/>
      <c r="BK1687" s="30"/>
      <c r="BL1687" s="30"/>
      <c r="BM1687" s="30"/>
      <c r="BN1687" s="30"/>
      <c r="BO1687" s="30"/>
      <c r="BP1687" s="30"/>
      <c r="BQ1687" s="30"/>
      <c r="BR1687" s="30"/>
      <c r="BS1687" s="30"/>
      <c r="BT1687" s="1"/>
      <c r="BU1687" s="1"/>
      <c r="BV1687" s="1"/>
      <c r="BW1687" s="1"/>
      <c r="BX1687" s="1"/>
      <c r="BY1687" s="1"/>
      <c r="BZ1687" s="1"/>
      <c r="CA1687" s="1"/>
      <c r="CB1687" s="1"/>
      <c r="CC1687" s="1"/>
      <c r="CD1687" s="30"/>
      <c r="CE1687" s="30"/>
      <c r="CF1687" s="30"/>
      <c r="CG1687" s="30"/>
      <c r="CH1687" s="30"/>
      <c r="CI1687" s="30"/>
      <c r="CJ1687" s="30"/>
      <c r="CK1687" s="30"/>
      <c r="CL1687" s="30"/>
      <c r="CM1687" s="30"/>
      <c r="CN1687" s="1"/>
      <c r="CO1687" s="1"/>
      <c r="CP1687" s="1"/>
      <c r="CQ1687" s="1"/>
      <c r="CR1687" s="1"/>
      <c r="CS1687" s="1"/>
      <c r="CT1687" s="1"/>
      <c r="CU1687" s="1"/>
      <c r="CV1687" s="1"/>
      <c r="CW1687" s="1"/>
    </row>
    <row r="1688" spans="1:101" ht="15" hidden="1" customHeight="1" x14ac:dyDescent="0.25">
      <c r="A1688" s="21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30"/>
      <c r="W1688" s="30"/>
      <c r="X1688" s="30"/>
      <c r="Y1688" s="30"/>
      <c r="Z1688" s="30"/>
      <c r="AA1688" s="30"/>
      <c r="AB1688" s="30"/>
      <c r="AC1688" s="30"/>
      <c r="AD1688" s="30"/>
      <c r="AE1688" s="30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30"/>
      <c r="AQ1688" s="30"/>
      <c r="AR1688" s="30"/>
      <c r="AS1688" s="30"/>
      <c r="AT1688" s="30"/>
      <c r="AU1688" s="30"/>
      <c r="AV1688" s="30"/>
      <c r="AW1688" s="30"/>
      <c r="AX1688" s="30"/>
      <c r="AY1688" s="30"/>
      <c r="AZ1688" s="1"/>
      <c r="BA1688" s="1"/>
      <c r="BB1688" s="1"/>
      <c r="BC1688" s="1"/>
      <c r="BD1688" s="1"/>
      <c r="BE1688" s="1"/>
      <c r="BF1688" s="1"/>
      <c r="BG1688" s="1"/>
      <c r="BH1688" s="1"/>
      <c r="BI1688" s="1"/>
      <c r="BJ1688" s="30"/>
      <c r="BK1688" s="30"/>
      <c r="BL1688" s="30"/>
      <c r="BM1688" s="30"/>
      <c r="BN1688" s="30"/>
      <c r="BO1688" s="30"/>
      <c r="BP1688" s="30"/>
      <c r="BQ1688" s="30"/>
      <c r="BR1688" s="30"/>
      <c r="BS1688" s="30"/>
      <c r="BT1688" s="1"/>
      <c r="BU1688" s="1"/>
      <c r="BV1688" s="1"/>
      <c r="BW1688" s="1"/>
      <c r="BX1688" s="1"/>
      <c r="BY1688" s="1"/>
      <c r="BZ1688" s="1"/>
      <c r="CA1688" s="1"/>
      <c r="CB1688" s="1"/>
      <c r="CC1688" s="1"/>
      <c r="CD1688" s="30"/>
      <c r="CE1688" s="30"/>
      <c r="CF1688" s="30"/>
      <c r="CG1688" s="30"/>
      <c r="CH1688" s="30"/>
      <c r="CI1688" s="30"/>
      <c r="CJ1688" s="30"/>
      <c r="CK1688" s="30"/>
      <c r="CL1688" s="30"/>
      <c r="CM1688" s="30"/>
      <c r="CN1688" s="1"/>
      <c r="CO1688" s="1"/>
      <c r="CP1688" s="1"/>
      <c r="CQ1688" s="1"/>
      <c r="CR1688" s="1"/>
      <c r="CS1688" s="1"/>
      <c r="CT1688" s="1"/>
      <c r="CU1688" s="1"/>
      <c r="CV1688" s="1"/>
      <c r="CW1688" s="1"/>
    </row>
    <row r="1689" spans="1:101" ht="15" hidden="1" customHeight="1" x14ac:dyDescent="0.25">
      <c r="A1689" s="21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30"/>
      <c r="W1689" s="30"/>
      <c r="X1689" s="30"/>
      <c r="Y1689" s="30"/>
      <c r="Z1689" s="30"/>
      <c r="AA1689" s="30"/>
      <c r="AB1689" s="30"/>
      <c r="AC1689" s="30"/>
      <c r="AD1689" s="30"/>
      <c r="AE1689" s="30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30"/>
      <c r="AQ1689" s="30"/>
      <c r="AR1689" s="30"/>
      <c r="AS1689" s="30"/>
      <c r="AT1689" s="30"/>
      <c r="AU1689" s="30"/>
      <c r="AV1689" s="30"/>
      <c r="AW1689" s="30"/>
      <c r="AX1689" s="30"/>
      <c r="AY1689" s="30"/>
      <c r="AZ1689" s="1"/>
      <c r="BA1689" s="1"/>
      <c r="BB1689" s="1"/>
      <c r="BC1689" s="1"/>
      <c r="BD1689" s="1"/>
      <c r="BE1689" s="1"/>
      <c r="BF1689" s="1"/>
      <c r="BG1689" s="1"/>
      <c r="BH1689" s="1"/>
      <c r="BI1689" s="1"/>
      <c r="BJ1689" s="30"/>
      <c r="BK1689" s="30"/>
      <c r="BL1689" s="30"/>
      <c r="BM1689" s="30"/>
      <c r="BN1689" s="30"/>
      <c r="BO1689" s="30"/>
      <c r="BP1689" s="30"/>
      <c r="BQ1689" s="30"/>
      <c r="BR1689" s="30"/>
      <c r="BS1689" s="30"/>
      <c r="BT1689" s="1"/>
      <c r="BU1689" s="1"/>
      <c r="BV1689" s="1"/>
      <c r="BW1689" s="1"/>
      <c r="BX1689" s="1"/>
      <c r="BY1689" s="1"/>
      <c r="BZ1689" s="1"/>
      <c r="CA1689" s="1"/>
      <c r="CB1689" s="1"/>
      <c r="CC1689" s="1"/>
      <c r="CD1689" s="30"/>
      <c r="CE1689" s="30"/>
      <c r="CF1689" s="30"/>
      <c r="CG1689" s="30"/>
      <c r="CH1689" s="30"/>
      <c r="CI1689" s="30"/>
      <c r="CJ1689" s="30"/>
      <c r="CK1689" s="30"/>
      <c r="CL1689" s="30"/>
      <c r="CM1689" s="30"/>
      <c r="CN1689" s="1"/>
      <c r="CO1689" s="1"/>
      <c r="CP1689" s="1"/>
      <c r="CQ1689" s="1"/>
      <c r="CR1689" s="1"/>
      <c r="CS1689" s="1"/>
      <c r="CT1689" s="1"/>
      <c r="CU1689" s="1"/>
      <c r="CV1689" s="1"/>
      <c r="CW1689" s="1"/>
    </row>
    <row r="1690" spans="1:101" ht="15" hidden="1" customHeight="1" x14ac:dyDescent="0.25">
      <c r="A1690" s="21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30"/>
      <c r="W1690" s="30"/>
      <c r="X1690" s="30"/>
      <c r="Y1690" s="30"/>
      <c r="Z1690" s="30"/>
      <c r="AA1690" s="30"/>
      <c r="AB1690" s="30"/>
      <c r="AC1690" s="30"/>
      <c r="AD1690" s="30"/>
      <c r="AE1690" s="30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30"/>
      <c r="AQ1690" s="30"/>
      <c r="AR1690" s="30"/>
      <c r="AS1690" s="30"/>
      <c r="AT1690" s="30"/>
      <c r="AU1690" s="30"/>
      <c r="AV1690" s="30"/>
      <c r="AW1690" s="30"/>
      <c r="AX1690" s="30"/>
      <c r="AY1690" s="30"/>
      <c r="AZ1690" s="1"/>
      <c r="BA1690" s="1"/>
      <c r="BB1690" s="1"/>
      <c r="BC1690" s="1"/>
      <c r="BD1690" s="1"/>
      <c r="BE1690" s="1"/>
      <c r="BF1690" s="1"/>
      <c r="BG1690" s="1"/>
      <c r="BH1690" s="1"/>
      <c r="BI1690" s="1"/>
      <c r="BJ1690" s="30"/>
      <c r="BK1690" s="30"/>
      <c r="BL1690" s="30"/>
      <c r="BM1690" s="30"/>
      <c r="BN1690" s="30"/>
      <c r="BO1690" s="30"/>
      <c r="BP1690" s="30"/>
      <c r="BQ1690" s="30"/>
      <c r="BR1690" s="30"/>
      <c r="BS1690" s="30"/>
      <c r="BT1690" s="1"/>
      <c r="BU1690" s="1"/>
      <c r="BV1690" s="1"/>
      <c r="BW1690" s="1"/>
      <c r="BX1690" s="1"/>
      <c r="BY1690" s="1"/>
      <c r="BZ1690" s="1"/>
      <c r="CA1690" s="1"/>
      <c r="CB1690" s="1"/>
      <c r="CC1690" s="1"/>
      <c r="CD1690" s="30"/>
      <c r="CE1690" s="30"/>
      <c r="CF1690" s="30"/>
      <c r="CG1690" s="30"/>
      <c r="CH1690" s="30"/>
      <c r="CI1690" s="30"/>
      <c r="CJ1690" s="30"/>
      <c r="CK1690" s="30"/>
      <c r="CL1690" s="30"/>
      <c r="CM1690" s="30"/>
      <c r="CN1690" s="1"/>
      <c r="CO1690" s="1"/>
      <c r="CP1690" s="1"/>
      <c r="CQ1690" s="1"/>
      <c r="CR1690" s="1"/>
      <c r="CS1690" s="1"/>
      <c r="CT1690" s="1"/>
      <c r="CU1690" s="1"/>
      <c r="CV1690" s="1"/>
      <c r="CW1690" s="1"/>
    </row>
    <row r="1691" spans="1:101" ht="15" hidden="1" customHeight="1" x14ac:dyDescent="0.25">
      <c r="A1691" s="21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30"/>
      <c r="W1691" s="30"/>
      <c r="X1691" s="30"/>
      <c r="Y1691" s="30"/>
      <c r="Z1691" s="30"/>
      <c r="AA1691" s="30"/>
      <c r="AB1691" s="30"/>
      <c r="AC1691" s="30"/>
      <c r="AD1691" s="30"/>
      <c r="AE1691" s="30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30"/>
      <c r="AQ1691" s="30"/>
      <c r="AR1691" s="30"/>
      <c r="AS1691" s="30"/>
      <c r="AT1691" s="30"/>
      <c r="AU1691" s="30"/>
      <c r="AV1691" s="30"/>
      <c r="AW1691" s="30"/>
      <c r="AX1691" s="30"/>
      <c r="AY1691" s="30"/>
      <c r="AZ1691" s="1"/>
      <c r="BA1691" s="1"/>
      <c r="BB1691" s="1"/>
      <c r="BC1691" s="1"/>
      <c r="BD1691" s="1"/>
      <c r="BE1691" s="1"/>
      <c r="BF1691" s="1"/>
      <c r="BG1691" s="1"/>
      <c r="BH1691" s="1"/>
      <c r="BI1691" s="1"/>
      <c r="BJ1691" s="30"/>
      <c r="BK1691" s="30"/>
      <c r="BL1691" s="30"/>
      <c r="BM1691" s="30"/>
      <c r="BN1691" s="30"/>
      <c r="BO1691" s="30"/>
      <c r="BP1691" s="30"/>
      <c r="BQ1691" s="30"/>
      <c r="BR1691" s="30"/>
      <c r="BS1691" s="30"/>
      <c r="BT1691" s="1"/>
      <c r="BU1691" s="1"/>
      <c r="BV1691" s="1"/>
      <c r="BW1691" s="1"/>
      <c r="BX1691" s="1"/>
      <c r="BY1691" s="1"/>
      <c r="BZ1691" s="1"/>
      <c r="CA1691" s="1"/>
      <c r="CB1691" s="1"/>
      <c r="CC1691" s="1"/>
      <c r="CD1691" s="30"/>
      <c r="CE1691" s="30"/>
      <c r="CF1691" s="30"/>
      <c r="CG1691" s="30"/>
      <c r="CH1691" s="30"/>
      <c r="CI1691" s="30"/>
      <c r="CJ1691" s="30"/>
      <c r="CK1691" s="30"/>
      <c r="CL1691" s="30"/>
      <c r="CM1691" s="30"/>
      <c r="CN1691" s="1"/>
      <c r="CO1691" s="1"/>
      <c r="CP1691" s="1"/>
      <c r="CQ1691" s="1"/>
      <c r="CR1691" s="1"/>
      <c r="CS1691" s="1"/>
      <c r="CT1691" s="1"/>
      <c r="CU1691" s="1"/>
      <c r="CV1691" s="1"/>
      <c r="CW1691" s="1"/>
    </row>
    <row r="1692" spans="1:101" ht="15" hidden="1" customHeight="1" x14ac:dyDescent="0.25">
      <c r="A1692" s="21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30"/>
      <c r="W1692" s="30"/>
      <c r="X1692" s="30"/>
      <c r="Y1692" s="30"/>
      <c r="Z1692" s="30"/>
      <c r="AA1692" s="30"/>
      <c r="AB1692" s="30"/>
      <c r="AC1692" s="30"/>
      <c r="AD1692" s="30"/>
      <c r="AE1692" s="30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30"/>
      <c r="AQ1692" s="30"/>
      <c r="AR1692" s="30"/>
      <c r="AS1692" s="30"/>
      <c r="AT1692" s="30"/>
      <c r="AU1692" s="30"/>
      <c r="AV1692" s="30"/>
      <c r="AW1692" s="30"/>
      <c r="AX1692" s="30"/>
      <c r="AY1692" s="30"/>
      <c r="AZ1692" s="1"/>
      <c r="BA1692" s="1"/>
      <c r="BB1692" s="1"/>
      <c r="BC1692" s="1"/>
      <c r="BD1692" s="1"/>
      <c r="BE1692" s="1"/>
      <c r="BF1692" s="1"/>
      <c r="BG1692" s="1"/>
      <c r="BH1692" s="1"/>
      <c r="BI1692" s="1"/>
      <c r="BJ1692" s="30"/>
      <c r="BK1692" s="30"/>
      <c r="BL1692" s="30"/>
      <c r="BM1692" s="30"/>
      <c r="BN1692" s="30"/>
      <c r="BO1692" s="30"/>
      <c r="BP1692" s="30"/>
      <c r="BQ1692" s="30"/>
      <c r="BR1692" s="30"/>
      <c r="BS1692" s="30"/>
      <c r="BT1692" s="1"/>
      <c r="BU1692" s="1"/>
      <c r="BV1692" s="1"/>
      <c r="BW1692" s="1"/>
      <c r="BX1692" s="1"/>
      <c r="BY1692" s="1"/>
      <c r="BZ1692" s="1"/>
      <c r="CA1692" s="1"/>
      <c r="CB1692" s="1"/>
      <c r="CC1692" s="1"/>
      <c r="CD1692" s="30"/>
      <c r="CE1692" s="30"/>
      <c r="CF1692" s="30"/>
      <c r="CG1692" s="30"/>
      <c r="CH1692" s="30"/>
      <c r="CI1692" s="30"/>
      <c r="CJ1692" s="30"/>
      <c r="CK1692" s="30"/>
      <c r="CL1692" s="30"/>
      <c r="CM1692" s="30"/>
      <c r="CN1692" s="1"/>
      <c r="CO1692" s="1"/>
      <c r="CP1692" s="1"/>
      <c r="CQ1692" s="1"/>
      <c r="CR1692" s="1"/>
      <c r="CS1692" s="1"/>
      <c r="CT1692" s="1"/>
      <c r="CU1692" s="1"/>
      <c r="CV1692" s="1"/>
      <c r="CW1692" s="1"/>
    </row>
    <row r="1693" spans="1:101" ht="15" hidden="1" customHeight="1" x14ac:dyDescent="0.25">
      <c r="A1693" s="21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30"/>
      <c r="W1693" s="30"/>
      <c r="X1693" s="30"/>
      <c r="Y1693" s="30"/>
      <c r="Z1693" s="30"/>
      <c r="AA1693" s="30"/>
      <c r="AB1693" s="30"/>
      <c r="AC1693" s="30"/>
      <c r="AD1693" s="30"/>
      <c r="AE1693" s="30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30"/>
      <c r="AQ1693" s="30"/>
      <c r="AR1693" s="30"/>
      <c r="AS1693" s="30"/>
      <c r="AT1693" s="30"/>
      <c r="AU1693" s="30"/>
      <c r="AV1693" s="30"/>
      <c r="AW1693" s="30"/>
      <c r="AX1693" s="30"/>
      <c r="AY1693" s="30"/>
      <c r="AZ1693" s="1"/>
      <c r="BA1693" s="1"/>
      <c r="BB1693" s="1"/>
      <c r="BC1693" s="1"/>
      <c r="BD1693" s="1"/>
      <c r="BE1693" s="1"/>
      <c r="BF1693" s="1"/>
      <c r="BG1693" s="1"/>
      <c r="BH1693" s="1"/>
      <c r="BI1693" s="1"/>
      <c r="BJ1693" s="30"/>
      <c r="BK1693" s="30"/>
      <c r="BL1693" s="30"/>
      <c r="BM1693" s="30"/>
      <c r="BN1693" s="30"/>
      <c r="BO1693" s="30"/>
      <c r="BP1693" s="30"/>
      <c r="BQ1693" s="30"/>
      <c r="BR1693" s="30"/>
      <c r="BS1693" s="30"/>
      <c r="BT1693" s="1"/>
      <c r="BU1693" s="1"/>
      <c r="BV1693" s="1"/>
      <c r="BW1693" s="1"/>
      <c r="BX1693" s="1"/>
      <c r="BY1693" s="1"/>
      <c r="BZ1693" s="1"/>
      <c r="CA1693" s="1"/>
      <c r="CB1693" s="1"/>
      <c r="CC1693" s="1"/>
      <c r="CD1693" s="30"/>
      <c r="CE1693" s="30"/>
      <c r="CF1693" s="30"/>
      <c r="CG1693" s="30"/>
      <c r="CH1693" s="30"/>
      <c r="CI1693" s="30"/>
      <c r="CJ1693" s="30"/>
      <c r="CK1693" s="30"/>
      <c r="CL1693" s="30"/>
      <c r="CM1693" s="30"/>
      <c r="CN1693" s="1"/>
      <c r="CO1693" s="1"/>
      <c r="CP1693" s="1"/>
      <c r="CQ1693" s="1"/>
      <c r="CR1693" s="1"/>
      <c r="CS1693" s="1"/>
      <c r="CT1693" s="1"/>
      <c r="CU1693" s="1"/>
      <c r="CV1693" s="1"/>
      <c r="CW1693" s="1"/>
    </row>
    <row r="1694" spans="1:101" ht="15" hidden="1" customHeight="1" x14ac:dyDescent="0.25">
      <c r="A1694" s="21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30"/>
      <c r="W1694" s="30"/>
      <c r="X1694" s="30"/>
      <c r="Y1694" s="30"/>
      <c r="Z1694" s="30"/>
      <c r="AA1694" s="30"/>
      <c r="AB1694" s="30"/>
      <c r="AC1694" s="30"/>
      <c r="AD1694" s="30"/>
      <c r="AE1694" s="30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30"/>
      <c r="AQ1694" s="30"/>
      <c r="AR1694" s="30"/>
      <c r="AS1694" s="30"/>
      <c r="AT1694" s="30"/>
      <c r="AU1694" s="30"/>
      <c r="AV1694" s="30"/>
      <c r="AW1694" s="30"/>
      <c r="AX1694" s="30"/>
      <c r="AY1694" s="30"/>
      <c r="AZ1694" s="1"/>
      <c r="BA1694" s="1"/>
      <c r="BB1694" s="1"/>
      <c r="BC1694" s="1"/>
      <c r="BD1694" s="1"/>
      <c r="BE1694" s="1"/>
      <c r="BF1694" s="1"/>
      <c r="BG1694" s="1"/>
      <c r="BH1694" s="1"/>
      <c r="BI1694" s="1"/>
      <c r="BJ1694" s="30"/>
      <c r="BK1694" s="30"/>
      <c r="BL1694" s="30"/>
      <c r="BM1694" s="30"/>
      <c r="BN1694" s="30"/>
      <c r="BO1694" s="30"/>
      <c r="BP1694" s="30"/>
      <c r="BQ1694" s="30"/>
      <c r="BR1694" s="30"/>
      <c r="BS1694" s="30"/>
      <c r="BT1694" s="1"/>
      <c r="BU1694" s="1"/>
      <c r="BV1694" s="1"/>
      <c r="BW1694" s="1"/>
      <c r="BX1694" s="1"/>
      <c r="BY1694" s="1"/>
      <c r="BZ1694" s="1"/>
      <c r="CA1694" s="1"/>
      <c r="CB1694" s="1"/>
      <c r="CC1694" s="1"/>
      <c r="CD1694" s="30"/>
      <c r="CE1694" s="30"/>
      <c r="CF1694" s="30"/>
      <c r="CG1694" s="30"/>
      <c r="CH1694" s="30"/>
      <c r="CI1694" s="30"/>
      <c r="CJ1694" s="30"/>
      <c r="CK1694" s="30"/>
      <c r="CL1694" s="30"/>
      <c r="CM1694" s="30"/>
      <c r="CN1694" s="1"/>
      <c r="CO1694" s="1"/>
      <c r="CP1694" s="1"/>
      <c r="CQ1694" s="1"/>
      <c r="CR1694" s="1"/>
      <c r="CS1694" s="1"/>
      <c r="CT1694" s="1"/>
      <c r="CU1694" s="1"/>
      <c r="CV1694" s="1"/>
      <c r="CW1694" s="1"/>
    </row>
    <row r="1695" spans="1:101" ht="15" hidden="1" customHeight="1" x14ac:dyDescent="0.25">
      <c r="A1695" s="21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30"/>
      <c r="W1695" s="30"/>
      <c r="X1695" s="30"/>
      <c r="Y1695" s="30"/>
      <c r="Z1695" s="30"/>
      <c r="AA1695" s="30"/>
      <c r="AB1695" s="30"/>
      <c r="AC1695" s="30"/>
      <c r="AD1695" s="30"/>
      <c r="AE1695" s="30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30"/>
      <c r="AQ1695" s="30"/>
      <c r="AR1695" s="30"/>
      <c r="AS1695" s="30"/>
      <c r="AT1695" s="30"/>
      <c r="AU1695" s="30"/>
      <c r="AV1695" s="30"/>
      <c r="AW1695" s="30"/>
      <c r="AX1695" s="30"/>
      <c r="AY1695" s="30"/>
      <c r="AZ1695" s="1"/>
      <c r="BA1695" s="1"/>
      <c r="BB1695" s="1"/>
      <c r="BC1695" s="1"/>
      <c r="BD1695" s="1"/>
      <c r="BE1695" s="1"/>
      <c r="BF1695" s="1"/>
      <c r="BG1695" s="1"/>
      <c r="BH1695" s="1"/>
      <c r="BI1695" s="1"/>
      <c r="BJ1695" s="30"/>
      <c r="BK1695" s="30"/>
      <c r="BL1695" s="30"/>
      <c r="BM1695" s="30"/>
      <c r="BN1695" s="30"/>
      <c r="BO1695" s="30"/>
      <c r="BP1695" s="30"/>
      <c r="BQ1695" s="30"/>
      <c r="BR1695" s="30"/>
      <c r="BS1695" s="30"/>
      <c r="BT1695" s="1"/>
      <c r="BU1695" s="1"/>
      <c r="BV1695" s="1"/>
      <c r="BW1695" s="1"/>
      <c r="BX1695" s="1"/>
      <c r="BY1695" s="1"/>
      <c r="BZ1695" s="1"/>
      <c r="CA1695" s="1"/>
      <c r="CB1695" s="1"/>
      <c r="CC1695" s="1"/>
      <c r="CD1695" s="30"/>
      <c r="CE1695" s="30"/>
      <c r="CF1695" s="30"/>
      <c r="CG1695" s="30"/>
      <c r="CH1695" s="30"/>
      <c r="CI1695" s="30"/>
      <c r="CJ1695" s="30"/>
      <c r="CK1695" s="30"/>
      <c r="CL1695" s="30"/>
      <c r="CM1695" s="30"/>
      <c r="CN1695" s="1"/>
      <c r="CO1695" s="1"/>
      <c r="CP1695" s="1"/>
      <c r="CQ1695" s="1"/>
      <c r="CR1695" s="1"/>
      <c r="CS1695" s="1"/>
      <c r="CT1695" s="1"/>
      <c r="CU1695" s="1"/>
      <c r="CV1695" s="1"/>
      <c r="CW1695" s="1"/>
    </row>
    <row r="1696" spans="1:101" ht="15" hidden="1" customHeight="1" x14ac:dyDescent="0.25">
      <c r="A1696" s="21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30"/>
      <c r="W1696" s="30"/>
      <c r="X1696" s="30"/>
      <c r="Y1696" s="30"/>
      <c r="Z1696" s="30"/>
      <c r="AA1696" s="30"/>
      <c r="AB1696" s="30"/>
      <c r="AC1696" s="30"/>
      <c r="AD1696" s="30"/>
      <c r="AE1696" s="30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30"/>
      <c r="AQ1696" s="30"/>
      <c r="AR1696" s="30"/>
      <c r="AS1696" s="30"/>
      <c r="AT1696" s="30"/>
      <c r="AU1696" s="30"/>
      <c r="AV1696" s="30"/>
      <c r="AW1696" s="30"/>
      <c r="AX1696" s="30"/>
      <c r="AY1696" s="30"/>
      <c r="AZ1696" s="1"/>
      <c r="BA1696" s="1"/>
      <c r="BB1696" s="1"/>
      <c r="BC1696" s="1"/>
      <c r="BD1696" s="1"/>
      <c r="BE1696" s="1"/>
      <c r="BF1696" s="1"/>
      <c r="BG1696" s="1"/>
      <c r="BH1696" s="1"/>
      <c r="BI1696" s="1"/>
      <c r="BJ1696" s="30"/>
      <c r="BK1696" s="30"/>
      <c r="BL1696" s="30"/>
      <c r="BM1696" s="30"/>
      <c r="BN1696" s="30"/>
      <c r="BO1696" s="30"/>
      <c r="BP1696" s="30"/>
      <c r="BQ1696" s="30"/>
      <c r="BR1696" s="30"/>
      <c r="BS1696" s="30"/>
      <c r="BT1696" s="1"/>
      <c r="BU1696" s="1"/>
      <c r="BV1696" s="1"/>
      <c r="BW1696" s="1"/>
      <c r="BX1696" s="1"/>
      <c r="BY1696" s="1"/>
      <c r="BZ1696" s="1"/>
      <c r="CA1696" s="1"/>
      <c r="CB1696" s="1"/>
      <c r="CC1696" s="1"/>
      <c r="CD1696" s="30"/>
      <c r="CE1696" s="30"/>
      <c r="CF1696" s="30"/>
      <c r="CG1696" s="30"/>
      <c r="CH1696" s="30"/>
      <c r="CI1696" s="30"/>
      <c r="CJ1696" s="30"/>
      <c r="CK1696" s="30"/>
      <c r="CL1696" s="30"/>
      <c r="CM1696" s="30"/>
      <c r="CN1696" s="1"/>
      <c r="CO1696" s="1"/>
      <c r="CP1696" s="1"/>
      <c r="CQ1696" s="1"/>
      <c r="CR1696" s="1"/>
      <c r="CS1696" s="1"/>
      <c r="CT1696" s="1"/>
      <c r="CU1696" s="1"/>
      <c r="CV1696" s="1"/>
      <c r="CW1696" s="1"/>
    </row>
    <row r="1697" spans="1:101" ht="15" hidden="1" customHeight="1" x14ac:dyDescent="0.25">
      <c r="A1697" s="21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30"/>
      <c r="W1697" s="30"/>
      <c r="X1697" s="30"/>
      <c r="Y1697" s="30"/>
      <c r="Z1697" s="30"/>
      <c r="AA1697" s="30"/>
      <c r="AB1697" s="30"/>
      <c r="AC1697" s="30"/>
      <c r="AD1697" s="30"/>
      <c r="AE1697" s="30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30"/>
      <c r="AQ1697" s="30"/>
      <c r="AR1697" s="30"/>
      <c r="AS1697" s="30"/>
      <c r="AT1697" s="30"/>
      <c r="AU1697" s="30"/>
      <c r="AV1697" s="30"/>
      <c r="AW1697" s="30"/>
      <c r="AX1697" s="30"/>
      <c r="AY1697" s="30"/>
      <c r="AZ1697" s="1"/>
      <c r="BA1697" s="1"/>
      <c r="BB1697" s="1"/>
      <c r="BC1697" s="1"/>
      <c r="BD1697" s="1"/>
      <c r="BE1697" s="1"/>
      <c r="BF1697" s="1"/>
      <c r="BG1697" s="1"/>
      <c r="BH1697" s="1"/>
      <c r="BI1697" s="1"/>
      <c r="BJ1697" s="30"/>
      <c r="BK1697" s="30"/>
      <c r="BL1697" s="30"/>
      <c r="BM1697" s="30"/>
      <c r="BN1697" s="30"/>
      <c r="BO1697" s="30"/>
      <c r="BP1697" s="30"/>
      <c r="BQ1697" s="30"/>
      <c r="BR1697" s="30"/>
      <c r="BS1697" s="30"/>
      <c r="BT1697" s="1"/>
      <c r="BU1697" s="1"/>
      <c r="BV1697" s="1"/>
      <c r="BW1697" s="1"/>
      <c r="BX1697" s="1"/>
      <c r="BY1697" s="1"/>
      <c r="BZ1697" s="1"/>
      <c r="CA1697" s="1"/>
      <c r="CB1697" s="1"/>
      <c r="CC1697" s="1"/>
      <c r="CD1697" s="30"/>
      <c r="CE1697" s="30"/>
      <c r="CF1697" s="30"/>
      <c r="CG1697" s="30"/>
      <c r="CH1697" s="30"/>
      <c r="CI1697" s="30"/>
      <c r="CJ1697" s="30"/>
      <c r="CK1697" s="30"/>
      <c r="CL1697" s="30"/>
      <c r="CM1697" s="30"/>
      <c r="CN1697" s="1"/>
      <c r="CO1697" s="1"/>
      <c r="CP1697" s="1"/>
      <c r="CQ1697" s="1"/>
      <c r="CR1697" s="1"/>
      <c r="CS1697" s="1"/>
      <c r="CT1697" s="1"/>
      <c r="CU1697" s="1"/>
      <c r="CV1697" s="1"/>
      <c r="CW1697" s="1"/>
    </row>
    <row r="1698" spans="1:101" ht="15" hidden="1" customHeight="1" x14ac:dyDescent="0.25">
      <c r="A1698" s="21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30"/>
      <c r="W1698" s="30"/>
      <c r="X1698" s="30"/>
      <c r="Y1698" s="30"/>
      <c r="Z1698" s="30"/>
      <c r="AA1698" s="30"/>
      <c r="AB1698" s="30"/>
      <c r="AC1698" s="30"/>
      <c r="AD1698" s="30"/>
      <c r="AE1698" s="30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30"/>
      <c r="AQ1698" s="30"/>
      <c r="AR1698" s="30"/>
      <c r="AS1698" s="30"/>
      <c r="AT1698" s="30"/>
      <c r="AU1698" s="30"/>
      <c r="AV1698" s="30"/>
      <c r="AW1698" s="30"/>
      <c r="AX1698" s="30"/>
      <c r="AY1698" s="30"/>
      <c r="AZ1698" s="1"/>
      <c r="BA1698" s="1"/>
      <c r="BB1698" s="1"/>
      <c r="BC1698" s="1"/>
      <c r="BD1698" s="1"/>
      <c r="BE1698" s="1"/>
      <c r="BF1698" s="1"/>
      <c r="BG1698" s="1"/>
      <c r="BH1698" s="1"/>
      <c r="BI1698" s="1"/>
      <c r="BJ1698" s="30"/>
      <c r="BK1698" s="30"/>
      <c r="BL1698" s="30"/>
      <c r="BM1698" s="30"/>
      <c r="BN1698" s="30"/>
      <c r="BO1698" s="30"/>
      <c r="BP1698" s="30"/>
      <c r="BQ1698" s="30"/>
      <c r="BR1698" s="30"/>
      <c r="BS1698" s="30"/>
      <c r="BT1698" s="1"/>
      <c r="BU1698" s="1"/>
      <c r="BV1698" s="1"/>
      <c r="BW1698" s="1"/>
      <c r="BX1698" s="1"/>
      <c r="BY1698" s="1"/>
      <c r="BZ1698" s="1"/>
      <c r="CA1698" s="1"/>
      <c r="CB1698" s="1"/>
      <c r="CC1698" s="1"/>
      <c r="CD1698" s="30"/>
      <c r="CE1698" s="30"/>
      <c r="CF1698" s="30"/>
      <c r="CG1698" s="30"/>
      <c r="CH1698" s="30"/>
      <c r="CI1698" s="30"/>
      <c r="CJ1698" s="30"/>
      <c r="CK1698" s="30"/>
      <c r="CL1698" s="30"/>
      <c r="CM1698" s="30"/>
      <c r="CN1698" s="1"/>
      <c r="CO1698" s="1"/>
      <c r="CP1698" s="1"/>
      <c r="CQ1698" s="1"/>
      <c r="CR1698" s="1"/>
      <c r="CS1698" s="1"/>
      <c r="CT1698" s="1"/>
      <c r="CU1698" s="1"/>
      <c r="CV1698" s="1"/>
      <c r="CW1698" s="1"/>
    </row>
    <row r="1699" spans="1:101" ht="15" hidden="1" customHeight="1" x14ac:dyDescent="0.25">
      <c r="A1699" s="21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30"/>
      <c r="W1699" s="30"/>
      <c r="X1699" s="30"/>
      <c r="Y1699" s="30"/>
      <c r="Z1699" s="30"/>
      <c r="AA1699" s="30"/>
      <c r="AB1699" s="30"/>
      <c r="AC1699" s="30"/>
      <c r="AD1699" s="30"/>
      <c r="AE1699" s="30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30"/>
      <c r="AQ1699" s="30"/>
      <c r="AR1699" s="30"/>
      <c r="AS1699" s="30"/>
      <c r="AT1699" s="30"/>
      <c r="AU1699" s="30"/>
      <c r="AV1699" s="30"/>
      <c r="AW1699" s="30"/>
      <c r="AX1699" s="30"/>
      <c r="AY1699" s="30"/>
      <c r="AZ1699" s="1"/>
      <c r="BA1699" s="1"/>
      <c r="BB1699" s="1"/>
      <c r="BC1699" s="1"/>
      <c r="BD1699" s="1"/>
      <c r="BE1699" s="1"/>
      <c r="BF1699" s="1"/>
      <c r="BG1699" s="1"/>
      <c r="BH1699" s="1"/>
      <c r="BI1699" s="1"/>
      <c r="BJ1699" s="30"/>
      <c r="BK1699" s="30"/>
      <c r="BL1699" s="30"/>
      <c r="BM1699" s="30"/>
      <c r="BN1699" s="30"/>
      <c r="BO1699" s="30"/>
      <c r="BP1699" s="30"/>
      <c r="BQ1699" s="30"/>
      <c r="BR1699" s="30"/>
      <c r="BS1699" s="30"/>
      <c r="BT1699" s="1"/>
      <c r="BU1699" s="1"/>
      <c r="BV1699" s="1"/>
      <c r="BW1699" s="1"/>
      <c r="BX1699" s="1"/>
      <c r="BY1699" s="1"/>
      <c r="BZ1699" s="1"/>
      <c r="CA1699" s="1"/>
      <c r="CB1699" s="1"/>
      <c r="CC1699" s="1"/>
      <c r="CD1699" s="30"/>
      <c r="CE1699" s="30"/>
      <c r="CF1699" s="30"/>
      <c r="CG1699" s="30"/>
      <c r="CH1699" s="30"/>
      <c r="CI1699" s="30"/>
      <c r="CJ1699" s="30"/>
      <c r="CK1699" s="30"/>
      <c r="CL1699" s="30"/>
      <c r="CM1699" s="30"/>
      <c r="CN1699" s="1"/>
      <c r="CO1699" s="1"/>
      <c r="CP1699" s="1"/>
      <c r="CQ1699" s="1"/>
      <c r="CR1699" s="1"/>
      <c r="CS1699" s="1"/>
      <c r="CT1699" s="1"/>
      <c r="CU1699" s="1"/>
      <c r="CV1699" s="1"/>
      <c r="CW1699" s="1"/>
    </row>
    <row r="1700" spans="1:101" ht="15" hidden="1" customHeight="1" x14ac:dyDescent="0.25">
      <c r="A1700" s="21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30"/>
      <c r="W1700" s="30"/>
      <c r="X1700" s="30"/>
      <c r="Y1700" s="30"/>
      <c r="Z1700" s="30"/>
      <c r="AA1700" s="30"/>
      <c r="AB1700" s="30"/>
      <c r="AC1700" s="30"/>
      <c r="AD1700" s="30"/>
      <c r="AE1700" s="30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30"/>
      <c r="AQ1700" s="30"/>
      <c r="AR1700" s="30"/>
      <c r="AS1700" s="30"/>
      <c r="AT1700" s="30"/>
      <c r="AU1700" s="30"/>
      <c r="AV1700" s="30"/>
      <c r="AW1700" s="30"/>
      <c r="AX1700" s="30"/>
      <c r="AY1700" s="30"/>
      <c r="AZ1700" s="1"/>
      <c r="BA1700" s="1"/>
      <c r="BB1700" s="1"/>
      <c r="BC1700" s="1"/>
      <c r="BD1700" s="1"/>
      <c r="BE1700" s="1"/>
      <c r="BF1700" s="1"/>
      <c r="BG1700" s="1"/>
      <c r="BH1700" s="1"/>
      <c r="BI1700" s="1"/>
      <c r="BJ1700" s="30"/>
      <c r="BK1700" s="30"/>
      <c r="BL1700" s="30"/>
      <c r="BM1700" s="30"/>
      <c r="BN1700" s="30"/>
      <c r="BO1700" s="30"/>
      <c r="BP1700" s="30"/>
      <c r="BQ1700" s="30"/>
      <c r="BR1700" s="30"/>
      <c r="BS1700" s="30"/>
      <c r="BT1700" s="1"/>
      <c r="BU1700" s="1"/>
      <c r="BV1700" s="1"/>
      <c r="BW1700" s="1"/>
      <c r="BX1700" s="1"/>
      <c r="BY1700" s="1"/>
      <c r="BZ1700" s="1"/>
      <c r="CA1700" s="1"/>
      <c r="CB1700" s="1"/>
      <c r="CC1700" s="1"/>
      <c r="CD1700" s="30"/>
      <c r="CE1700" s="30"/>
      <c r="CF1700" s="30"/>
      <c r="CG1700" s="30"/>
      <c r="CH1700" s="30"/>
      <c r="CI1700" s="30"/>
      <c r="CJ1700" s="30"/>
      <c r="CK1700" s="30"/>
      <c r="CL1700" s="30"/>
      <c r="CM1700" s="30"/>
      <c r="CN1700" s="1"/>
      <c r="CO1700" s="1"/>
      <c r="CP1700" s="1"/>
      <c r="CQ1700" s="1"/>
      <c r="CR1700" s="1"/>
      <c r="CS1700" s="1"/>
      <c r="CT1700" s="1"/>
      <c r="CU1700" s="1"/>
      <c r="CV1700" s="1"/>
      <c r="CW1700" s="1"/>
    </row>
    <row r="1701" spans="1:101" ht="15" hidden="1" customHeight="1" x14ac:dyDescent="0.25">
      <c r="A1701" s="21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30"/>
      <c r="W1701" s="30"/>
      <c r="X1701" s="30"/>
      <c r="Y1701" s="30"/>
      <c r="Z1701" s="30"/>
      <c r="AA1701" s="30"/>
      <c r="AB1701" s="30"/>
      <c r="AC1701" s="30"/>
      <c r="AD1701" s="30"/>
      <c r="AE1701" s="30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30"/>
      <c r="AQ1701" s="30"/>
      <c r="AR1701" s="30"/>
      <c r="AS1701" s="30"/>
      <c r="AT1701" s="30"/>
      <c r="AU1701" s="30"/>
      <c r="AV1701" s="30"/>
      <c r="AW1701" s="30"/>
      <c r="AX1701" s="30"/>
      <c r="AY1701" s="30"/>
      <c r="AZ1701" s="1"/>
      <c r="BA1701" s="1"/>
      <c r="BB1701" s="1"/>
      <c r="BC1701" s="1"/>
      <c r="BD1701" s="1"/>
      <c r="BE1701" s="1"/>
      <c r="BF1701" s="1"/>
      <c r="BG1701" s="1"/>
      <c r="BH1701" s="1"/>
      <c r="BI1701" s="1"/>
      <c r="BJ1701" s="30"/>
      <c r="BK1701" s="30"/>
      <c r="BL1701" s="30"/>
      <c r="BM1701" s="30"/>
      <c r="BN1701" s="30"/>
      <c r="BO1701" s="30"/>
      <c r="BP1701" s="30"/>
      <c r="BQ1701" s="30"/>
      <c r="BR1701" s="30"/>
      <c r="BS1701" s="30"/>
      <c r="BT1701" s="1"/>
      <c r="BU1701" s="1"/>
      <c r="BV1701" s="1"/>
      <c r="BW1701" s="1"/>
      <c r="BX1701" s="1"/>
      <c r="BY1701" s="1"/>
      <c r="BZ1701" s="1"/>
      <c r="CA1701" s="1"/>
      <c r="CB1701" s="1"/>
      <c r="CC1701" s="1"/>
      <c r="CD1701" s="30"/>
      <c r="CE1701" s="30"/>
      <c r="CF1701" s="30"/>
      <c r="CG1701" s="30"/>
      <c r="CH1701" s="30"/>
      <c r="CI1701" s="30"/>
      <c r="CJ1701" s="30"/>
      <c r="CK1701" s="30"/>
      <c r="CL1701" s="30"/>
      <c r="CM1701" s="30"/>
      <c r="CN1701" s="1"/>
      <c r="CO1701" s="1"/>
      <c r="CP1701" s="1"/>
      <c r="CQ1701" s="1"/>
      <c r="CR1701" s="1"/>
      <c r="CS1701" s="1"/>
      <c r="CT1701" s="1"/>
      <c r="CU1701" s="1"/>
      <c r="CV1701" s="1"/>
      <c r="CW1701" s="1"/>
    </row>
    <row r="1702" spans="1:101" ht="15" hidden="1" customHeight="1" x14ac:dyDescent="0.25">
      <c r="A1702" s="21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30"/>
      <c r="W1702" s="30"/>
      <c r="X1702" s="30"/>
      <c r="Y1702" s="30"/>
      <c r="Z1702" s="30"/>
      <c r="AA1702" s="30"/>
      <c r="AB1702" s="30"/>
      <c r="AC1702" s="30"/>
      <c r="AD1702" s="30"/>
      <c r="AE1702" s="30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30"/>
      <c r="AQ1702" s="30"/>
      <c r="AR1702" s="30"/>
      <c r="AS1702" s="30"/>
      <c r="AT1702" s="30"/>
      <c r="AU1702" s="30"/>
      <c r="AV1702" s="30"/>
      <c r="AW1702" s="30"/>
      <c r="AX1702" s="30"/>
      <c r="AY1702" s="30"/>
      <c r="AZ1702" s="1"/>
      <c r="BA1702" s="1"/>
      <c r="BB1702" s="1"/>
      <c r="BC1702" s="1"/>
      <c r="BD1702" s="1"/>
      <c r="BE1702" s="1"/>
      <c r="BF1702" s="1"/>
      <c r="BG1702" s="1"/>
      <c r="BH1702" s="1"/>
      <c r="BI1702" s="1"/>
      <c r="BJ1702" s="30"/>
      <c r="BK1702" s="30"/>
      <c r="BL1702" s="30"/>
      <c r="BM1702" s="30"/>
      <c r="BN1702" s="30"/>
      <c r="BO1702" s="30"/>
      <c r="BP1702" s="30"/>
      <c r="BQ1702" s="30"/>
      <c r="BR1702" s="30"/>
      <c r="BS1702" s="30"/>
      <c r="BT1702" s="1"/>
      <c r="BU1702" s="1"/>
      <c r="BV1702" s="1"/>
      <c r="BW1702" s="1"/>
      <c r="BX1702" s="1"/>
      <c r="BY1702" s="1"/>
      <c r="BZ1702" s="1"/>
      <c r="CA1702" s="1"/>
      <c r="CB1702" s="1"/>
      <c r="CC1702" s="1"/>
      <c r="CD1702" s="30"/>
      <c r="CE1702" s="30"/>
      <c r="CF1702" s="30"/>
      <c r="CG1702" s="30"/>
      <c r="CH1702" s="30"/>
      <c r="CI1702" s="30"/>
      <c r="CJ1702" s="30"/>
      <c r="CK1702" s="30"/>
      <c r="CL1702" s="30"/>
      <c r="CM1702" s="30"/>
      <c r="CN1702" s="1"/>
      <c r="CO1702" s="1"/>
      <c r="CP1702" s="1"/>
      <c r="CQ1702" s="1"/>
      <c r="CR1702" s="1"/>
      <c r="CS1702" s="1"/>
      <c r="CT1702" s="1"/>
      <c r="CU1702" s="1"/>
      <c r="CV1702" s="1"/>
      <c r="CW1702" s="1"/>
    </row>
    <row r="1703" spans="1:101" ht="15" hidden="1" customHeight="1" x14ac:dyDescent="0.25">
      <c r="A1703" s="21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30"/>
      <c r="W1703" s="30"/>
      <c r="X1703" s="30"/>
      <c r="Y1703" s="30"/>
      <c r="Z1703" s="30"/>
      <c r="AA1703" s="30"/>
      <c r="AB1703" s="30"/>
      <c r="AC1703" s="30"/>
      <c r="AD1703" s="30"/>
      <c r="AE1703" s="30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30"/>
      <c r="AQ1703" s="30"/>
      <c r="AR1703" s="30"/>
      <c r="AS1703" s="30"/>
      <c r="AT1703" s="30"/>
      <c r="AU1703" s="30"/>
      <c r="AV1703" s="30"/>
      <c r="AW1703" s="30"/>
      <c r="AX1703" s="30"/>
      <c r="AY1703" s="30"/>
      <c r="AZ1703" s="1"/>
      <c r="BA1703" s="1"/>
      <c r="BB1703" s="1"/>
      <c r="BC1703" s="1"/>
      <c r="BD1703" s="1"/>
      <c r="BE1703" s="1"/>
      <c r="BF1703" s="1"/>
      <c r="BG1703" s="1"/>
      <c r="BH1703" s="1"/>
      <c r="BI1703" s="1"/>
      <c r="BJ1703" s="30"/>
      <c r="BK1703" s="30"/>
      <c r="BL1703" s="30"/>
      <c r="BM1703" s="30"/>
      <c r="BN1703" s="30"/>
      <c r="BO1703" s="30"/>
      <c r="BP1703" s="30"/>
      <c r="BQ1703" s="30"/>
      <c r="BR1703" s="30"/>
      <c r="BS1703" s="30"/>
      <c r="BT1703" s="1"/>
      <c r="BU1703" s="1"/>
      <c r="BV1703" s="1"/>
      <c r="BW1703" s="1"/>
      <c r="BX1703" s="1"/>
      <c r="BY1703" s="1"/>
      <c r="BZ1703" s="1"/>
      <c r="CA1703" s="1"/>
      <c r="CB1703" s="1"/>
      <c r="CC1703" s="1"/>
      <c r="CD1703" s="30"/>
      <c r="CE1703" s="30"/>
      <c r="CF1703" s="30"/>
      <c r="CG1703" s="30"/>
      <c r="CH1703" s="30"/>
      <c r="CI1703" s="30"/>
      <c r="CJ1703" s="30"/>
      <c r="CK1703" s="30"/>
      <c r="CL1703" s="30"/>
      <c r="CM1703" s="30"/>
      <c r="CN1703" s="1"/>
      <c r="CO1703" s="1"/>
      <c r="CP1703" s="1"/>
      <c r="CQ1703" s="1"/>
      <c r="CR1703" s="1"/>
      <c r="CS1703" s="1"/>
      <c r="CT1703" s="1"/>
      <c r="CU1703" s="1"/>
      <c r="CV1703" s="1"/>
      <c r="CW1703" s="1"/>
    </row>
    <row r="1704" spans="1:101" ht="15" hidden="1" customHeight="1" x14ac:dyDescent="0.25">
      <c r="A1704" s="21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30"/>
      <c r="W1704" s="30"/>
      <c r="X1704" s="30"/>
      <c r="Y1704" s="30"/>
      <c r="Z1704" s="30"/>
      <c r="AA1704" s="30"/>
      <c r="AB1704" s="30"/>
      <c r="AC1704" s="30"/>
      <c r="AD1704" s="30"/>
      <c r="AE1704" s="30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30"/>
      <c r="AQ1704" s="30"/>
      <c r="AR1704" s="30"/>
      <c r="AS1704" s="30"/>
      <c r="AT1704" s="30"/>
      <c r="AU1704" s="30"/>
      <c r="AV1704" s="30"/>
      <c r="AW1704" s="30"/>
      <c r="AX1704" s="30"/>
      <c r="AY1704" s="30"/>
      <c r="AZ1704" s="1"/>
      <c r="BA1704" s="1"/>
      <c r="BB1704" s="1"/>
      <c r="BC1704" s="1"/>
      <c r="BD1704" s="1"/>
      <c r="BE1704" s="1"/>
      <c r="BF1704" s="1"/>
      <c r="BG1704" s="1"/>
      <c r="BH1704" s="1"/>
      <c r="BI1704" s="1"/>
      <c r="BJ1704" s="30"/>
      <c r="BK1704" s="30"/>
      <c r="BL1704" s="30"/>
      <c r="BM1704" s="30"/>
      <c r="BN1704" s="30"/>
      <c r="BO1704" s="30"/>
      <c r="BP1704" s="30"/>
      <c r="BQ1704" s="30"/>
      <c r="BR1704" s="30"/>
      <c r="BS1704" s="30"/>
      <c r="BT1704" s="1"/>
      <c r="BU1704" s="1"/>
      <c r="BV1704" s="1"/>
      <c r="BW1704" s="1"/>
      <c r="BX1704" s="1"/>
      <c r="BY1704" s="1"/>
      <c r="BZ1704" s="1"/>
      <c r="CA1704" s="1"/>
      <c r="CB1704" s="1"/>
      <c r="CC1704" s="1"/>
      <c r="CD1704" s="30"/>
      <c r="CE1704" s="30"/>
      <c r="CF1704" s="30"/>
      <c r="CG1704" s="30"/>
      <c r="CH1704" s="30"/>
      <c r="CI1704" s="30"/>
      <c r="CJ1704" s="30"/>
      <c r="CK1704" s="30"/>
      <c r="CL1704" s="30"/>
      <c r="CM1704" s="30"/>
      <c r="CN1704" s="1"/>
      <c r="CO1704" s="1"/>
      <c r="CP1704" s="1"/>
      <c r="CQ1704" s="1"/>
      <c r="CR1704" s="1"/>
      <c r="CS1704" s="1"/>
      <c r="CT1704" s="1"/>
      <c r="CU1704" s="1"/>
      <c r="CV1704" s="1"/>
      <c r="CW1704" s="1"/>
    </row>
    <row r="1705" spans="1:101" ht="15" hidden="1" customHeight="1" x14ac:dyDescent="0.25">
      <c r="A1705" s="21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30"/>
      <c r="W1705" s="30"/>
      <c r="X1705" s="30"/>
      <c r="Y1705" s="30"/>
      <c r="Z1705" s="30"/>
      <c r="AA1705" s="30"/>
      <c r="AB1705" s="30"/>
      <c r="AC1705" s="30"/>
      <c r="AD1705" s="30"/>
      <c r="AE1705" s="30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30"/>
      <c r="AQ1705" s="30"/>
      <c r="AR1705" s="30"/>
      <c r="AS1705" s="30"/>
      <c r="AT1705" s="30"/>
      <c r="AU1705" s="30"/>
      <c r="AV1705" s="30"/>
      <c r="AW1705" s="30"/>
      <c r="AX1705" s="30"/>
      <c r="AY1705" s="30"/>
      <c r="AZ1705" s="1"/>
      <c r="BA1705" s="1"/>
      <c r="BB1705" s="1"/>
      <c r="BC1705" s="1"/>
      <c r="BD1705" s="1"/>
      <c r="BE1705" s="1"/>
      <c r="BF1705" s="1"/>
      <c r="BG1705" s="1"/>
      <c r="BH1705" s="1"/>
      <c r="BI1705" s="1"/>
      <c r="BJ1705" s="30"/>
      <c r="BK1705" s="30"/>
      <c r="BL1705" s="30"/>
      <c r="BM1705" s="30"/>
      <c r="BN1705" s="30"/>
      <c r="BO1705" s="30"/>
      <c r="BP1705" s="30"/>
      <c r="BQ1705" s="30"/>
      <c r="BR1705" s="30"/>
      <c r="BS1705" s="30"/>
      <c r="BT1705" s="1"/>
      <c r="BU1705" s="1"/>
      <c r="BV1705" s="1"/>
      <c r="BW1705" s="1"/>
      <c r="BX1705" s="1"/>
      <c r="BY1705" s="1"/>
      <c r="BZ1705" s="1"/>
      <c r="CA1705" s="1"/>
      <c r="CB1705" s="1"/>
      <c r="CC1705" s="1"/>
      <c r="CD1705" s="30"/>
      <c r="CE1705" s="30"/>
      <c r="CF1705" s="30"/>
      <c r="CG1705" s="30"/>
      <c r="CH1705" s="30"/>
      <c r="CI1705" s="30"/>
      <c r="CJ1705" s="30"/>
      <c r="CK1705" s="30"/>
      <c r="CL1705" s="30"/>
      <c r="CM1705" s="30"/>
      <c r="CN1705" s="1"/>
      <c r="CO1705" s="1"/>
      <c r="CP1705" s="1"/>
      <c r="CQ1705" s="1"/>
      <c r="CR1705" s="1"/>
      <c r="CS1705" s="1"/>
      <c r="CT1705" s="1"/>
      <c r="CU1705" s="1"/>
      <c r="CV1705" s="1"/>
      <c r="CW1705" s="1"/>
    </row>
    <row r="1706" spans="1:101" ht="15" hidden="1" customHeight="1" x14ac:dyDescent="0.25">
      <c r="A1706" s="21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30"/>
      <c r="W1706" s="30"/>
      <c r="X1706" s="30"/>
      <c r="Y1706" s="30"/>
      <c r="Z1706" s="30"/>
      <c r="AA1706" s="30"/>
      <c r="AB1706" s="30"/>
      <c r="AC1706" s="30"/>
      <c r="AD1706" s="30"/>
      <c r="AE1706" s="30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30"/>
      <c r="AQ1706" s="30"/>
      <c r="AR1706" s="30"/>
      <c r="AS1706" s="30"/>
      <c r="AT1706" s="30"/>
      <c r="AU1706" s="30"/>
      <c r="AV1706" s="30"/>
      <c r="AW1706" s="30"/>
      <c r="AX1706" s="30"/>
      <c r="AY1706" s="30"/>
      <c r="AZ1706" s="1"/>
      <c r="BA1706" s="1"/>
      <c r="BB1706" s="1"/>
      <c r="BC1706" s="1"/>
      <c r="BD1706" s="1"/>
      <c r="BE1706" s="1"/>
      <c r="BF1706" s="1"/>
      <c r="BG1706" s="1"/>
      <c r="BH1706" s="1"/>
      <c r="BI1706" s="1"/>
      <c r="BJ1706" s="30"/>
      <c r="BK1706" s="30"/>
      <c r="BL1706" s="30"/>
      <c r="BM1706" s="30"/>
      <c r="BN1706" s="30"/>
      <c r="BO1706" s="30"/>
      <c r="BP1706" s="30"/>
      <c r="BQ1706" s="30"/>
      <c r="BR1706" s="30"/>
      <c r="BS1706" s="30"/>
      <c r="BT1706" s="1"/>
      <c r="BU1706" s="1"/>
      <c r="BV1706" s="1"/>
      <c r="BW1706" s="1"/>
      <c r="BX1706" s="1"/>
      <c r="BY1706" s="1"/>
      <c r="BZ1706" s="1"/>
      <c r="CA1706" s="1"/>
      <c r="CB1706" s="1"/>
      <c r="CC1706" s="1"/>
      <c r="CD1706" s="30"/>
      <c r="CE1706" s="30"/>
      <c r="CF1706" s="30"/>
      <c r="CG1706" s="30"/>
      <c r="CH1706" s="30"/>
      <c r="CI1706" s="30"/>
      <c r="CJ1706" s="30"/>
      <c r="CK1706" s="30"/>
      <c r="CL1706" s="30"/>
      <c r="CM1706" s="30"/>
      <c r="CN1706" s="1"/>
      <c r="CO1706" s="1"/>
      <c r="CP1706" s="1"/>
      <c r="CQ1706" s="1"/>
      <c r="CR1706" s="1"/>
      <c r="CS1706" s="1"/>
      <c r="CT1706" s="1"/>
      <c r="CU1706" s="1"/>
      <c r="CV1706" s="1"/>
      <c r="CW1706" s="1"/>
    </row>
    <row r="1707" spans="1:101" ht="15" hidden="1" customHeight="1" x14ac:dyDescent="0.25"/>
  </sheetData>
  <mergeCells count="1639">
    <mergeCell ref="XDX1:XEG1"/>
    <mergeCell ref="XEH1:XEQ1"/>
    <mergeCell ref="XER1:XFA1"/>
    <mergeCell ref="XFB1:XFD1"/>
    <mergeCell ref="XBZ1:XCI1"/>
    <mergeCell ref="XCJ1:XCS1"/>
    <mergeCell ref="XCT1:XDC1"/>
    <mergeCell ref="XDD1:XDM1"/>
    <mergeCell ref="XDN1:XDW1"/>
    <mergeCell ref="XAB1:XAK1"/>
    <mergeCell ref="XAL1:XAU1"/>
    <mergeCell ref="XAV1:XBE1"/>
    <mergeCell ref="XBF1:XBO1"/>
    <mergeCell ref="XBP1:XBY1"/>
    <mergeCell ref="WYD1:WYM1"/>
    <mergeCell ref="WYN1:WYW1"/>
    <mergeCell ref="WYX1:WZG1"/>
    <mergeCell ref="WZH1:WZQ1"/>
    <mergeCell ref="WZR1:XAA1"/>
    <mergeCell ref="WWF1:WWO1"/>
    <mergeCell ref="WWP1:WWY1"/>
    <mergeCell ref="WWZ1:WXI1"/>
    <mergeCell ref="WXJ1:WXS1"/>
    <mergeCell ref="WXT1:WYC1"/>
    <mergeCell ref="WUH1:WUQ1"/>
    <mergeCell ref="WUR1:WVA1"/>
    <mergeCell ref="WVB1:WVK1"/>
    <mergeCell ref="WVL1:WVU1"/>
    <mergeCell ref="WVV1:WWE1"/>
    <mergeCell ref="WSJ1:WSS1"/>
    <mergeCell ref="WST1:WTC1"/>
    <mergeCell ref="WTD1:WTM1"/>
    <mergeCell ref="WTN1:WTW1"/>
    <mergeCell ref="WTX1:WUG1"/>
    <mergeCell ref="WQL1:WQU1"/>
    <mergeCell ref="WQV1:WRE1"/>
    <mergeCell ref="WRF1:WRO1"/>
    <mergeCell ref="WRP1:WRY1"/>
    <mergeCell ref="WRZ1:WSI1"/>
    <mergeCell ref="WON1:WOW1"/>
    <mergeCell ref="WOX1:WPG1"/>
    <mergeCell ref="WPH1:WPQ1"/>
    <mergeCell ref="WPR1:WQA1"/>
    <mergeCell ref="WQB1:WQK1"/>
    <mergeCell ref="WMP1:WMY1"/>
    <mergeCell ref="WMZ1:WNI1"/>
    <mergeCell ref="WNJ1:WNS1"/>
    <mergeCell ref="WNT1:WOC1"/>
    <mergeCell ref="WOD1:WOM1"/>
    <mergeCell ref="WKR1:WLA1"/>
    <mergeCell ref="WLB1:WLK1"/>
    <mergeCell ref="WLL1:WLU1"/>
    <mergeCell ref="WLV1:WME1"/>
    <mergeCell ref="WMF1:WMO1"/>
    <mergeCell ref="WIT1:WJC1"/>
    <mergeCell ref="WJD1:WJM1"/>
    <mergeCell ref="WJN1:WJW1"/>
    <mergeCell ref="WJX1:WKG1"/>
    <mergeCell ref="WKH1:WKQ1"/>
    <mergeCell ref="WGV1:WHE1"/>
    <mergeCell ref="WHF1:WHO1"/>
    <mergeCell ref="WHP1:WHY1"/>
    <mergeCell ref="WHZ1:WII1"/>
    <mergeCell ref="WIJ1:WIS1"/>
    <mergeCell ref="WEX1:WFG1"/>
    <mergeCell ref="WFH1:WFQ1"/>
    <mergeCell ref="WFR1:WGA1"/>
    <mergeCell ref="WGB1:WGK1"/>
    <mergeCell ref="WGL1:WGU1"/>
    <mergeCell ref="WCZ1:WDI1"/>
    <mergeCell ref="WDJ1:WDS1"/>
    <mergeCell ref="WDT1:WEC1"/>
    <mergeCell ref="WED1:WEM1"/>
    <mergeCell ref="WEN1:WEW1"/>
    <mergeCell ref="WBB1:WBK1"/>
    <mergeCell ref="WBL1:WBU1"/>
    <mergeCell ref="WBV1:WCE1"/>
    <mergeCell ref="WCF1:WCO1"/>
    <mergeCell ref="WCP1:WCY1"/>
    <mergeCell ref="VZD1:VZM1"/>
    <mergeCell ref="VZN1:VZW1"/>
    <mergeCell ref="VZX1:WAG1"/>
    <mergeCell ref="WAH1:WAQ1"/>
    <mergeCell ref="WAR1:WBA1"/>
    <mergeCell ref="VXF1:VXO1"/>
    <mergeCell ref="VXP1:VXY1"/>
    <mergeCell ref="VXZ1:VYI1"/>
    <mergeCell ref="VYJ1:VYS1"/>
    <mergeCell ref="VYT1:VZC1"/>
    <mergeCell ref="VVH1:VVQ1"/>
    <mergeCell ref="VVR1:VWA1"/>
    <mergeCell ref="VWB1:VWK1"/>
    <mergeCell ref="VWL1:VWU1"/>
    <mergeCell ref="VWV1:VXE1"/>
    <mergeCell ref="VTJ1:VTS1"/>
    <mergeCell ref="VTT1:VUC1"/>
    <mergeCell ref="VUD1:VUM1"/>
    <mergeCell ref="VUN1:VUW1"/>
    <mergeCell ref="VUX1:VVG1"/>
    <mergeCell ref="VRL1:VRU1"/>
    <mergeCell ref="VRV1:VSE1"/>
    <mergeCell ref="VSF1:VSO1"/>
    <mergeCell ref="VSP1:VSY1"/>
    <mergeCell ref="VSZ1:VTI1"/>
    <mergeCell ref="VPN1:VPW1"/>
    <mergeCell ref="VPX1:VQG1"/>
    <mergeCell ref="VQH1:VQQ1"/>
    <mergeCell ref="VQR1:VRA1"/>
    <mergeCell ref="VRB1:VRK1"/>
    <mergeCell ref="VNP1:VNY1"/>
    <mergeCell ref="VNZ1:VOI1"/>
    <mergeCell ref="VOJ1:VOS1"/>
    <mergeCell ref="VOT1:VPC1"/>
    <mergeCell ref="VPD1:VPM1"/>
    <mergeCell ref="VLR1:VMA1"/>
    <mergeCell ref="VMB1:VMK1"/>
    <mergeCell ref="VML1:VMU1"/>
    <mergeCell ref="VMV1:VNE1"/>
    <mergeCell ref="VNF1:VNO1"/>
    <mergeCell ref="VJT1:VKC1"/>
    <mergeCell ref="VKD1:VKM1"/>
    <mergeCell ref="VKN1:VKW1"/>
    <mergeCell ref="VKX1:VLG1"/>
    <mergeCell ref="VLH1:VLQ1"/>
    <mergeCell ref="VHV1:VIE1"/>
    <mergeCell ref="VIF1:VIO1"/>
    <mergeCell ref="VIP1:VIY1"/>
    <mergeCell ref="VIZ1:VJI1"/>
    <mergeCell ref="VJJ1:VJS1"/>
    <mergeCell ref="VFX1:VGG1"/>
    <mergeCell ref="VGH1:VGQ1"/>
    <mergeCell ref="VGR1:VHA1"/>
    <mergeCell ref="VHB1:VHK1"/>
    <mergeCell ref="VHL1:VHU1"/>
    <mergeCell ref="VDZ1:VEI1"/>
    <mergeCell ref="VEJ1:VES1"/>
    <mergeCell ref="VET1:VFC1"/>
    <mergeCell ref="VFD1:VFM1"/>
    <mergeCell ref="VFN1:VFW1"/>
    <mergeCell ref="VCB1:VCK1"/>
    <mergeCell ref="VCL1:VCU1"/>
    <mergeCell ref="VCV1:VDE1"/>
    <mergeCell ref="VDF1:VDO1"/>
    <mergeCell ref="VDP1:VDY1"/>
    <mergeCell ref="VAD1:VAM1"/>
    <mergeCell ref="VAN1:VAW1"/>
    <mergeCell ref="VAX1:VBG1"/>
    <mergeCell ref="VBH1:VBQ1"/>
    <mergeCell ref="VBR1:VCA1"/>
    <mergeCell ref="UYF1:UYO1"/>
    <mergeCell ref="UYP1:UYY1"/>
    <mergeCell ref="UYZ1:UZI1"/>
    <mergeCell ref="UZJ1:UZS1"/>
    <mergeCell ref="UZT1:VAC1"/>
    <mergeCell ref="UWH1:UWQ1"/>
    <mergeCell ref="UWR1:UXA1"/>
    <mergeCell ref="UXB1:UXK1"/>
    <mergeCell ref="UXL1:UXU1"/>
    <mergeCell ref="UXV1:UYE1"/>
    <mergeCell ref="UUJ1:UUS1"/>
    <mergeCell ref="UUT1:UVC1"/>
    <mergeCell ref="UVD1:UVM1"/>
    <mergeCell ref="UVN1:UVW1"/>
    <mergeCell ref="UVX1:UWG1"/>
    <mergeCell ref="USL1:USU1"/>
    <mergeCell ref="USV1:UTE1"/>
    <mergeCell ref="UTF1:UTO1"/>
    <mergeCell ref="UTP1:UTY1"/>
    <mergeCell ref="UTZ1:UUI1"/>
    <mergeCell ref="UQN1:UQW1"/>
    <mergeCell ref="UQX1:URG1"/>
    <mergeCell ref="URH1:URQ1"/>
    <mergeCell ref="URR1:USA1"/>
    <mergeCell ref="USB1:USK1"/>
    <mergeCell ref="UOP1:UOY1"/>
    <mergeCell ref="UOZ1:UPI1"/>
    <mergeCell ref="UPJ1:UPS1"/>
    <mergeCell ref="UPT1:UQC1"/>
    <mergeCell ref="UQD1:UQM1"/>
    <mergeCell ref="UMR1:UNA1"/>
    <mergeCell ref="UNB1:UNK1"/>
    <mergeCell ref="UNL1:UNU1"/>
    <mergeCell ref="UNV1:UOE1"/>
    <mergeCell ref="UOF1:UOO1"/>
    <mergeCell ref="UKT1:ULC1"/>
    <mergeCell ref="ULD1:ULM1"/>
    <mergeCell ref="ULN1:ULW1"/>
    <mergeCell ref="ULX1:UMG1"/>
    <mergeCell ref="UMH1:UMQ1"/>
    <mergeCell ref="UIV1:UJE1"/>
    <mergeCell ref="UJF1:UJO1"/>
    <mergeCell ref="UJP1:UJY1"/>
    <mergeCell ref="UJZ1:UKI1"/>
    <mergeCell ref="UKJ1:UKS1"/>
    <mergeCell ref="UGX1:UHG1"/>
    <mergeCell ref="UHH1:UHQ1"/>
    <mergeCell ref="UHR1:UIA1"/>
    <mergeCell ref="UIB1:UIK1"/>
    <mergeCell ref="UIL1:UIU1"/>
    <mergeCell ref="UEZ1:UFI1"/>
    <mergeCell ref="UFJ1:UFS1"/>
    <mergeCell ref="UFT1:UGC1"/>
    <mergeCell ref="UGD1:UGM1"/>
    <mergeCell ref="UGN1:UGW1"/>
    <mergeCell ref="UDB1:UDK1"/>
    <mergeCell ref="UDL1:UDU1"/>
    <mergeCell ref="UDV1:UEE1"/>
    <mergeCell ref="UEF1:UEO1"/>
    <mergeCell ref="UEP1:UEY1"/>
    <mergeCell ref="UBD1:UBM1"/>
    <mergeCell ref="UBN1:UBW1"/>
    <mergeCell ref="UBX1:UCG1"/>
    <mergeCell ref="UCH1:UCQ1"/>
    <mergeCell ref="UCR1:UDA1"/>
    <mergeCell ref="TZF1:TZO1"/>
    <mergeCell ref="TZP1:TZY1"/>
    <mergeCell ref="TZZ1:UAI1"/>
    <mergeCell ref="UAJ1:UAS1"/>
    <mergeCell ref="UAT1:UBC1"/>
    <mergeCell ref="TXH1:TXQ1"/>
    <mergeCell ref="TXR1:TYA1"/>
    <mergeCell ref="TYB1:TYK1"/>
    <mergeCell ref="TYL1:TYU1"/>
    <mergeCell ref="TYV1:TZE1"/>
    <mergeCell ref="TVJ1:TVS1"/>
    <mergeCell ref="TVT1:TWC1"/>
    <mergeCell ref="TWD1:TWM1"/>
    <mergeCell ref="TWN1:TWW1"/>
    <mergeCell ref="TWX1:TXG1"/>
    <mergeCell ref="TTL1:TTU1"/>
    <mergeCell ref="TTV1:TUE1"/>
    <mergeCell ref="TUF1:TUO1"/>
    <mergeCell ref="TUP1:TUY1"/>
    <mergeCell ref="TUZ1:TVI1"/>
    <mergeCell ref="TRN1:TRW1"/>
    <mergeCell ref="TRX1:TSG1"/>
    <mergeCell ref="TSH1:TSQ1"/>
    <mergeCell ref="TSR1:TTA1"/>
    <mergeCell ref="TTB1:TTK1"/>
    <mergeCell ref="TPP1:TPY1"/>
    <mergeCell ref="TPZ1:TQI1"/>
    <mergeCell ref="TQJ1:TQS1"/>
    <mergeCell ref="TQT1:TRC1"/>
    <mergeCell ref="TRD1:TRM1"/>
    <mergeCell ref="TNR1:TOA1"/>
    <mergeCell ref="TOB1:TOK1"/>
    <mergeCell ref="TOL1:TOU1"/>
    <mergeCell ref="TOV1:TPE1"/>
    <mergeCell ref="TPF1:TPO1"/>
    <mergeCell ref="TLT1:TMC1"/>
    <mergeCell ref="TMD1:TMM1"/>
    <mergeCell ref="TMN1:TMW1"/>
    <mergeCell ref="TMX1:TNG1"/>
    <mergeCell ref="TNH1:TNQ1"/>
    <mergeCell ref="TJV1:TKE1"/>
    <mergeCell ref="TKF1:TKO1"/>
    <mergeCell ref="TKP1:TKY1"/>
    <mergeCell ref="TKZ1:TLI1"/>
    <mergeCell ref="TLJ1:TLS1"/>
    <mergeCell ref="THX1:TIG1"/>
    <mergeCell ref="TIH1:TIQ1"/>
    <mergeCell ref="TIR1:TJA1"/>
    <mergeCell ref="TJB1:TJK1"/>
    <mergeCell ref="TJL1:TJU1"/>
    <mergeCell ref="TFZ1:TGI1"/>
    <mergeCell ref="TGJ1:TGS1"/>
    <mergeCell ref="TGT1:THC1"/>
    <mergeCell ref="THD1:THM1"/>
    <mergeCell ref="THN1:THW1"/>
    <mergeCell ref="TEB1:TEK1"/>
    <mergeCell ref="TEL1:TEU1"/>
    <mergeCell ref="TEV1:TFE1"/>
    <mergeCell ref="TFF1:TFO1"/>
    <mergeCell ref="TFP1:TFY1"/>
    <mergeCell ref="TCD1:TCM1"/>
    <mergeCell ref="TCN1:TCW1"/>
    <mergeCell ref="TCX1:TDG1"/>
    <mergeCell ref="TDH1:TDQ1"/>
    <mergeCell ref="TDR1:TEA1"/>
    <mergeCell ref="TAF1:TAO1"/>
    <mergeCell ref="TAP1:TAY1"/>
    <mergeCell ref="TAZ1:TBI1"/>
    <mergeCell ref="TBJ1:TBS1"/>
    <mergeCell ref="TBT1:TCC1"/>
    <mergeCell ref="SYH1:SYQ1"/>
    <mergeCell ref="SYR1:SZA1"/>
    <mergeCell ref="SZB1:SZK1"/>
    <mergeCell ref="SZL1:SZU1"/>
    <mergeCell ref="SZV1:TAE1"/>
    <mergeCell ref="SWJ1:SWS1"/>
    <mergeCell ref="SWT1:SXC1"/>
    <mergeCell ref="SXD1:SXM1"/>
    <mergeCell ref="SXN1:SXW1"/>
    <mergeCell ref="SXX1:SYG1"/>
    <mergeCell ref="SUL1:SUU1"/>
    <mergeCell ref="SUV1:SVE1"/>
    <mergeCell ref="SVF1:SVO1"/>
    <mergeCell ref="SVP1:SVY1"/>
    <mergeCell ref="SVZ1:SWI1"/>
    <mergeCell ref="SSN1:SSW1"/>
    <mergeCell ref="SSX1:STG1"/>
    <mergeCell ref="STH1:STQ1"/>
    <mergeCell ref="STR1:SUA1"/>
    <mergeCell ref="SUB1:SUK1"/>
    <mergeCell ref="SQP1:SQY1"/>
    <mergeCell ref="SQZ1:SRI1"/>
    <mergeCell ref="SRJ1:SRS1"/>
    <mergeCell ref="SRT1:SSC1"/>
    <mergeCell ref="SSD1:SSM1"/>
    <mergeCell ref="SOR1:SPA1"/>
    <mergeCell ref="SPB1:SPK1"/>
    <mergeCell ref="SPL1:SPU1"/>
    <mergeCell ref="SPV1:SQE1"/>
    <mergeCell ref="SQF1:SQO1"/>
    <mergeCell ref="SMT1:SNC1"/>
    <mergeCell ref="SND1:SNM1"/>
    <mergeCell ref="SNN1:SNW1"/>
    <mergeCell ref="SNX1:SOG1"/>
    <mergeCell ref="SOH1:SOQ1"/>
    <mergeCell ref="SKV1:SLE1"/>
    <mergeCell ref="SLF1:SLO1"/>
    <mergeCell ref="SLP1:SLY1"/>
    <mergeCell ref="SLZ1:SMI1"/>
    <mergeCell ref="SMJ1:SMS1"/>
    <mergeCell ref="SIX1:SJG1"/>
    <mergeCell ref="SJH1:SJQ1"/>
    <mergeCell ref="SJR1:SKA1"/>
    <mergeCell ref="SKB1:SKK1"/>
    <mergeCell ref="SKL1:SKU1"/>
    <mergeCell ref="SGZ1:SHI1"/>
    <mergeCell ref="SHJ1:SHS1"/>
    <mergeCell ref="SHT1:SIC1"/>
    <mergeCell ref="SID1:SIM1"/>
    <mergeCell ref="SIN1:SIW1"/>
    <mergeCell ref="SFB1:SFK1"/>
    <mergeCell ref="SFL1:SFU1"/>
    <mergeCell ref="SFV1:SGE1"/>
    <mergeCell ref="SGF1:SGO1"/>
    <mergeCell ref="SGP1:SGY1"/>
    <mergeCell ref="SDD1:SDM1"/>
    <mergeCell ref="SDN1:SDW1"/>
    <mergeCell ref="SDX1:SEG1"/>
    <mergeCell ref="SEH1:SEQ1"/>
    <mergeCell ref="SER1:SFA1"/>
    <mergeCell ref="SBF1:SBO1"/>
    <mergeCell ref="SBP1:SBY1"/>
    <mergeCell ref="SBZ1:SCI1"/>
    <mergeCell ref="SCJ1:SCS1"/>
    <mergeCell ref="SCT1:SDC1"/>
    <mergeCell ref="RZH1:RZQ1"/>
    <mergeCell ref="RZR1:SAA1"/>
    <mergeCell ref="SAB1:SAK1"/>
    <mergeCell ref="SAL1:SAU1"/>
    <mergeCell ref="SAV1:SBE1"/>
    <mergeCell ref="RXJ1:RXS1"/>
    <mergeCell ref="RXT1:RYC1"/>
    <mergeCell ref="RYD1:RYM1"/>
    <mergeCell ref="RYN1:RYW1"/>
    <mergeCell ref="RYX1:RZG1"/>
    <mergeCell ref="RVL1:RVU1"/>
    <mergeCell ref="RVV1:RWE1"/>
    <mergeCell ref="RWF1:RWO1"/>
    <mergeCell ref="RWP1:RWY1"/>
    <mergeCell ref="RWZ1:RXI1"/>
    <mergeCell ref="RTN1:RTW1"/>
    <mergeCell ref="RTX1:RUG1"/>
    <mergeCell ref="RUH1:RUQ1"/>
    <mergeCell ref="RUR1:RVA1"/>
    <mergeCell ref="RVB1:RVK1"/>
    <mergeCell ref="RRP1:RRY1"/>
    <mergeCell ref="RRZ1:RSI1"/>
    <mergeCell ref="RSJ1:RSS1"/>
    <mergeCell ref="RST1:RTC1"/>
    <mergeCell ref="RTD1:RTM1"/>
    <mergeCell ref="RPR1:RQA1"/>
    <mergeCell ref="RQB1:RQK1"/>
    <mergeCell ref="RQL1:RQU1"/>
    <mergeCell ref="RQV1:RRE1"/>
    <mergeCell ref="RRF1:RRO1"/>
    <mergeCell ref="RNT1:ROC1"/>
    <mergeCell ref="ROD1:ROM1"/>
    <mergeCell ref="RON1:ROW1"/>
    <mergeCell ref="ROX1:RPG1"/>
    <mergeCell ref="RPH1:RPQ1"/>
    <mergeCell ref="RLV1:RME1"/>
    <mergeCell ref="RMF1:RMO1"/>
    <mergeCell ref="RMP1:RMY1"/>
    <mergeCell ref="RMZ1:RNI1"/>
    <mergeCell ref="RNJ1:RNS1"/>
    <mergeCell ref="RJX1:RKG1"/>
    <mergeCell ref="RKH1:RKQ1"/>
    <mergeCell ref="RKR1:RLA1"/>
    <mergeCell ref="RLB1:RLK1"/>
    <mergeCell ref="RLL1:RLU1"/>
    <mergeCell ref="RHZ1:RII1"/>
    <mergeCell ref="RIJ1:RIS1"/>
    <mergeCell ref="RIT1:RJC1"/>
    <mergeCell ref="RJD1:RJM1"/>
    <mergeCell ref="RJN1:RJW1"/>
    <mergeCell ref="RGB1:RGK1"/>
    <mergeCell ref="RGL1:RGU1"/>
    <mergeCell ref="RGV1:RHE1"/>
    <mergeCell ref="RHF1:RHO1"/>
    <mergeCell ref="RHP1:RHY1"/>
    <mergeCell ref="RED1:REM1"/>
    <mergeCell ref="REN1:REW1"/>
    <mergeCell ref="REX1:RFG1"/>
    <mergeCell ref="RFH1:RFQ1"/>
    <mergeCell ref="RFR1:RGA1"/>
    <mergeCell ref="RCF1:RCO1"/>
    <mergeCell ref="RCP1:RCY1"/>
    <mergeCell ref="RCZ1:RDI1"/>
    <mergeCell ref="RDJ1:RDS1"/>
    <mergeCell ref="RDT1:REC1"/>
    <mergeCell ref="RAH1:RAQ1"/>
    <mergeCell ref="RAR1:RBA1"/>
    <mergeCell ref="RBB1:RBK1"/>
    <mergeCell ref="RBL1:RBU1"/>
    <mergeCell ref="RBV1:RCE1"/>
    <mergeCell ref="QYJ1:QYS1"/>
    <mergeCell ref="QYT1:QZC1"/>
    <mergeCell ref="QZD1:QZM1"/>
    <mergeCell ref="QZN1:QZW1"/>
    <mergeCell ref="QZX1:RAG1"/>
    <mergeCell ref="QWL1:QWU1"/>
    <mergeCell ref="QWV1:QXE1"/>
    <mergeCell ref="QXF1:QXO1"/>
    <mergeCell ref="QXP1:QXY1"/>
    <mergeCell ref="QXZ1:QYI1"/>
    <mergeCell ref="QUN1:QUW1"/>
    <mergeCell ref="QUX1:QVG1"/>
    <mergeCell ref="QVH1:QVQ1"/>
    <mergeCell ref="QVR1:QWA1"/>
    <mergeCell ref="QWB1:QWK1"/>
    <mergeCell ref="QSP1:QSY1"/>
    <mergeCell ref="QSZ1:QTI1"/>
    <mergeCell ref="QTJ1:QTS1"/>
    <mergeCell ref="QTT1:QUC1"/>
    <mergeCell ref="QUD1:QUM1"/>
    <mergeCell ref="QQR1:QRA1"/>
    <mergeCell ref="QRB1:QRK1"/>
    <mergeCell ref="QRL1:QRU1"/>
    <mergeCell ref="QRV1:QSE1"/>
    <mergeCell ref="QSF1:QSO1"/>
    <mergeCell ref="QOT1:QPC1"/>
    <mergeCell ref="QPD1:QPM1"/>
    <mergeCell ref="QPN1:QPW1"/>
    <mergeCell ref="QPX1:QQG1"/>
    <mergeCell ref="QQH1:QQQ1"/>
    <mergeCell ref="QMV1:QNE1"/>
    <mergeCell ref="QNF1:QNO1"/>
    <mergeCell ref="QNP1:QNY1"/>
    <mergeCell ref="QNZ1:QOI1"/>
    <mergeCell ref="QOJ1:QOS1"/>
    <mergeCell ref="QKX1:QLG1"/>
    <mergeCell ref="QLH1:QLQ1"/>
    <mergeCell ref="QLR1:QMA1"/>
    <mergeCell ref="QMB1:QMK1"/>
    <mergeCell ref="QML1:QMU1"/>
    <mergeCell ref="QIZ1:QJI1"/>
    <mergeCell ref="QJJ1:QJS1"/>
    <mergeCell ref="QJT1:QKC1"/>
    <mergeCell ref="QKD1:QKM1"/>
    <mergeCell ref="QKN1:QKW1"/>
    <mergeCell ref="QHB1:QHK1"/>
    <mergeCell ref="QHL1:QHU1"/>
    <mergeCell ref="QHV1:QIE1"/>
    <mergeCell ref="QIF1:QIO1"/>
    <mergeCell ref="QIP1:QIY1"/>
    <mergeCell ref="QFD1:QFM1"/>
    <mergeCell ref="QFN1:QFW1"/>
    <mergeCell ref="QFX1:QGG1"/>
    <mergeCell ref="QGH1:QGQ1"/>
    <mergeCell ref="QGR1:QHA1"/>
    <mergeCell ref="QDF1:QDO1"/>
    <mergeCell ref="QDP1:QDY1"/>
    <mergeCell ref="QDZ1:QEI1"/>
    <mergeCell ref="QEJ1:QES1"/>
    <mergeCell ref="QET1:QFC1"/>
    <mergeCell ref="QBH1:QBQ1"/>
    <mergeCell ref="QBR1:QCA1"/>
    <mergeCell ref="QCB1:QCK1"/>
    <mergeCell ref="QCL1:QCU1"/>
    <mergeCell ref="QCV1:QDE1"/>
    <mergeCell ref="PZJ1:PZS1"/>
    <mergeCell ref="PZT1:QAC1"/>
    <mergeCell ref="QAD1:QAM1"/>
    <mergeCell ref="QAN1:QAW1"/>
    <mergeCell ref="QAX1:QBG1"/>
    <mergeCell ref="PXL1:PXU1"/>
    <mergeCell ref="PXV1:PYE1"/>
    <mergeCell ref="PYF1:PYO1"/>
    <mergeCell ref="PYP1:PYY1"/>
    <mergeCell ref="PYZ1:PZI1"/>
    <mergeCell ref="PVN1:PVW1"/>
    <mergeCell ref="PVX1:PWG1"/>
    <mergeCell ref="PWH1:PWQ1"/>
    <mergeCell ref="PWR1:PXA1"/>
    <mergeCell ref="PXB1:PXK1"/>
    <mergeCell ref="PTP1:PTY1"/>
    <mergeCell ref="PTZ1:PUI1"/>
    <mergeCell ref="PUJ1:PUS1"/>
    <mergeCell ref="PUT1:PVC1"/>
    <mergeCell ref="PVD1:PVM1"/>
    <mergeCell ref="PRR1:PSA1"/>
    <mergeCell ref="PSB1:PSK1"/>
    <mergeCell ref="PSL1:PSU1"/>
    <mergeCell ref="PSV1:PTE1"/>
    <mergeCell ref="PTF1:PTO1"/>
    <mergeCell ref="PPT1:PQC1"/>
    <mergeCell ref="PQD1:PQM1"/>
    <mergeCell ref="PQN1:PQW1"/>
    <mergeCell ref="PQX1:PRG1"/>
    <mergeCell ref="PRH1:PRQ1"/>
    <mergeCell ref="PNV1:POE1"/>
    <mergeCell ref="POF1:POO1"/>
    <mergeCell ref="POP1:POY1"/>
    <mergeCell ref="POZ1:PPI1"/>
    <mergeCell ref="PPJ1:PPS1"/>
    <mergeCell ref="PLX1:PMG1"/>
    <mergeCell ref="PMH1:PMQ1"/>
    <mergeCell ref="PMR1:PNA1"/>
    <mergeCell ref="PNB1:PNK1"/>
    <mergeCell ref="PNL1:PNU1"/>
    <mergeCell ref="PJZ1:PKI1"/>
    <mergeCell ref="PKJ1:PKS1"/>
    <mergeCell ref="PKT1:PLC1"/>
    <mergeCell ref="PLD1:PLM1"/>
    <mergeCell ref="PLN1:PLW1"/>
    <mergeCell ref="PIB1:PIK1"/>
    <mergeCell ref="PIL1:PIU1"/>
    <mergeCell ref="PIV1:PJE1"/>
    <mergeCell ref="PJF1:PJO1"/>
    <mergeCell ref="PJP1:PJY1"/>
    <mergeCell ref="PGD1:PGM1"/>
    <mergeCell ref="PGN1:PGW1"/>
    <mergeCell ref="PGX1:PHG1"/>
    <mergeCell ref="PHH1:PHQ1"/>
    <mergeCell ref="PHR1:PIA1"/>
    <mergeCell ref="PEF1:PEO1"/>
    <mergeCell ref="PEP1:PEY1"/>
    <mergeCell ref="PEZ1:PFI1"/>
    <mergeCell ref="PFJ1:PFS1"/>
    <mergeCell ref="PFT1:PGC1"/>
    <mergeCell ref="PCH1:PCQ1"/>
    <mergeCell ref="PCR1:PDA1"/>
    <mergeCell ref="PDB1:PDK1"/>
    <mergeCell ref="PDL1:PDU1"/>
    <mergeCell ref="PDV1:PEE1"/>
    <mergeCell ref="PAJ1:PAS1"/>
    <mergeCell ref="PAT1:PBC1"/>
    <mergeCell ref="PBD1:PBM1"/>
    <mergeCell ref="PBN1:PBW1"/>
    <mergeCell ref="PBX1:PCG1"/>
    <mergeCell ref="OYL1:OYU1"/>
    <mergeCell ref="OYV1:OZE1"/>
    <mergeCell ref="OZF1:OZO1"/>
    <mergeCell ref="OZP1:OZY1"/>
    <mergeCell ref="OZZ1:PAI1"/>
    <mergeCell ref="OWN1:OWW1"/>
    <mergeCell ref="OWX1:OXG1"/>
    <mergeCell ref="OXH1:OXQ1"/>
    <mergeCell ref="OXR1:OYA1"/>
    <mergeCell ref="OYB1:OYK1"/>
    <mergeCell ref="OUP1:OUY1"/>
    <mergeCell ref="OUZ1:OVI1"/>
    <mergeCell ref="OVJ1:OVS1"/>
    <mergeCell ref="OVT1:OWC1"/>
    <mergeCell ref="OWD1:OWM1"/>
    <mergeCell ref="OSR1:OTA1"/>
    <mergeCell ref="OTB1:OTK1"/>
    <mergeCell ref="OTL1:OTU1"/>
    <mergeCell ref="OTV1:OUE1"/>
    <mergeCell ref="OUF1:OUO1"/>
    <mergeCell ref="OQT1:ORC1"/>
    <mergeCell ref="ORD1:ORM1"/>
    <mergeCell ref="ORN1:ORW1"/>
    <mergeCell ref="ORX1:OSG1"/>
    <mergeCell ref="OSH1:OSQ1"/>
    <mergeCell ref="OOV1:OPE1"/>
    <mergeCell ref="OPF1:OPO1"/>
    <mergeCell ref="OPP1:OPY1"/>
    <mergeCell ref="OPZ1:OQI1"/>
    <mergeCell ref="OQJ1:OQS1"/>
    <mergeCell ref="OMX1:ONG1"/>
    <mergeCell ref="ONH1:ONQ1"/>
    <mergeCell ref="ONR1:OOA1"/>
    <mergeCell ref="OOB1:OOK1"/>
    <mergeCell ref="OOL1:OOU1"/>
    <mergeCell ref="OKZ1:OLI1"/>
    <mergeCell ref="OLJ1:OLS1"/>
    <mergeCell ref="OLT1:OMC1"/>
    <mergeCell ref="OMD1:OMM1"/>
    <mergeCell ref="OMN1:OMW1"/>
    <mergeCell ref="OJB1:OJK1"/>
    <mergeCell ref="OJL1:OJU1"/>
    <mergeCell ref="OJV1:OKE1"/>
    <mergeCell ref="OKF1:OKO1"/>
    <mergeCell ref="OKP1:OKY1"/>
    <mergeCell ref="OHD1:OHM1"/>
    <mergeCell ref="OHN1:OHW1"/>
    <mergeCell ref="OHX1:OIG1"/>
    <mergeCell ref="OIH1:OIQ1"/>
    <mergeCell ref="OIR1:OJA1"/>
    <mergeCell ref="OFF1:OFO1"/>
    <mergeCell ref="OFP1:OFY1"/>
    <mergeCell ref="OFZ1:OGI1"/>
    <mergeCell ref="OGJ1:OGS1"/>
    <mergeCell ref="OGT1:OHC1"/>
    <mergeCell ref="ODH1:ODQ1"/>
    <mergeCell ref="ODR1:OEA1"/>
    <mergeCell ref="OEB1:OEK1"/>
    <mergeCell ref="OEL1:OEU1"/>
    <mergeCell ref="OEV1:OFE1"/>
    <mergeCell ref="OBJ1:OBS1"/>
    <mergeCell ref="OBT1:OCC1"/>
    <mergeCell ref="OCD1:OCM1"/>
    <mergeCell ref="OCN1:OCW1"/>
    <mergeCell ref="OCX1:ODG1"/>
    <mergeCell ref="NZL1:NZU1"/>
    <mergeCell ref="NZV1:OAE1"/>
    <mergeCell ref="OAF1:OAO1"/>
    <mergeCell ref="OAP1:OAY1"/>
    <mergeCell ref="OAZ1:OBI1"/>
    <mergeCell ref="NXN1:NXW1"/>
    <mergeCell ref="NXX1:NYG1"/>
    <mergeCell ref="NYH1:NYQ1"/>
    <mergeCell ref="NYR1:NZA1"/>
    <mergeCell ref="NZB1:NZK1"/>
    <mergeCell ref="NVP1:NVY1"/>
    <mergeCell ref="NVZ1:NWI1"/>
    <mergeCell ref="NWJ1:NWS1"/>
    <mergeCell ref="NWT1:NXC1"/>
    <mergeCell ref="NXD1:NXM1"/>
    <mergeCell ref="NTR1:NUA1"/>
    <mergeCell ref="NUB1:NUK1"/>
    <mergeCell ref="NUL1:NUU1"/>
    <mergeCell ref="NUV1:NVE1"/>
    <mergeCell ref="NVF1:NVO1"/>
    <mergeCell ref="NRT1:NSC1"/>
    <mergeCell ref="NSD1:NSM1"/>
    <mergeCell ref="NSN1:NSW1"/>
    <mergeCell ref="NSX1:NTG1"/>
    <mergeCell ref="NTH1:NTQ1"/>
    <mergeCell ref="NPV1:NQE1"/>
    <mergeCell ref="NQF1:NQO1"/>
    <mergeCell ref="NQP1:NQY1"/>
    <mergeCell ref="NQZ1:NRI1"/>
    <mergeCell ref="NRJ1:NRS1"/>
    <mergeCell ref="NNX1:NOG1"/>
    <mergeCell ref="NOH1:NOQ1"/>
    <mergeCell ref="NOR1:NPA1"/>
    <mergeCell ref="NPB1:NPK1"/>
    <mergeCell ref="NPL1:NPU1"/>
    <mergeCell ref="NLZ1:NMI1"/>
    <mergeCell ref="NMJ1:NMS1"/>
    <mergeCell ref="NMT1:NNC1"/>
    <mergeCell ref="NND1:NNM1"/>
    <mergeCell ref="NNN1:NNW1"/>
    <mergeCell ref="NKB1:NKK1"/>
    <mergeCell ref="NKL1:NKU1"/>
    <mergeCell ref="NKV1:NLE1"/>
    <mergeCell ref="NLF1:NLO1"/>
    <mergeCell ref="NLP1:NLY1"/>
    <mergeCell ref="NID1:NIM1"/>
    <mergeCell ref="NIN1:NIW1"/>
    <mergeCell ref="NIX1:NJG1"/>
    <mergeCell ref="NJH1:NJQ1"/>
    <mergeCell ref="NJR1:NKA1"/>
    <mergeCell ref="NGF1:NGO1"/>
    <mergeCell ref="NGP1:NGY1"/>
    <mergeCell ref="NGZ1:NHI1"/>
    <mergeCell ref="NHJ1:NHS1"/>
    <mergeCell ref="NHT1:NIC1"/>
    <mergeCell ref="NEH1:NEQ1"/>
    <mergeCell ref="NER1:NFA1"/>
    <mergeCell ref="NFB1:NFK1"/>
    <mergeCell ref="NFL1:NFU1"/>
    <mergeCell ref="NFV1:NGE1"/>
    <mergeCell ref="NCJ1:NCS1"/>
    <mergeCell ref="NCT1:NDC1"/>
    <mergeCell ref="NDD1:NDM1"/>
    <mergeCell ref="NDN1:NDW1"/>
    <mergeCell ref="NDX1:NEG1"/>
    <mergeCell ref="NAL1:NAU1"/>
    <mergeCell ref="NAV1:NBE1"/>
    <mergeCell ref="NBF1:NBO1"/>
    <mergeCell ref="NBP1:NBY1"/>
    <mergeCell ref="NBZ1:NCI1"/>
    <mergeCell ref="MYN1:MYW1"/>
    <mergeCell ref="MYX1:MZG1"/>
    <mergeCell ref="MZH1:MZQ1"/>
    <mergeCell ref="MZR1:NAA1"/>
    <mergeCell ref="NAB1:NAK1"/>
    <mergeCell ref="MWP1:MWY1"/>
    <mergeCell ref="MWZ1:MXI1"/>
    <mergeCell ref="MXJ1:MXS1"/>
    <mergeCell ref="MXT1:MYC1"/>
    <mergeCell ref="MYD1:MYM1"/>
    <mergeCell ref="MUR1:MVA1"/>
    <mergeCell ref="MVB1:MVK1"/>
    <mergeCell ref="MVL1:MVU1"/>
    <mergeCell ref="MVV1:MWE1"/>
    <mergeCell ref="MWF1:MWO1"/>
    <mergeCell ref="MST1:MTC1"/>
    <mergeCell ref="MTD1:MTM1"/>
    <mergeCell ref="MTN1:MTW1"/>
    <mergeCell ref="MTX1:MUG1"/>
    <mergeCell ref="MUH1:MUQ1"/>
    <mergeCell ref="MQV1:MRE1"/>
    <mergeCell ref="MRF1:MRO1"/>
    <mergeCell ref="MRP1:MRY1"/>
    <mergeCell ref="MRZ1:MSI1"/>
    <mergeCell ref="MSJ1:MSS1"/>
    <mergeCell ref="MOX1:MPG1"/>
    <mergeCell ref="MPH1:MPQ1"/>
    <mergeCell ref="MPR1:MQA1"/>
    <mergeCell ref="MQB1:MQK1"/>
    <mergeCell ref="MQL1:MQU1"/>
    <mergeCell ref="MMZ1:MNI1"/>
    <mergeCell ref="MNJ1:MNS1"/>
    <mergeCell ref="MNT1:MOC1"/>
    <mergeCell ref="MOD1:MOM1"/>
    <mergeCell ref="MON1:MOW1"/>
    <mergeCell ref="MLB1:MLK1"/>
    <mergeCell ref="MLL1:MLU1"/>
    <mergeCell ref="MLV1:MME1"/>
    <mergeCell ref="MMF1:MMO1"/>
    <mergeCell ref="MMP1:MMY1"/>
    <mergeCell ref="MJD1:MJM1"/>
    <mergeCell ref="MJN1:MJW1"/>
    <mergeCell ref="MJX1:MKG1"/>
    <mergeCell ref="MKH1:MKQ1"/>
    <mergeCell ref="MKR1:MLA1"/>
    <mergeCell ref="MHF1:MHO1"/>
    <mergeCell ref="MHP1:MHY1"/>
    <mergeCell ref="MHZ1:MII1"/>
    <mergeCell ref="MIJ1:MIS1"/>
    <mergeCell ref="MIT1:MJC1"/>
    <mergeCell ref="MFH1:MFQ1"/>
    <mergeCell ref="MFR1:MGA1"/>
    <mergeCell ref="MGB1:MGK1"/>
    <mergeCell ref="MGL1:MGU1"/>
    <mergeCell ref="MGV1:MHE1"/>
    <mergeCell ref="MDJ1:MDS1"/>
    <mergeCell ref="MDT1:MEC1"/>
    <mergeCell ref="MED1:MEM1"/>
    <mergeCell ref="MEN1:MEW1"/>
    <mergeCell ref="MEX1:MFG1"/>
    <mergeCell ref="MBL1:MBU1"/>
    <mergeCell ref="MBV1:MCE1"/>
    <mergeCell ref="MCF1:MCO1"/>
    <mergeCell ref="MCP1:MCY1"/>
    <mergeCell ref="MCZ1:MDI1"/>
    <mergeCell ref="LZN1:LZW1"/>
    <mergeCell ref="LZX1:MAG1"/>
    <mergeCell ref="MAH1:MAQ1"/>
    <mergeCell ref="MAR1:MBA1"/>
    <mergeCell ref="MBB1:MBK1"/>
    <mergeCell ref="LXP1:LXY1"/>
    <mergeCell ref="LXZ1:LYI1"/>
    <mergeCell ref="LYJ1:LYS1"/>
    <mergeCell ref="LYT1:LZC1"/>
    <mergeCell ref="LZD1:LZM1"/>
    <mergeCell ref="LVR1:LWA1"/>
    <mergeCell ref="LWB1:LWK1"/>
    <mergeCell ref="LWL1:LWU1"/>
    <mergeCell ref="LWV1:LXE1"/>
    <mergeCell ref="LXF1:LXO1"/>
    <mergeCell ref="LTT1:LUC1"/>
    <mergeCell ref="LUD1:LUM1"/>
    <mergeCell ref="LUN1:LUW1"/>
    <mergeCell ref="LUX1:LVG1"/>
    <mergeCell ref="LVH1:LVQ1"/>
    <mergeCell ref="LRV1:LSE1"/>
    <mergeCell ref="LSF1:LSO1"/>
    <mergeCell ref="LSP1:LSY1"/>
    <mergeCell ref="LSZ1:LTI1"/>
    <mergeCell ref="LTJ1:LTS1"/>
    <mergeCell ref="LPX1:LQG1"/>
    <mergeCell ref="LQH1:LQQ1"/>
    <mergeCell ref="LQR1:LRA1"/>
    <mergeCell ref="LRB1:LRK1"/>
    <mergeCell ref="LRL1:LRU1"/>
    <mergeCell ref="LNZ1:LOI1"/>
    <mergeCell ref="LOJ1:LOS1"/>
    <mergeCell ref="LOT1:LPC1"/>
    <mergeCell ref="LPD1:LPM1"/>
    <mergeCell ref="LPN1:LPW1"/>
    <mergeCell ref="LMB1:LMK1"/>
    <mergeCell ref="LML1:LMU1"/>
    <mergeCell ref="LMV1:LNE1"/>
    <mergeCell ref="LNF1:LNO1"/>
    <mergeCell ref="LNP1:LNY1"/>
    <mergeCell ref="LKD1:LKM1"/>
    <mergeCell ref="LKN1:LKW1"/>
    <mergeCell ref="LKX1:LLG1"/>
    <mergeCell ref="LLH1:LLQ1"/>
    <mergeCell ref="LLR1:LMA1"/>
    <mergeCell ref="LIF1:LIO1"/>
    <mergeCell ref="LIP1:LIY1"/>
    <mergeCell ref="LIZ1:LJI1"/>
    <mergeCell ref="LJJ1:LJS1"/>
    <mergeCell ref="LJT1:LKC1"/>
    <mergeCell ref="LGH1:LGQ1"/>
    <mergeCell ref="LGR1:LHA1"/>
    <mergeCell ref="LHB1:LHK1"/>
    <mergeCell ref="LHL1:LHU1"/>
    <mergeCell ref="LHV1:LIE1"/>
    <mergeCell ref="LEJ1:LES1"/>
    <mergeCell ref="LET1:LFC1"/>
    <mergeCell ref="LFD1:LFM1"/>
    <mergeCell ref="LFN1:LFW1"/>
    <mergeCell ref="LFX1:LGG1"/>
    <mergeCell ref="LCL1:LCU1"/>
    <mergeCell ref="LCV1:LDE1"/>
    <mergeCell ref="LDF1:LDO1"/>
    <mergeCell ref="LDP1:LDY1"/>
    <mergeCell ref="LDZ1:LEI1"/>
    <mergeCell ref="LAN1:LAW1"/>
    <mergeCell ref="LAX1:LBG1"/>
    <mergeCell ref="LBH1:LBQ1"/>
    <mergeCell ref="LBR1:LCA1"/>
    <mergeCell ref="LCB1:LCK1"/>
    <mergeCell ref="KYP1:KYY1"/>
    <mergeCell ref="KYZ1:KZI1"/>
    <mergeCell ref="KZJ1:KZS1"/>
    <mergeCell ref="KZT1:LAC1"/>
    <mergeCell ref="LAD1:LAM1"/>
    <mergeCell ref="KWR1:KXA1"/>
    <mergeCell ref="KXB1:KXK1"/>
    <mergeCell ref="KXL1:KXU1"/>
    <mergeCell ref="KXV1:KYE1"/>
    <mergeCell ref="KYF1:KYO1"/>
    <mergeCell ref="KUT1:KVC1"/>
    <mergeCell ref="KVD1:KVM1"/>
    <mergeCell ref="KVN1:KVW1"/>
    <mergeCell ref="KVX1:KWG1"/>
    <mergeCell ref="KWH1:KWQ1"/>
    <mergeCell ref="KSV1:KTE1"/>
    <mergeCell ref="KTF1:KTO1"/>
    <mergeCell ref="KTP1:KTY1"/>
    <mergeCell ref="KTZ1:KUI1"/>
    <mergeCell ref="KUJ1:KUS1"/>
    <mergeCell ref="KQX1:KRG1"/>
    <mergeCell ref="KRH1:KRQ1"/>
    <mergeCell ref="KRR1:KSA1"/>
    <mergeCell ref="KSB1:KSK1"/>
    <mergeCell ref="KSL1:KSU1"/>
    <mergeCell ref="KOZ1:KPI1"/>
    <mergeCell ref="KPJ1:KPS1"/>
    <mergeCell ref="KPT1:KQC1"/>
    <mergeCell ref="KQD1:KQM1"/>
    <mergeCell ref="KQN1:KQW1"/>
    <mergeCell ref="KNB1:KNK1"/>
    <mergeCell ref="KNL1:KNU1"/>
    <mergeCell ref="KNV1:KOE1"/>
    <mergeCell ref="KOF1:KOO1"/>
    <mergeCell ref="KOP1:KOY1"/>
    <mergeCell ref="KLD1:KLM1"/>
    <mergeCell ref="KLN1:KLW1"/>
    <mergeCell ref="KLX1:KMG1"/>
    <mergeCell ref="KMH1:KMQ1"/>
    <mergeCell ref="KMR1:KNA1"/>
    <mergeCell ref="KJF1:KJO1"/>
    <mergeCell ref="KJP1:KJY1"/>
    <mergeCell ref="KJZ1:KKI1"/>
    <mergeCell ref="KKJ1:KKS1"/>
    <mergeCell ref="KKT1:KLC1"/>
    <mergeCell ref="KHH1:KHQ1"/>
    <mergeCell ref="KHR1:KIA1"/>
    <mergeCell ref="KIB1:KIK1"/>
    <mergeCell ref="KIL1:KIU1"/>
    <mergeCell ref="KIV1:KJE1"/>
    <mergeCell ref="KFJ1:KFS1"/>
    <mergeCell ref="KFT1:KGC1"/>
    <mergeCell ref="KGD1:KGM1"/>
    <mergeCell ref="KGN1:KGW1"/>
    <mergeCell ref="KGX1:KHG1"/>
    <mergeCell ref="KDL1:KDU1"/>
    <mergeCell ref="KDV1:KEE1"/>
    <mergeCell ref="KEF1:KEO1"/>
    <mergeCell ref="KEP1:KEY1"/>
    <mergeCell ref="KEZ1:KFI1"/>
    <mergeCell ref="KBN1:KBW1"/>
    <mergeCell ref="KBX1:KCG1"/>
    <mergeCell ref="KCH1:KCQ1"/>
    <mergeCell ref="KCR1:KDA1"/>
    <mergeCell ref="KDB1:KDK1"/>
    <mergeCell ref="JZP1:JZY1"/>
    <mergeCell ref="JZZ1:KAI1"/>
    <mergeCell ref="KAJ1:KAS1"/>
    <mergeCell ref="KAT1:KBC1"/>
    <mergeCell ref="KBD1:KBM1"/>
    <mergeCell ref="JXR1:JYA1"/>
    <mergeCell ref="JYB1:JYK1"/>
    <mergeCell ref="JYL1:JYU1"/>
    <mergeCell ref="JYV1:JZE1"/>
    <mergeCell ref="JZF1:JZO1"/>
    <mergeCell ref="JVT1:JWC1"/>
    <mergeCell ref="JWD1:JWM1"/>
    <mergeCell ref="JWN1:JWW1"/>
    <mergeCell ref="JWX1:JXG1"/>
    <mergeCell ref="JXH1:JXQ1"/>
    <mergeCell ref="JTV1:JUE1"/>
    <mergeCell ref="JUF1:JUO1"/>
    <mergeCell ref="JUP1:JUY1"/>
    <mergeCell ref="JUZ1:JVI1"/>
    <mergeCell ref="JVJ1:JVS1"/>
    <mergeCell ref="JRX1:JSG1"/>
    <mergeCell ref="JSH1:JSQ1"/>
    <mergeCell ref="JSR1:JTA1"/>
    <mergeCell ref="JTB1:JTK1"/>
    <mergeCell ref="JTL1:JTU1"/>
    <mergeCell ref="JPZ1:JQI1"/>
    <mergeCell ref="JQJ1:JQS1"/>
    <mergeCell ref="JQT1:JRC1"/>
    <mergeCell ref="JRD1:JRM1"/>
    <mergeCell ref="JRN1:JRW1"/>
    <mergeCell ref="JOB1:JOK1"/>
    <mergeCell ref="JOL1:JOU1"/>
    <mergeCell ref="JOV1:JPE1"/>
    <mergeCell ref="JPF1:JPO1"/>
    <mergeCell ref="JPP1:JPY1"/>
    <mergeCell ref="JMD1:JMM1"/>
    <mergeCell ref="JMN1:JMW1"/>
    <mergeCell ref="JMX1:JNG1"/>
    <mergeCell ref="JNH1:JNQ1"/>
    <mergeCell ref="JNR1:JOA1"/>
    <mergeCell ref="JKF1:JKO1"/>
    <mergeCell ref="JKP1:JKY1"/>
    <mergeCell ref="JKZ1:JLI1"/>
    <mergeCell ref="JLJ1:JLS1"/>
    <mergeCell ref="JLT1:JMC1"/>
    <mergeCell ref="JIH1:JIQ1"/>
    <mergeCell ref="JIR1:JJA1"/>
    <mergeCell ref="JJB1:JJK1"/>
    <mergeCell ref="JJL1:JJU1"/>
    <mergeCell ref="JJV1:JKE1"/>
    <mergeCell ref="JGJ1:JGS1"/>
    <mergeCell ref="JGT1:JHC1"/>
    <mergeCell ref="JHD1:JHM1"/>
    <mergeCell ref="JHN1:JHW1"/>
    <mergeCell ref="JHX1:JIG1"/>
    <mergeCell ref="JEL1:JEU1"/>
    <mergeCell ref="JEV1:JFE1"/>
    <mergeCell ref="JFF1:JFO1"/>
    <mergeCell ref="JFP1:JFY1"/>
    <mergeCell ref="JFZ1:JGI1"/>
    <mergeCell ref="JCN1:JCW1"/>
    <mergeCell ref="JCX1:JDG1"/>
    <mergeCell ref="JDH1:JDQ1"/>
    <mergeCell ref="JDR1:JEA1"/>
    <mergeCell ref="JEB1:JEK1"/>
    <mergeCell ref="JAP1:JAY1"/>
    <mergeCell ref="JAZ1:JBI1"/>
    <mergeCell ref="JBJ1:JBS1"/>
    <mergeCell ref="JBT1:JCC1"/>
    <mergeCell ref="JCD1:JCM1"/>
    <mergeCell ref="IYR1:IZA1"/>
    <mergeCell ref="IZB1:IZK1"/>
    <mergeCell ref="IZL1:IZU1"/>
    <mergeCell ref="IZV1:JAE1"/>
    <mergeCell ref="JAF1:JAO1"/>
    <mergeCell ref="IWT1:IXC1"/>
    <mergeCell ref="IXD1:IXM1"/>
    <mergeCell ref="IXN1:IXW1"/>
    <mergeCell ref="IXX1:IYG1"/>
    <mergeCell ref="IYH1:IYQ1"/>
    <mergeCell ref="IUV1:IVE1"/>
    <mergeCell ref="IVF1:IVO1"/>
    <mergeCell ref="IVP1:IVY1"/>
    <mergeCell ref="IVZ1:IWI1"/>
    <mergeCell ref="IWJ1:IWS1"/>
    <mergeCell ref="ISX1:ITG1"/>
    <mergeCell ref="ITH1:ITQ1"/>
    <mergeCell ref="ITR1:IUA1"/>
    <mergeCell ref="IUB1:IUK1"/>
    <mergeCell ref="IUL1:IUU1"/>
    <mergeCell ref="IQZ1:IRI1"/>
    <mergeCell ref="IRJ1:IRS1"/>
    <mergeCell ref="IRT1:ISC1"/>
    <mergeCell ref="ISD1:ISM1"/>
    <mergeCell ref="ISN1:ISW1"/>
    <mergeCell ref="IPB1:IPK1"/>
    <mergeCell ref="IPL1:IPU1"/>
    <mergeCell ref="IPV1:IQE1"/>
    <mergeCell ref="IQF1:IQO1"/>
    <mergeCell ref="IQP1:IQY1"/>
    <mergeCell ref="IND1:INM1"/>
    <mergeCell ref="INN1:INW1"/>
    <mergeCell ref="INX1:IOG1"/>
    <mergeCell ref="IOH1:IOQ1"/>
    <mergeCell ref="IOR1:IPA1"/>
    <mergeCell ref="ILF1:ILO1"/>
    <mergeCell ref="ILP1:ILY1"/>
    <mergeCell ref="ILZ1:IMI1"/>
    <mergeCell ref="IMJ1:IMS1"/>
    <mergeCell ref="IMT1:INC1"/>
    <mergeCell ref="IJH1:IJQ1"/>
    <mergeCell ref="IJR1:IKA1"/>
    <mergeCell ref="IKB1:IKK1"/>
    <mergeCell ref="IKL1:IKU1"/>
    <mergeCell ref="IKV1:ILE1"/>
    <mergeCell ref="IHJ1:IHS1"/>
    <mergeCell ref="IHT1:IIC1"/>
    <mergeCell ref="IID1:IIM1"/>
    <mergeCell ref="IIN1:IIW1"/>
    <mergeCell ref="IIX1:IJG1"/>
    <mergeCell ref="IFL1:IFU1"/>
    <mergeCell ref="IFV1:IGE1"/>
    <mergeCell ref="IGF1:IGO1"/>
    <mergeCell ref="IGP1:IGY1"/>
    <mergeCell ref="IGZ1:IHI1"/>
    <mergeCell ref="IDN1:IDW1"/>
    <mergeCell ref="IDX1:IEG1"/>
    <mergeCell ref="IEH1:IEQ1"/>
    <mergeCell ref="IER1:IFA1"/>
    <mergeCell ref="IFB1:IFK1"/>
    <mergeCell ref="IBP1:IBY1"/>
    <mergeCell ref="IBZ1:ICI1"/>
    <mergeCell ref="ICJ1:ICS1"/>
    <mergeCell ref="ICT1:IDC1"/>
    <mergeCell ref="IDD1:IDM1"/>
    <mergeCell ref="HZR1:IAA1"/>
    <mergeCell ref="IAB1:IAK1"/>
    <mergeCell ref="IAL1:IAU1"/>
    <mergeCell ref="IAV1:IBE1"/>
    <mergeCell ref="IBF1:IBO1"/>
    <mergeCell ref="HXT1:HYC1"/>
    <mergeCell ref="HYD1:HYM1"/>
    <mergeCell ref="HYN1:HYW1"/>
    <mergeCell ref="HYX1:HZG1"/>
    <mergeCell ref="HZH1:HZQ1"/>
    <mergeCell ref="HVV1:HWE1"/>
    <mergeCell ref="HWF1:HWO1"/>
    <mergeCell ref="HWP1:HWY1"/>
    <mergeCell ref="HWZ1:HXI1"/>
    <mergeCell ref="HXJ1:HXS1"/>
    <mergeCell ref="HTX1:HUG1"/>
    <mergeCell ref="HUH1:HUQ1"/>
    <mergeCell ref="HUR1:HVA1"/>
    <mergeCell ref="HVB1:HVK1"/>
    <mergeCell ref="HVL1:HVU1"/>
    <mergeCell ref="HRZ1:HSI1"/>
    <mergeCell ref="HSJ1:HSS1"/>
    <mergeCell ref="HST1:HTC1"/>
    <mergeCell ref="HTD1:HTM1"/>
    <mergeCell ref="HTN1:HTW1"/>
    <mergeCell ref="HQB1:HQK1"/>
    <mergeCell ref="HQL1:HQU1"/>
    <mergeCell ref="HQV1:HRE1"/>
    <mergeCell ref="HRF1:HRO1"/>
    <mergeCell ref="HRP1:HRY1"/>
    <mergeCell ref="HOD1:HOM1"/>
    <mergeCell ref="HON1:HOW1"/>
    <mergeCell ref="HOX1:HPG1"/>
    <mergeCell ref="HPH1:HPQ1"/>
    <mergeCell ref="HPR1:HQA1"/>
    <mergeCell ref="HMF1:HMO1"/>
    <mergeCell ref="HMP1:HMY1"/>
    <mergeCell ref="HMZ1:HNI1"/>
    <mergeCell ref="HNJ1:HNS1"/>
    <mergeCell ref="HNT1:HOC1"/>
    <mergeCell ref="HKH1:HKQ1"/>
    <mergeCell ref="HKR1:HLA1"/>
    <mergeCell ref="HLB1:HLK1"/>
    <mergeCell ref="HLL1:HLU1"/>
    <mergeCell ref="HLV1:HME1"/>
    <mergeCell ref="HIJ1:HIS1"/>
    <mergeCell ref="HIT1:HJC1"/>
    <mergeCell ref="HJD1:HJM1"/>
    <mergeCell ref="HJN1:HJW1"/>
    <mergeCell ref="HJX1:HKG1"/>
    <mergeCell ref="HGL1:HGU1"/>
    <mergeCell ref="HGV1:HHE1"/>
    <mergeCell ref="HHF1:HHO1"/>
    <mergeCell ref="HHP1:HHY1"/>
    <mergeCell ref="HHZ1:HII1"/>
    <mergeCell ref="HEN1:HEW1"/>
    <mergeCell ref="HEX1:HFG1"/>
    <mergeCell ref="HFH1:HFQ1"/>
    <mergeCell ref="HFR1:HGA1"/>
    <mergeCell ref="HGB1:HGK1"/>
    <mergeCell ref="HCP1:HCY1"/>
    <mergeCell ref="HCZ1:HDI1"/>
    <mergeCell ref="HDJ1:HDS1"/>
    <mergeCell ref="HDT1:HEC1"/>
    <mergeCell ref="HED1:HEM1"/>
    <mergeCell ref="HAR1:HBA1"/>
    <mergeCell ref="HBB1:HBK1"/>
    <mergeCell ref="HBL1:HBU1"/>
    <mergeCell ref="HBV1:HCE1"/>
    <mergeCell ref="HCF1:HCO1"/>
    <mergeCell ref="GYT1:GZC1"/>
    <mergeCell ref="GZD1:GZM1"/>
    <mergeCell ref="GZN1:GZW1"/>
    <mergeCell ref="GZX1:HAG1"/>
    <mergeCell ref="HAH1:HAQ1"/>
    <mergeCell ref="GWV1:GXE1"/>
    <mergeCell ref="GXF1:GXO1"/>
    <mergeCell ref="GXP1:GXY1"/>
    <mergeCell ref="GXZ1:GYI1"/>
    <mergeCell ref="GYJ1:GYS1"/>
    <mergeCell ref="GUX1:GVG1"/>
    <mergeCell ref="GVH1:GVQ1"/>
    <mergeCell ref="GVR1:GWA1"/>
    <mergeCell ref="GWB1:GWK1"/>
    <mergeCell ref="GWL1:GWU1"/>
    <mergeCell ref="GSZ1:GTI1"/>
    <mergeCell ref="GTJ1:GTS1"/>
    <mergeCell ref="GTT1:GUC1"/>
    <mergeCell ref="GUD1:GUM1"/>
    <mergeCell ref="GUN1:GUW1"/>
    <mergeCell ref="GRB1:GRK1"/>
    <mergeCell ref="GRL1:GRU1"/>
    <mergeCell ref="GRV1:GSE1"/>
    <mergeCell ref="GSF1:GSO1"/>
    <mergeCell ref="GSP1:GSY1"/>
    <mergeCell ref="GPD1:GPM1"/>
    <mergeCell ref="GPN1:GPW1"/>
    <mergeCell ref="GPX1:GQG1"/>
    <mergeCell ref="GQH1:GQQ1"/>
    <mergeCell ref="GQR1:GRA1"/>
    <mergeCell ref="GNF1:GNO1"/>
    <mergeCell ref="GNP1:GNY1"/>
    <mergeCell ref="GNZ1:GOI1"/>
    <mergeCell ref="GOJ1:GOS1"/>
    <mergeCell ref="GOT1:GPC1"/>
    <mergeCell ref="GLH1:GLQ1"/>
    <mergeCell ref="GLR1:GMA1"/>
    <mergeCell ref="GMB1:GMK1"/>
    <mergeCell ref="GML1:GMU1"/>
    <mergeCell ref="GMV1:GNE1"/>
    <mergeCell ref="GJJ1:GJS1"/>
    <mergeCell ref="GJT1:GKC1"/>
    <mergeCell ref="GKD1:GKM1"/>
    <mergeCell ref="GKN1:GKW1"/>
    <mergeCell ref="GKX1:GLG1"/>
    <mergeCell ref="GHL1:GHU1"/>
    <mergeCell ref="GHV1:GIE1"/>
    <mergeCell ref="GIF1:GIO1"/>
    <mergeCell ref="GIP1:GIY1"/>
    <mergeCell ref="GIZ1:GJI1"/>
    <mergeCell ref="GFN1:GFW1"/>
    <mergeCell ref="GFX1:GGG1"/>
    <mergeCell ref="GGH1:GGQ1"/>
    <mergeCell ref="GGR1:GHA1"/>
    <mergeCell ref="GHB1:GHK1"/>
    <mergeCell ref="GDP1:GDY1"/>
    <mergeCell ref="GDZ1:GEI1"/>
    <mergeCell ref="GEJ1:GES1"/>
    <mergeCell ref="GET1:GFC1"/>
    <mergeCell ref="GFD1:GFM1"/>
    <mergeCell ref="GBR1:GCA1"/>
    <mergeCell ref="GCB1:GCK1"/>
    <mergeCell ref="GCL1:GCU1"/>
    <mergeCell ref="GCV1:GDE1"/>
    <mergeCell ref="GDF1:GDO1"/>
    <mergeCell ref="FZT1:GAC1"/>
    <mergeCell ref="GAD1:GAM1"/>
    <mergeCell ref="GAN1:GAW1"/>
    <mergeCell ref="GAX1:GBG1"/>
    <mergeCell ref="GBH1:GBQ1"/>
    <mergeCell ref="FXV1:FYE1"/>
    <mergeCell ref="FYF1:FYO1"/>
    <mergeCell ref="FYP1:FYY1"/>
    <mergeCell ref="FYZ1:FZI1"/>
    <mergeCell ref="FZJ1:FZS1"/>
    <mergeCell ref="FVX1:FWG1"/>
    <mergeCell ref="FWH1:FWQ1"/>
    <mergeCell ref="FWR1:FXA1"/>
    <mergeCell ref="FXB1:FXK1"/>
    <mergeCell ref="FXL1:FXU1"/>
    <mergeCell ref="FTZ1:FUI1"/>
    <mergeCell ref="FUJ1:FUS1"/>
    <mergeCell ref="FUT1:FVC1"/>
    <mergeCell ref="FVD1:FVM1"/>
    <mergeCell ref="FVN1:FVW1"/>
    <mergeCell ref="FSB1:FSK1"/>
    <mergeCell ref="FSL1:FSU1"/>
    <mergeCell ref="FSV1:FTE1"/>
    <mergeCell ref="FTF1:FTO1"/>
    <mergeCell ref="FTP1:FTY1"/>
    <mergeCell ref="FQD1:FQM1"/>
    <mergeCell ref="FQN1:FQW1"/>
    <mergeCell ref="FQX1:FRG1"/>
    <mergeCell ref="FRH1:FRQ1"/>
    <mergeCell ref="FRR1:FSA1"/>
    <mergeCell ref="FOF1:FOO1"/>
    <mergeCell ref="FOP1:FOY1"/>
    <mergeCell ref="FOZ1:FPI1"/>
    <mergeCell ref="FPJ1:FPS1"/>
    <mergeCell ref="FPT1:FQC1"/>
    <mergeCell ref="FMH1:FMQ1"/>
    <mergeCell ref="FMR1:FNA1"/>
    <mergeCell ref="FNB1:FNK1"/>
    <mergeCell ref="FNL1:FNU1"/>
    <mergeCell ref="FNV1:FOE1"/>
    <mergeCell ref="FKJ1:FKS1"/>
    <mergeCell ref="FKT1:FLC1"/>
    <mergeCell ref="FLD1:FLM1"/>
    <mergeCell ref="FLN1:FLW1"/>
    <mergeCell ref="FLX1:FMG1"/>
    <mergeCell ref="FIL1:FIU1"/>
    <mergeCell ref="FIV1:FJE1"/>
    <mergeCell ref="FJF1:FJO1"/>
    <mergeCell ref="FJP1:FJY1"/>
    <mergeCell ref="FJZ1:FKI1"/>
    <mergeCell ref="FGN1:FGW1"/>
    <mergeCell ref="FGX1:FHG1"/>
    <mergeCell ref="FHH1:FHQ1"/>
    <mergeCell ref="FHR1:FIA1"/>
    <mergeCell ref="FIB1:FIK1"/>
    <mergeCell ref="FEP1:FEY1"/>
    <mergeCell ref="FEZ1:FFI1"/>
    <mergeCell ref="FFJ1:FFS1"/>
    <mergeCell ref="FFT1:FGC1"/>
    <mergeCell ref="FGD1:FGM1"/>
    <mergeCell ref="FCR1:FDA1"/>
    <mergeCell ref="FDB1:FDK1"/>
    <mergeCell ref="FDL1:FDU1"/>
    <mergeCell ref="FDV1:FEE1"/>
    <mergeCell ref="FEF1:FEO1"/>
    <mergeCell ref="FAT1:FBC1"/>
    <mergeCell ref="FBD1:FBM1"/>
    <mergeCell ref="FBN1:FBW1"/>
    <mergeCell ref="FBX1:FCG1"/>
    <mergeCell ref="FCH1:FCQ1"/>
    <mergeCell ref="EYV1:EZE1"/>
    <mergeCell ref="EZF1:EZO1"/>
    <mergeCell ref="EZP1:EZY1"/>
    <mergeCell ref="EZZ1:FAI1"/>
    <mergeCell ref="FAJ1:FAS1"/>
    <mergeCell ref="EWX1:EXG1"/>
    <mergeCell ref="EXH1:EXQ1"/>
    <mergeCell ref="EXR1:EYA1"/>
    <mergeCell ref="EYB1:EYK1"/>
    <mergeCell ref="EYL1:EYU1"/>
    <mergeCell ref="EUZ1:EVI1"/>
    <mergeCell ref="EVJ1:EVS1"/>
    <mergeCell ref="EVT1:EWC1"/>
    <mergeCell ref="EWD1:EWM1"/>
    <mergeCell ref="EWN1:EWW1"/>
    <mergeCell ref="ETB1:ETK1"/>
    <mergeCell ref="ETL1:ETU1"/>
    <mergeCell ref="ETV1:EUE1"/>
    <mergeCell ref="EUF1:EUO1"/>
    <mergeCell ref="EUP1:EUY1"/>
    <mergeCell ref="ERD1:ERM1"/>
    <mergeCell ref="ERN1:ERW1"/>
    <mergeCell ref="ERX1:ESG1"/>
    <mergeCell ref="ESH1:ESQ1"/>
    <mergeCell ref="ESR1:ETA1"/>
    <mergeCell ref="EPF1:EPO1"/>
    <mergeCell ref="EPP1:EPY1"/>
    <mergeCell ref="EPZ1:EQI1"/>
    <mergeCell ref="EQJ1:EQS1"/>
    <mergeCell ref="EQT1:ERC1"/>
    <mergeCell ref="ENH1:ENQ1"/>
    <mergeCell ref="ENR1:EOA1"/>
    <mergeCell ref="EOB1:EOK1"/>
    <mergeCell ref="EOL1:EOU1"/>
    <mergeCell ref="EOV1:EPE1"/>
    <mergeCell ref="ELJ1:ELS1"/>
    <mergeCell ref="ELT1:EMC1"/>
    <mergeCell ref="EMD1:EMM1"/>
    <mergeCell ref="EMN1:EMW1"/>
    <mergeCell ref="EMX1:ENG1"/>
    <mergeCell ref="EJL1:EJU1"/>
    <mergeCell ref="EJV1:EKE1"/>
    <mergeCell ref="EKF1:EKO1"/>
    <mergeCell ref="EKP1:EKY1"/>
    <mergeCell ref="EKZ1:ELI1"/>
    <mergeCell ref="EHN1:EHW1"/>
    <mergeCell ref="EHX1:EIG1"/>
    <mergeCell ref="EIH1:EIQ1"/>
    <mergeCell ref="EIR1:EJA1"/>
    <mergeCell ref="EJB1:EJK1"/>
    <mergeCell ref="EFP1:EFY1"/>
    <mergeCell ref="EFZ1:EGI1"/>
    <mergeCell ref="EGJ1:EGS1"/>
    <mergeCell ref="EGT1:EHC1"/>
    <mergeCell ref="EHD1:EHM1"/>
    <mergeCell ref="EDR1:EEA1"/>
    <mergeCell ref="EEB1:EEK1"/>
    <mergeCell ref="EEL1:EEU1"/>
    <mergeCell ref="EEV1:EFE1"/>
    <mergeCell ref="EFF1:EFO1"/>
    <mergeCell ref="EBT1:ECC1"/>
    <mergeCell ref="ECD1:ECM1"/>
    <mergeCell ref="ECN1:ECW1"/>
    <mergeCell ref="ECX1:EDG1"/>
    <mergeCell ref="EDH1:EDQ1"/>
    <mergeCell ref="DZV1:EAE1"/>
    <mergeCell ref="EAF1:EAO1"/>
    <mergeCell ref="EAP1:EAY1"/>
    <mergeCell ref="EAZ1:EBI1"/>
    <mergeCell ref="EBJ1:EBS1"/>
    <mergeCell ref="DXX1:DYG1"/>
    <mergeCell ref="DYH1:DYQ1"/>
    <mergeCell ref="DYR1:DZA1"/>
    <mergeCell ref="DZB1:DZK1"/>
    <mergeCell ref="DZL1:DZU1"/>
    <mergeCell ref="DVZ1:DWI1"/>
    <mergeCell ref="DWJ1:DWS1"/>
    <mergeCell ref="DWT1:DXC1"/>
    <mergeCell ref="DXD1:DXM1"/>
    <mergeCell ref="DXN1:DXW1"/>
    <mergeCell ref="DUB1:DUK1"/>
    <mergeCell ref="DUL1:DUU1"/>
    <mergeCell ref="DUV1:DVE1"/>
    <mergeCell ref="DVF1:DVO1"/>
    <mergeCell ref="DVP1:DVY1"/>
    <mergeCell ref="DSD1:DSM1"/>
    <mergeCell ref="DSN1:DSW1"/>
    <mergeCell ref="DSX1:DTG1"/>
    <mergeCell ref="DTH1:DTQ1"/>
    <mergeCell ref="DTR1:DUA1"/>
    <mergeCell ref="DQF1:DQO1"/>
    <mergeCell ref="DQP1:DQY1"/>
    <mergeCell ref="DQZ1:DRI1"/>
    <mergeCell ref="DRJ1:DRS1"/>
    <mergeCell ref="DRT1:DSC1"/>
    <mergeCell ref="DOH1:DOQ1"/>
    <mergeCell ref="DOR1:DPA1"/>
    <mergeCell ref="DPB1:DPK1"/>
    <mergeCell ref="DPL1:DPU1"/>
    <mergeCell ref="DPV1:DQE1"/>
    <mergeCell ref="DMJ1:DMS1"/>
    <mergeCell ref="DMT1:DNC1"/>
    <mergeCell ref="DND1:DNM1"/>
    <mergeCell ref="DNN1:DNW1"/>
    <mergeCell ref="DNX1:DOG1"/>
    <mergeCell ref="DKL1:DKU1"/>
    <mergeCell ref="DKV1:DLE1"/>
    <mergeCell ref="DLF1:DLO1"/>
    <mergeCell ref="DLP1:DLY1"/>
    <mergeCell ref="DLZ1:DMI1"/>
    <mergeCell ref="DIN1:DIW1"/>
    <mergeCell ref="DIX1:DJG1"/>
    <mergeCell ref="DJH1:DJQ1"/>
    <mergeCell ref="DJR1:DKA1"/>
    <mergeCell ref="DKB1:DKK1"/>
    <mergeCell ref="DGP1:DGY1"/>
    <mergeCell ref="DGZ1:DHI1"/>
    <mergeCell ref="DHJ1:DHS1"/>
    <mergeCell ref="DHT1:DIC1"/>
    <mergeCell ref="DID1:DIM1"/>
    <mergeCell ref="DER1:DFA1"/>
    <mergeCell ref="DFB1:DFK1"/>
    <mergeCell ref="DFL1:DFU1"/>
    <mergeCell ref="DFV1:DGE1"/>
    <mergeCell ref="DGF1:DGO1"/>
    <mergeCell ref="DCT1:DDC1"/>
    <mergeCell ref="DDD1:DDM1"/>
    <mergeCell ref="DDN1:DDW1"/>
    <mergeCell ref="DDX1:DEG1"/>
    <mergeCell ref="DEH1:DEQ1"/>
    <mergeCell ref="DAV1:DBE1"/>
    <mergeCell ref="DBF1:DBO1"/>
    <mergeCell ref="DBP1:DBY1"/>
    <mergeCell ref="DBZ1:DCI1"/>
    <mergeCell ref="DCJ1:DCS1"/>
    <mergeCell ref="CYX1:CZG1"/>
    <mergeCell ref="CZH1:CZQ1"/>
    <mergeCell ref="CZR1:DAA1"/>
    <mergeCell ref="DAB1:DAK1"/>
    <mergeCell ref="DAL1:DAU1"/>
    <mergeCell ref="CWZ1:CXI1"/>
    <mergeCell ref="CXJ1:CXS1"/>
    <mergeCell ref="CXT1:CYC1"/>
    <mergeCell ref="CYD1:CYM1"/>
    <mergeCell ref="CYN1:CYW1"/>
    <mergeCell ref="CVB1:CVK1"/>
    <mergeCell ref="CVL1:CVU1"/>
    <mergeCell ref="CVV1:CWE1"/>
    <mergeCell ref="CWF1:CWO1"/>
    <mergeCell ref="CWP1:CWY1"/>
    <mergeCell ref="CTD1:CTM1"/>
    <mergeCell ref="CTN1:CTW1"/>
    <mergeCell ref="CTX1:CUG1"/>
    <mergeCell ref="CUH1:CUQ1"/>
    <mergeCell ref="CUR1:CVA1"/>
    <mergeCell ref="CRF1:CRO1"/>
    <mergeCell ref="CRP1:CRY1"/>
    <mergeCell ref="CRZ1:CSI1"/>
    <mergeCell ref="CSJ1:CSS1"/>
    <mergeCell ref="CST1:CTC1"/>
    <mergeCell ref="CPH1:CPQ1"/>
    <mergeCell ref="CPR1:CQA1"/>
    <mergeCell ref="CQB1:CQK1"/>
    <mergeCell ref="CQL1:CQU1"/>
    <mergeCell ref="CQV1:CRE1"/>
    <mergeCell ref="CNJ1:CNS1"/>
    <mergeCell ref="CNT1:COC1"/>
    <mergeCell ref="COD1:COM1"/>
    <mergeCell ref="CON1:COW1"/>
    <mergeCell ref="COX1:CPG1"/>
    <mergeCell ref="CLL1:CLU1"/>
    <mergeCell ref="CLV1:CME1"/>
    <mergeCell ref="CMF1:CMO1"/>
    <mergeCell ref="CMP1:CMY1"/>
    <mergeCell ref="CMZ1:CNI1"/>
    <mergeCell ref="CJN1:CJW1"/>
    <mergeCell ref="CJX1:CKG1"/>
    <mergeCell ref="CKH1:CKQ1"/>
    <mergeCell ref="CKR1:CLA1"/>
    <mergeCell ref="CLB1:CLK1"/>
    <mergeCell ref="CHP1:CHY1"/>
    <mergeCell ref="CHZ1:CII1"/>
    <mergeCell ref="CIJ1:CIS1"/>
    <mergeCell ref="CIT1:CJC1"/>
    <mergeCell ref="CJD1:CJM1"/>
    <mergeCell ref="CFR1:CGA1"/>
    <mergeCell ref="CGB1:CGK1"/>
    <mergeCell ref="CGL1:CGU1"/>
    <mergeCell ref="CGV1:CHE1"/>
    <mergeCell ref="CHF1:CHO1"/>
    <mergeCell ref="CDT1:CEC1"/>
    <mergeCell ref="CED1:CEM1"/>
    <mergeCell ref="CEN1:CEW1"/>
    <mergeCell ref="CEX1:CFG1"/>
    <mergeCell ref="CFH1:CFQ1"/>
    <mergeCell ref="CBV1:CCE1"/>
    <mergeCell ref="CCF1:CCO1"/>
    <mergeCell ref="CCP1:CCY1"/>
    <mergeCell ref="CCZ1:CDI1"/>
    <mergeCell ref="CDJ1:CDS1"/>
    <mergeCell ref="BZX1:CAG1"/>
    <mergeCell ref="CAH1:CAQ1"/>
    <mergeCell ref="CAR1:CBA1"/>
    <mergeCell ref="CBB1:CBK1"/>
    <mergeCell ref="CBL1:CBU1"/>
    <mergeCell ref="BXZ1:BYI1"/>
    <mergeCell ref="BYJ1:BYS1"/>
    <mergeCell ref="BYT1:BZC1"/>
    <mergeCell ref="BZD1:BZM1"/>
    <mergeCell ref="BZN1:BZW1"/>
    <mergeCell ref="BWB1:BWK1"/>
    <mergeCell ref="BWL1:BWU1"/>
    <mergeCell ref="BWV1:BXE1"/>
    <mergeCell ref="BXF1:BXO1"/>
    <mergeCell ref="BXP1:BXY1"/>
    <mergeCell ref="BUD1:BUM1"/>
    <mergeCell ref="BUN1:BUW1"/>
    <mergeCell ref="BUX1:BVG1"/>
    <mergeCell ref="BVH1:BVQ1"/>
    <mergeCell ref="BVR1:BWA1"/>
    <mergeCell ref="BSF1:BSO1"/>
    <mergeCell ref="BSP1:BSY1"/>
    <mergeCell ref="BSZ1:BTI1"/>
    <mergeCell ref="BTJ1:BTS1"/>
    <mergeCell ref="BTT1:BUC1"/>
    <mergeCell ref="BQH1:BQQ1"/>
    <mergeCell ref="BQR1:BRA1"/>
    <mergeCell ref="BRB1:BRK1"/>
    <mergeCell ref="BRL1:BRU1"/>
    <mergeCell ref="BRV1:BSE1"/>
    <mergeCell ref="BOJ1:BOS1"/>
    <mergeCell ref="BOT1:BPC1"/>
    <mergeCell ref="BPD1:BPM1"/>
    <mergeCell ref="BPN1:BPW1"/>
    <mergeCell ref="BPX1:BQG1"/>
    <mergeCell ref="BML1:BMU1"/>
    <mergeCell ref="BMV1:BNE1"/>
    <mergeCell ref="BNF1:BNO1"/>
    <mergeCell ref="BNP1:BNY1"/>
    <mergeCell ref="BNZ1:BOI1"/>
    <mergeCell ref="BKN1:BKW1"/>
    <mergeCell ref="BKX1:BLG1"/>
    <mergeCell ref="BLH1:BLQ1"/>
    <mergeCell ref="BLR1:BMA1"/>
    <mergeCell ref="BMB1:BMK1"/>
    <mergeCell ref="BIP1:BIY1"/>
    <mergeCell ref="BIZ1:BJI1"/>
    <mergeCell ref="BJJ1:BJS1"/>
    <mergeCell ref="BJT1:BKC1"/>
    <mergeCell ref="BKD1:BKM1"/>
    <mergeCell ref="BGR1:BHA1"/>
    <mergeCell ref="BHB1:BHK1"/>
    <mergeCell ref="BHL1:BHU1"/>
    <mergeCell ref="BHV1:BIE1"/>
    <mergeCell ref="BIF1:BIO1"/>
    <mergeCell ref="BET1:BFC1"/>
    <mergeCell ref="BFD1:BFM1"/>
    <mergeCell ref="BFN1:BFW1"/>
    <mergeCell ref="BFX1:BGG1"/>
    <mergeCell ref="BGH1:BGQ1"/>
    <mergeCell ref="BCV1:BDE1"/>
    <mergeCell ref="BDF1:BDO1"/>
    <mergeCell ref="BDP1:BDY1"/>
    <mergeCell ref="BDZ1:BEI1"/>
    <mergeCell ref="BEJ1:BES1"/>
    <mergeCell ref="BAX1:BBG1"/>
    <mergeCell ref="BBH1:BBQ1"/>
    <mergeCell ref="BBR1:BCA1"/>
    <mergeCell ref="BCB1:BCK1"/>
    <mergeCell ref="BCL1:BCU1"/>
    <mergeCell ref="AYZ1:AZI1"/>
    <mergeCell ref="AZJ1:AZS1"/>
    <mergeCell ref="AZT1:BAC1"/>
    <mergeCell ref="BAD1:BAM1"/>
    <mergeCell ref="BAN1:BAW1"/>
    <mergeCell ref="AXB1:AXK1"/>
    <mergeCell ref="AXL1:AXU1"/>
    <mergeCell ref="AXV1:AYE1"/>
    <mergeCell ref="AYF1:AYO1"/>
    <mergeCell ref="AYP1:AYY1"/>
    <mergeCell ref="AVD1:AVM1"/>
    <mergeCell ref="AVN1:AVW1"/>
    <mergeCell ref="AVX1:AWG1"/>
    <mergeCell ref="AWH1:AWQ1"/>
    <mergeCell ref="AWR1:AXA1"/>
    <mergeCell ref="ATF1:ATO1"/>
    <mergeCell ref="ATP1:ATY1"/>
    <mergeCell ref="ATZ1:AUI1"/>
    <mergeCell ref="AUJ1:AUS1"/>
    <mergeCell ref="AUT1:AVC1"/>
    <mergeCell ref="ARH1:ARQ1"/>
    <mergeCell ref="ARR1:ASA1"/>
    <mergeCell ref="ASB1:ASK1"/>
    <mergeCell ref="ASL1:ASU1"/>
    <mergeCell ref="ASV1:ATE1"/>
    <mergeCell ref="APJ1:APS1"/>
    <mergeCell ref="APT1:AQC1"/>
    <mergeCell ref="AQD1:AQM1"/>
    <mergeCell ref="AQN1:AQW1"/>
    <mergeCell ref="AQX1:ARG1"/>
    <mergeCell ref="ANL1:ANU1"/>
    <mergeCell ref="ANV1:AOE1"/>
    <mergeCell ref="AOF1:AOO1"/>
    <mergeCell ref="AOP1:AOY1"/>
    <mergeCell ref="AOZ1:API1"/>
    <mergeCell ref="ALN1:ALW1"/>
    <mergeCell ref="ALX1:AMG1"/>
    <mergeCell ref="AMH1:AMQ1"/>
    <mergeCell ref="AMR1:ANA1"/>
    <mergeCell ref="ANB1:ANK1"/>
    <mergeCell ref="AJP1:AJY1"/>
    <mergeCell ref="AJZ1:AKI1"/>
    <mergeCell ref="AKJ1:AKS1"/>
    <mergeCell ref="AKT1:ALC1"/>
    <mergeCell ref="ALD1:ALM1"/>
    <mergeCell ref="AHR1:AIA1"/>
    <mergeCell ref="AIB1:AIK1"/>
    <mergeCell ref="AIL1:AIU1"/>
    <mergeCell ref="AIV1:AJE1"/>
    <mergeCell ref="AJF1:AJO1"/>
    <mergeCell ref="AFT1:AGC1"/>
    <mergeCell ref="AGD1:AGM1"/>
    <mergeCell ref="AGN1:AGW1"/>
    <mergeCell ref="AGX1:AHG1"/>
    <mergeCell ref="AHH1:AHQ1"/>
    <mergeCell ref="ADV1:AEE1"/>
    <mergeCell ref="AEF1:AEO1"/>
    <mergeCell ref="AEP1:AEY1"/>
    <mergeCell ref="AEZ1:AFI1"/>
    <mergeCell ref="AFJ1:AFS1"/>
    <mergeCell ref="ABX1:ACG1"/>
    <mergeCell ref="ACH1:ACQ1"/>
    <mergeCell ref="ACR1:ADA1"/>
    <mergeCell ref="ADB1:ADK1"/>
    <mergeCell ref="ADL1:ADU1"/>
    <mergeCell ref="ZZ1:AAI1"/>
    <mergeCell ref="AAJ1:AAS1"/>
    <mergeCell ref="AAT1:ABC1"/>
    <mergeCell ref="ABD1:ABM1"/>
    <mergeCell ref="ABN1:ABW1"/>
    <mergeCell ref="YB1:YK1"/>
    <mergeCell ref="YL1:YU1"/>
    <mergeCell ref="YV1:ZE1"/>
    <mergeCell ref="ZF1:ZO1"/>
    <mergeCell ref="ZP1:ZY1"/>
    <mergeCell ref="WD1:WM1"/>
    <mergeCell ref="WN1:WW1"/>
    <mergeCell ref="WX1:XG1"/>
    <mergeCell ref="XH1:XQ1"/>
    <mergeCell ref="XR1:YA1"/>
    <mergeCell ref="UF1:UO1"/>
    <mergeCell ref="UP1:UY1"/>
    <mergeCell ref="UZ1:VI1"/>
    <mergeCell ref="VJ1:VS1"/>
    <mergeCell ref="VT1:WC1"/>
    <mergeCell ref="SH1:SQ1"/>
    <mergeCell ref="SR1:TA1"/>
    <mergeCell ref="TB1:TK1"/>
    <mergeCell ref="TL1:TU1"/>
    <mergeCell ref="TV1:UE1"/>
    <mergeCell ref="QJ1:QS1"/>
    <mergeCell ref="QT1:RC1"/>
    <mergeCell ref="RD1:RM1"/>
    <mergeCell ref="RN1:RW1"/>
    <mergeCell ref="RX1:SG1"/>
    <mergeCell ref="OL1:OU1"/>
    <mergeCell ref="OV1:PE1"/>
    <mergeCell ref="PF1:PO1"/>
    <mergeCell ref="PP1:PY1"/>
    <mergeCell ref="PZ1:QI1"/>
    <mergeCell ref="MN1:MW1"/>
    <mergeCell ref="MX1:NG1"/>
    <mergeCell ref="NH1:NQ1"/>
    <mergeCell ref="NR1:OA1"/>
    <mergeCell ref="OB1:OK1"/>
    <mergeCell ref="KP1:KY1"/>
    <mergeCell ref="KZ1:LI1"/>
    <mergeCell ref="LJ1:LS1"/>
    <mergeCell ref="LT1:MC1"/>
    <mergeCell ref="MD1:MM1"/>
    <mergeCell ref="IR1:JA1"/>
    <mergeCell ref="JB1:JK1"/>
    <mergeCell ref="JL1:JU1"/>
    <mergeCell ref="JV1:KE1"/>
    <mergeCell ref="KF1:KO1"/>
    <mergeCell ref="GT1:HC1"/>
    <mergeCell ref="HD1:HM1"/>
    <mergeCell ref="HN1:HW1"/>
    <mergeCell ref="HX1:IG1"/>
    <mergeCell ref="IH1:IQ1"/>
    <mergeCell ref="EV1:FE1"/>
    <mergeCell ref="FF1:FO1"/>
    <mergeCell ref="FP1:FY1"/>
    <mergeCell ref="FZ1:GI1"/>
    <mergeCell ref="GJ1:GS1"/>
    <mergeCell ref="CX1:DG1"/>
    <mergeCell ref="DH1:DQ1"/>
    <mergeCell ref="DR1:EA1"/>
    <mergeCell ref="EB1:EK1"/>
    <mergeCell ref="EL1:EU1"/>
    <mergeCell ref="L1:U1"/>
    <mergeCell ref="V1:AE1"/>
    <mergeCell ref="AF1:AO1"/>
    <mergeCell ref="B1:K1"/>
    <mergeCell ref="AP1:AY1"/>
    <mergeCell ref="AZ1:BI1"/>
    <mergeCell ref="BJ1:BS1"/>
    <mergeCell ref="BT1:CC1"/>
    <mergeCell ref="CD1:CM1"/>
    <mergeCell ref="CN1:CW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58"/>
  <sheetViews>
    <sheetView workbookViewId="0">
      <pane xSplit="1" ySplit="3" topLeftCell="B22" activePane="bottomRight" state="frozen"/>
      <selection pane="topRight" activeCell="B1" sqref="B1"/>
      <selection pane="bottomLeft" activeCell="A4" sqref="A4"/>
      <selection pane="bottomRight" activeCell="F2" sqref="F2:Q2"/>
    </sheetView>
  </sheetViews>
  <sheetFormatPr defaultRowHeight="15" x14ac:dyDescent="0.25"/>
  <cols>
    <col min="1" max="1" width="9.140625" style="85"/>
    <col min="2" max="2" width="12.85546875" style="85" customWidth="1"/>
    <col min="3" max="3" width="11.85546875" style="85" customWidth="1"/>
    <col min="4" max="4" width="8.140625" style="85" customWidth="1"/>
    <col min="5" max="5" width="13.28515625" style="85" customWidth="1"/>
    <col min="6" max="6" width="12.5703125" style="85" customWidth="1"/>
    <col min="7" max="7" width="11.5703125" style="85" customWidth="1"/>
    <col min="8" max="8" width="12.140625" style="85" customWidth="1"/>
    <col min="9" max="9" width="11.140625" style="85" customWidth="1"/>
    <col min="10" max="10" width="13" style="85" bestFit="1" customWidth="1"/>
    <col min="11" max="11" width="12.42578125" style="85" customWidth="1"/>
    <col min="12" max="12" width="15.5703125" style="85" customWidth="1"/>
    <col min="13" max="13" width="13.140625" style="85" customWidth="1"/>
    <col min="14" max="14" width="12.140625" style="85" customWidth="1"/>
    <col min="15" max="15" width="13.42578125" style="85" customWidth="1"/>
    <col min="16" max="16" width="12.42578125" style="85" customWidth="1"/>
    <col min="17" max="17" width="15.140625" style="85" customWidth="1"/>
    <col min="18" max="18" width="9.140625" style="85" customWidth="1"/>
    <col min="19" max="19" width="12.5703125" style="85" bestFit="1" customWidth="1"/>
    <col min="20" max="20" width="14.42578125" style="85" bestFit="1" customWidth="1"/>
    <col min="21" max="21" width="9.42578125" style="85" customWidth="1"/>
    <col min="22" max="22" width="12" style="85" customWidth="1"/>
    <col min="23" max="23" width="6.85546875" style="85" customWidth="1"/>
    <col min="24" max="24" width="11.42578125" style="85" customWidth="1"/>
    <col min="25" max="25" width="9.140625" style="85" customWidth="1"/>
    <col min="26" max="26" width="6.42578125" style="85" customWidth="1"/>
    <col min="27" max="27" width="13.85546875" style="85" customWidth="1"/>
    <col min="28" max="28" width="16.140625" style="85" customWidth="1"/>
    <col min="29" max="29" width="13.42578125" customWidth="1"/>
    <col min="30" max="31" width="17" customWidth="1"/>
    <col min="32" max="32" width="17.85546875" customWidth="1"/>
    <col min="33" max="33" width="17" customWidth="1"/>
    <col min="34" max="34" width="11.140625" customWidth="1"/>
    <col min="35" max="35" width="11.5703125" customWidth="1"/>
    <col min="36" max="36" width="16.7109375" customWidth="1"/>
    <col min="37" max="37" width="16.7109375" bestFit="1" customWidth="1"/>
    <col min="38" max="38" width="14.85546875" bestFit="1" customWidth="1"/>
  </cols>
  <sheetData>
    <row r="1" spans="1:38" ht="15.75" thickBot="1" x14ac:dyDescent="0.3">
      <c r="B1" s="186" t="s">
        <v>111</v>
      </c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  <c r="AJ1" s="186"/>
    </row>
    <row r="2" spans="1:38" x14ac:dyDescent="0.25">
      <c r="B2" s="187" t="s">
        <v>2</v>
      </c>
      <c r="C2" s="188"/>
      <c r="D2" s="188"/>
      <c r="E2" s="189"/>
      <c r="F2" s="190" t="s">
        <v>4</v>
      </c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9"/>
      <c r="R2" s="190" t="s">
        <v>24</v>
      </c>
      <c r="S2" s="188"/>
      <c r="T2" s="188"/>
      <c r="U2" s="188"/>
      <c r="V2" s="189"/>
      <c r="W2" s="190" t="s">
        <v>1</v>
      </c>
      <c r="X2" s="188"/>
      <c r="Y2" s="188"/>
      <c r="Z2" s="189"/>
      <c r="AA2" s="191" t="s">
        <v>72</v>
      </c>
      <c r="AB2" s="192"/>
      <c r="AC2" s="158" t="s">
        <v>112</v>
      </c>
      <c r="AD2" s="159"/>
      <c r="AE2" s="159"/>
      <c r="AF2" s="159"/>
      <c r="AG2" s="159"/>
      <c r="AH2" s="159"/>
      <c r="AI2" s="159"/>
      <c r="AJ2" s="159"/>
      <c r="AK2" s="159"/>
      <c r="AL2" s="160"/>
    </row>
    <row r="3" spans="1:38" ht="15.75" thickBot="1" x14ac:dyDescent="0.3">
      <c r="A3" s="86" t="s">
        <v>17</v>
      </c>
      <c r="B3" s="97" t="s">
        <v>10</v>
      </c>
      <c r="C3" s="88" t="s">
        <v>11</v>
      </c>
      <c r="D3" s="88" t="s">
        <v>3</v>
      </c>
      <c r="E3" s="89" t="s">
        <v>12</v>
      </c>
      <c r="F3" s="87" t="s">
        <v>18</v>
      </c>
      <c r="G3" s="88" t="s">
        <v>19</v>
      </c>
      <c r="H3" s="88" t="s">
        <v>20</v>
      </c>
      <c r="I3" s="88" t="s">
        <v>21</v>
      </c>
      <c r="J3" s="88" t="s">
        <v>153</v>
      </c>
      <c r="K3" s="88" t="s">
        <v>5</v>
      </c>
      <c r="L3" s="88" t="s">
        <v>6</v>
      </c>
      <c r="M3" s="88" t="s">
        <v>13</v>
      </c>
      <c r="N3" s="88" t="s">
        <v>14</v>
      </c>
      <c r="O3" s="88" t="s">
        <v>22</v>
      </c>
      <c r="P3" s="88" t="s">
        <v>23</v>
      </c>
      <c r="Q3" s="89" t="s">
        <v>15</v>
      </c>
      <c r="R3" s="87" t="s">
        <v>7</v>
      </c>
      <c r="S3" s="87" t="s">
        <v>118</v>
      </c>
      <c r="T3" s="88" t="s">
        <v>119</v>
      </c>
      <c r="U3" s="88" t="s">
        <v>9</v>
      </c>
      <c r="V3" s="96" t="s">
        <v>16</v>
      </c>
      <c r="W3" s="87" t="s">
        <v>25</v>
      </c>
      <c r="X3" s="88" t="s">
        <v>26</v>
      </c>
      <c r="Y3" s="88" t="s">
        <v>27</v>
      </c>
      <c r="Z3" s="89" t="s">
        <v>28</v>
      </c>
      <c r="AA3" s="27" t="s">
        <v>54</v>
      </c>
      <c r="AB3" s="27" t="s">
        <v>55</v>
      </c>
      <c r="AC3" s="99" t="s">
        <v>0</v>
      </c>
      <c r="AD3" s="118" t="s">
        <v>39</v>
      </c>
      <c r="AE3" s="118" t="s">
        <v>40</v>
      </c>
      <c r="AF3" s="118" t="s">
        <v>41</v>
      </c>
      <c r="AG3" s="118" t="s">
        <v>42</v>
      </c>
      <c r="AH3" s="118" t="s">
        <v>43</v>
      </c>
      <c r="AI3" s="118" t="s">
        <v>44</v>
      </c>
      <c r="AJ3" s="118" t="s">
        <v>71</v>
      </c>
      <c r="AK3" s="118" t="s">
        <v>115</v>
      </c>
      <c r="AL3" s="119" t="s">
        <v>116</v>
      </c>
    </row>
    <row r="4" spans="1:38" x14ac:dyDescent="0.25">
      <c r="A4" s="86">
        <v>27</v>
      </c>
      <c r="B4" s="98">
        <f>'Match Data'!B4+'Match Data'!AA4+'Match Data'!AZ4+'Match Data'!BY4+'Match Data'!CX4+'Match Data'!DW4+'Match Data'!EV4+'Match Data'!FU4+'Match Data'!GT4+'Match Data'!HS4</f>
        <v>0</v>
      </c>
      <c r="C4" s="92">
        <f>'Match Data'!C4+'Match Data'!AB4+'Match Data'!BA4+'Match Data'!BZ4+'Match Data'!CY4+'Match Data'!DX4+'Match Data'!EW4+'Match Data'!FV4+'Match Data'!GU4+'Match Data'!HT4</f>
        <v>0</v>
      </c>
      <c r="D4" s="92">
        <f>'Match Data'!D4+'Match Data'!AC4+'Match Data'!BB4+'Match Data'!CA4+'Match Data'!CZ4+'Match Data'!DY4+'Match Data'!EX4+'Match Data'!FW4+'Match Data'!GV4+'Match Data'!HU4</f>
        <v>0</v>
      </c>
      <c r="E4" s="92">
        <f>'Match Data'!E4+'Match Data'!AD4+'Match Data'!BC4+'Match Data'!CB4+'Match Data'!DA4+'Match Data'!DZ4+'Match Data'!EY4+'Match Data'!FX4+'Match Data'!GW4+'Match Data'!HV4</f>
        <v>0</v>
      </c>
      <c r="F4" s="92">
        <f>'Match Data'!F4+'Match Data'!AE4+'Match Data'!BD4+'Match Data'!CC4+'Match Data'!DB4+'Match Data'!EA4+'Match Data'!EZ4+'Match Data'!FY4+'Match Data'!GX4+'Match Data'!HW4</f>
        <v>0</v>
      </c>
      <c r="G4" s="92">
        <f>'Match Data'!G4+'Match Data'!AF4+'Match Data'!BE4+'Match Data'!CD4+'Match Data'!DC4+'Match Data'!EB4+'Match Data'!FA4+'Match Data'!FZ4+'Match Data'!GY4+'Match Data'!HX4</f>
        <v>0</v>
      </c>
      <c r="H4" s="92">
        <f>'Match Data'!H4+'Match Data'!AG4+'Match Data'!BF4+'Match Data'!CE4+'Match Data'!DD4+'Match Data'!EC4+'Match Data'!FB4+'Match Data'!GA4+'Match Data'!GZ4+'Match Data'!HY4</f>
        <v>0</v>
      </c>
      <c r="I4" s="92">
        <f>'Match Data'!I4+'Match Data'!AH4+'Match Data'!BG4+'Match Data'!CF4+'Match Data'!DE4+'Match Data'!ED4+'Match Data'!FC4+'Match Data'!GB4+'Match Data'!HA4+'Match Data'!HZ4</f>
        <v>0</v>
      </c>
      <c r="J4" s="92" t="e">
        <f>(Table5[[#This Row],[High Made]]+Table5[[#This Row],[Low Made]])/(SUM(Table5[[#This Row],[High Made]:[Low Miss]]))</f>
        <v>#DIV/0!</v>
      </c>
      <c r="K4" s="92">
        <f>'Match Data'!J4+'Match Data'!AI4+'Match Data'!BH4+'Match Data'!CG4+'Match Data'!DF4+'Match Data'!EE4+'Match Data'!FD4+'Match Data'!GC4+'Match Data'!HB4+'Match Data'!IA4</f>
        <v>0</v>
      </c>
      <c r="L4" s="92">
        <f>'Match Data'!K4+'Match Data'!AJ4+'Match Data'!BI4+'Match Data'!CH4+'Match Data'!DG4+'Match Data'!EF4+'Match Data'!FE4+'Match Data'!GD4+'Match Data'!HC4+'Match Data'!IB4</f>
        <v>0</v>
      </c>
      <c r="M4" s="92">
        <f>'Match Data'!L4+'Match Data'!AK4+'Match Data'!BJ4+'Match Data'!CI4+'Match Data'!DH4+'Match Data'!EG4+'Match Data'!FF4+'Match Data'!GE4+'Match Data'!HD4+'Match Data'!IC4</f>
        <v>0</v>
      </c>
      <c r="N4" s="92">
        <f>'Match Data'!M4+'Match Data'!AL4+'Match Data'!BK4+'Match Data'!CJ4+'Match Data'!DI4+'Match Data'!EH4+'Match Data'!FG4+'Match Data'!GF4+'Match Data'!HE4+'Match Data'!ID4</f>
        <v>0</v>
      </c>
      <c r="O4" s="92">
        <f>'Match Data'!N4+'Match Data'!AM4+'Match Data'!BL4+'Match Data'!CK4+'Match Data'!DJ4+'Match Data'!EI4+'Match Data'!FH4+'Match Data'!GG4+'Match Data'!HF4+'Match Data'!IE4</f>
        <v>0</v>
      </c>
      <c r="P4" s="92">
        <f>'Match Data'!O4+'Match Data'!AN4+'Match Data'!BM4+'Match Data'!CL4+'Match Data'!DK4+'Match Data'!EJ4+'Match Data'!FI4+'Match Data'!GH4+'Match Data'!HG4+'Match Data'!IF4</f>
        <v>0</v>
      </c>
      <c r="Q4" s="92">
        <f>'Match Data'!P4+'Match Data'!AO4+'Match Data'!BN4+'Match Data'!CM4+'Match Data'!DL4+'Match Data'!EK4+'Match Data'!FJ4+'Match Data'!GI4+'Match Data'!HH4+'Match Data'!IG4</f>
        <v>0</v>
      </c>
      <c r="R4" s="92">
        <f>'Match Data'!Q4+'Match Data'!AP4+'Match Data'!BO4+'Match Data'!CN4+'Match Data'!DM4+'Match Data'!EL4+'Match Data'!FK4+'Match Data'!GJ4+'Match Data'!HI4+'Match Data'!IH4</f>
        <v>0</v>
      </c>
      <c r="S4" s="92">
        <v>0</v>
      </c>
      <c r="T4" s="92">
        <v>1</v>
      </c>
      <c r="U4" s="92">
        <f>'Match Data'!S4+'Match Data'!AR4+'Match Data'!BQ4+'Match Data'!CP4+'Match Data'!DO4+'Match Data'!EN4+'Match Data'!FM4+'Match Data'!GL4+'Match Data'!HK4+'Match Data'!IJ4</f>
        <v>0</v>
      </c>
      <c r="V4" s="93">
        <f>'Match Data'!T4+'Match Data'!AS4+'Match Data'!BR4+'Match Data'!CQ4+'Match Data'!DP4+'Match Data'!EO4+'Match Data'!FN4+'Match Data'!GM4+'Match Data'!HL4+'Match Data'!IK4</f>
        <v>0</v>
      </c>
      <c r="W4" s="92">
        <f>'Match Data'!U4+'Match Data'!AT4+'Match Data'!BS4+'Match Data'!CR4+'Match Data'!DQ4+'Match Data'!EP4+'Match Data'!FO4+'Match Data'!GN4+'Match Data'!HM4+'Match Data'!IL4</f>
        <v>0</v>
      </c>
      <c r="X4" s="92">
        <f>'Match Data'!V4+'Match Data'!AU4+'Match Data'!BT4+'Match Data'!CS4+'Match Data'!DR4+'Match Data'!EQ4+'Match Data'!FP4+'Match Data'!GO4+'Match Data'!HN4+'Match Data'!IM4</f>
        <v>0</v>
      </c>
      <c r="Y4" s="92">
        <f>'Match Data'!W4+'Match Data'!AV4+'Match Data'!BU4+'Match Data'!CT4+'Match Data'!DS4+'Match Data'!ER4+'Match Data'!FQ4+'Match Data'!GP4+'Match Data'!HO4+'Match Data'!IN4</f>
        <v>0</v>
      </c>
      <c r="Z4" s="92">
        <f>'Match Data'!X4+'Match Data'!AW4+'Match Data'!BV4+'Match Data'!CU4+'Match Data'!DT4+'Match Data'!ES4+'Match Data'!FR4+'Match Data'!GQ4+'Match Data'!HP4+'Match Data'!IO4</f>
        <v>0</v>
      </c>
      <c r="AA4" s="92">
        <f>'Match Data'!Y4+'Match Data'!AX4+'Match Data'!BW4+'Match Data'!CV4+'Match Data'!DU4+'Match Data'!ET4+'Match Data'!FS4+'Match Data'!GR4+'Match Data'!HQ4+'Match Data'!IP4</f>
        <v>0</v>
      </c>
      <c r="AB4" s="116">
        <f>'Match Data'!Z4+'Match Data'!AY4+'Match Data'!BX4+'Match Data'!CW4+'Match Data'!DV4+'Match Data'!EU4+'Match Data'!FT4+'Match Data'!GS4+'Match Data'!HR4+'Match Data'!IQ4</f>
        <v>0</v>
      </c>
      <c r="AC4" s="99">
        <f>'Alliance Data'!B3+'Alliance Data'!L3+'Alliance Data'!V3+'Alliance Data'!AF3+'Alliance Data'!AP3+'Alliance Data'!AZ3+'Alliance Data'!BJ3+'Alliance Data'!BT3+'Alliance Data'!CD3+'Alliance Data'!CN3</f>
        <v>0</v>
      </c>
      <c r="AD4" s="118">
        <f>('Alliance Data'!C3+'Alliance Data'!M3+'Alliance Data'!W3+'Alliance Data'!AG3+'Alliance Data'!AQ3+'Alliance Data'!BA3+'Alliance Data'!BK3+'Alliance Data'!BU3+'Alliance Data'!CE3+'Alliance Data'!CO3)/Value!Q2</f>
        <v>0</v>
      </c>
      <c r="AE4" s="118">
        <f>('Alliance Data'!D3+'Alliance Data'!N3+'Alliance Data'!X3+'Alliance Data'!AH3+'Alliance Data'!AR3+'Alliance Data'!BB3+'Alliance Data'!BL3+'Alliance Data'!BV3+'Alliance Data'!CF3+'Alliance Data'!CP3)/Value!Q2</f>
        <v>0</v>
      </c>
      <c r="AF4" s="118">
        <f>('Alliance Data'!E3+'Alliance Data'!O3+'Alliance Data'!Y3+'Alliance Data'!AI3+'Alliance Data'!AS3+'Alliance Data'!BC3+'Alliance Data'!BM3+'Alliance Data'!BW3+'Alliance Data'!CG3+'Alliance Data'!CQ3)/Value!Q2</f>
        <v>0</v>
      </c>
      <c r="AG4" s="118">
        <f>('Alliance Data'!F3+'Alliance Data'!P3+'Alliance Data'!Z3+'Alliance Data'!AJ3+'Alliance Data'!AT3+'Alliance Data'!BD3+'Alliance Data'!BN3+'Alliance Data'!BX3+'Alliance Data'!CH3+'Alliance Data'!CR3)/Value!Q2</f>
        <v>0</v>
      </c>
      <c r="AH4" s="118">
        <f>('Alliance Data'!G3+'Alliance Data'!Q3+'Alliance Data'!AA3+'Alliance Data'!AK3+'Alliance Data'!AU3+'Alliance Data'!BE3+'Alliance Data'!BO3+'Alliance Data'!BY3+'Alliance Data'!CI3+'Alliance Data'!CS3)/Value!Q2</f>
        <v>0</v>
      </c>
      <c r="AI4" s="118">
        <f>('Alliance Data'!H3+'Alliance Data'!R3+'Alliance Data'!AB3+'Alliance Data'!AL3+'Alliance Data'!AV3+'Alliance Data'!BF3+'Alliance Data'!BP3+'Alliance Data'!BZ3+'Alliance Data'!CJ3+'Alliance Data'!CT3)/Value!Q2</f>
        <v>0</v>
      </c>
      <c r="AJ4" s="118">
        <f>('Alliance Data'!I3+'Alliance Data'!S3+'Alliance Data'!AC3+'Alliance Data'!AM3+'Alliance Data'!AW3+'Alliance Data'!BG3+'Alliance Data'!BQ3+'Alliance Data'!CA3+'Alliance Data'!CK3+'Alliance Data'!CU3)/Value!Q2</f>
        <v>0</v>
      </c>
      <c r="AK4" s="118">
        <f>'Alliance Data'!J3+'Alliance Data'!T3+'Alliance Data'!AD3+'Alliance Data'!AN3+'Alliance Data'!AX3+'Alliance Data'!BH3+'Alliance Data'!BR3+'Alliance Data'!CB3+'Alliance Data'!CL3+'Alliance Data'!CV3</f>
        <v>0</v>
      </c>
      <c r="AL4" s="119">
        <f>'Alliance Data'!K3+'Alliance Data'!U3+'Alliance Data'!AE3+'Alliance Data'!AO3+'Alliance Data'!AY3+'Alliance Data'!BI3+'Alliance Data'!BS3+'Alliance Data'!CC3+'Alliance Data'!CM3+'Alliance Data'!CW3</f>
        <v>0</v>
      </c>
    </row>
    <row r="5" spans="1:38" x14ac:dyDescent="0.25">
      <c r="A5" s="86">
        <v>269</v>
      </c>
      <c r="B5" s="99">
        <f>'Match Data'!B5+'Match Data'!AA5+'Match Data'!AZ5+'Match Data'!BY5+'Match Data'!CX5+'Match Data'!DW5+'Match Data'!EV5+'Match Data'!FU5+'Match Data'!GT5+'Match Data'!HS5</f>
        <v>0</v>
      </c>
      <c r="C5" s="94">
        <f>'Match Data'!C5+'Match Data'!AB5+'Match Data'!BA5+'Match Data'!BZ5+'Match Data'!CY5+'Match Data'!DX5+'Match Data'!EW5+'Match Data'!FV5+'Match Data'!GU5+'Match Data'!HT5</f>
        <v>0</v>
      </c>
      <c r="D5" s="94">
        <f>'Match Data'!D5+'Match Data'!AC5+'Match Data'!BB5+'Match Data'!CA5+'Match Data'!CZ5+'Match Data'!DY5+'Match Data'!EX5+'Match Data'!FW5+'Match Data'!GV5+'Match Data'!HU5</f>
        <v>0</v>
      </c>
      <c r="E5" s="94">
        <f>'Match Data'!E5+'Match Data'!AD5+'Match Data'!BC5+'Match Data'!CB5+'Match Data'!DA5+'Match Data'!DZ5+'Match Data'!EY5+'Match Data'!FX5+'Match Data'!GW5+'Match Data'!HV5</f>
        <v>0</v>
      </c>
      <c r="F5" s="94">
        <f>'Match Data'!F5+'Match Data'!AE5+'Match Data'!BD5+'Match Data'!CC5+'Match Data'!DB5+'Match Data'!EA5+'Match Data'!EZ5+'Match Data'!FY5+'Match Data'!GX5+'Match Data'!HW5</f>
        <v>0</v>
      </c>
      <c r="G5" s="94">
        <f>'Match Data'!G5+'Match Data'!AF5+'Match Data'!BE5+'Match Data'!CD5+'Match Data'!DC5+'Match Data'!EB5+'Match Data'!FA5+'Match Data'!FZ5+'Match Data'!GY5+'Match Data'!HX5</f>
        <v>0</v>
      </c>
      <c r="H5" s="94">
        <f>'Match Data'!H5+'Match Data'!AG5+'Match Data'!BF5+'Match Data'!CE5+'Match Data'!DD5+'Match Data'!EC5+'Match Data'!FB5+'Match Data'!GA5+'Match Data'!GZ5+'Match Data'!HY5</f>
        <v>0</v>
      </c>
      <c r="I5" s="94">
        <f>'Match Data'!I5+'Match Data'!AH5+'Match Data'!BG5+'Match Data'!CF5+'Match Data'!DE5+'Match Data'!ED5+'Match Data'!FC5+'Match Data'!GB5+'Match Data'!HA5+'Match Data'!HZ5</f>
        <v>0</v>
      </c>
      <c r="J5" s="94" t="e">
        <f>(Table5[[#This Row],[High Made]]+Table5[[#This Row],[Low Made]])/(SUM(Table5[[#This Row],[High Made]:[Low Miss]]))</f>
        <v>#DIV/0!</v>
      </c>
      <c r="K5" s="94">
        <f>'Match Data'!J5+'Match Data'!AI5+'Match Data'!BH5+'Match Data'!CG5+'Match Data'!DF5+'Match Data'!EE5+'Match Data'!FD5+'Match Data'!GC5+'Match Data'!HB5+'Match Data'!IA5</f>
        <v>0</v>
      </c>
      <c r="L5" s="94">
        <f>'Match Data'!K5+'Match Data'!AJ5+'Match Data'!BI5+'Match Data'!CH5+'Match Data'!DG5+'Match Data'!EF5+'Match Data'!FE5+'Match Data'!GD5+'Match Data'!HC5+'Match Data'!IB5</f>
        <v>0</v>
      </c>
      <c r="M5" s="94">
        <f>'Match Data'!L5+'Match Data'!AK5+'Match Data'!BJ5+'Match Data'!CI5+'Match Data'!DH5+'Match Data'!EG5+'Match Data'!FF5+'Match Data'!GE5+'Match Data'!HD5+'Match Data'!IC5</f>
        <v>0</v>
      </c>
      <c r="N5" s="94">
        <f>'Match Data'!M5+'Match Data'!AL5+'Match Data'!BK5+'Match Data'!CJ5+'Match Data'!DI5+'Match Data'!EH5+'Match Data'!FG5+'Match Data'!GF5+'Match Data'!HE5+'Match Data'!ID5</f>
        <v>0</v>
      </c>
      <c r="O5" s="94">
        <f>'Match Data'!N5+'Match Data'!AM5+'Match Data'!BL5+'Match Data'!CK5+'Match Data'!DJ5+'Match Data'!EI5+'Match Data'!FH5+'Match Data'!GG5+'Match Data'!HF5+'Match Data'!IE5</f>
        <v>0</v>
      </c>
      <c r="P5" s="94">
        <f>'Match Data'!O5+'Match Data'!AN5+'Match Data'!BM5+'Match Data'!CL5+'Match Data'!DK5+'Match Data'!EJ5+'Match Data'!FI5+'Match Data'!GH5+'Match Data'!HG5+'Match Data'!IF5</f>
        <v>0</v>
      </c>
      <c r="Q5" s="94">
        <f>'Match Data'!P5+'Match Data'!AO5+'Match Data'!BN5+'Match Data'!CM5+'Match Data'!DL5+'Match Data'!EK5+'Match Data'!FJ5+'Match Data'!GI5+'Match Data'!HH5+'Match Data'!IG5</f>
        <v>0</v>
      </c>
      <c r="R5" s="94">
        <f>'Match Data'!Q5+'Match Data'!AP5+'Match Data'!BO5+'Match Data'!CN5+'Match Data'!DM5+'Match Data'!EL5+'Match Data'!FK5+'Match Data'!GJ5+'Match Data'!HI5+'Match Data'!IH5</f>
        <v>0</v>
      </c>
      <c r="S5" s="94">
        <v>0</v>
      </c>
      <c r="T5" s="94">
        <v>0</v>
      </c>
      <c r="U5" s="94">
        <f>'Match Data'!S5+'Match Data'!AR5+'Match Data'!BQ5+'Match Data'!CP5+'Match Data'!DO5+'Match Data'!EN5+'Match Data'!FM5+'Match Data'!GL5+'Match Data'!HK5+'Match Data'!IJ5</f>
        <v>0</v>
      </c>
      <c r="V5" s="95">
        <f>'Match Data'!T5+'Match Data'!AS5+'Match Data'!BR5+'Match Data'!CQ5+'Match Data'!DP5+'Match Data'!EO5+'Match Data'!FN5+'Match Data'!GM5+'Match Data'!HL5+'Match Data'!IK5</f>
        <v>0</v>
      </c>
      <c r="W5" s="94">
        <f>'Match Data'!U5+'Match Data'!AT5+'Match Data'!BS5+'Match Data'!CR5+'Match Data'!DQ5+'Match Data'!EP5+'Match Data'!FO5+'Match Data'!GN5+'Match Data'!HM5+'Match Data'!IL5</f>
        <v>0</v>
      </c>
      <c r="X5" s="94">
        <f>'Match Data'!V5+'Match Data'!AU5+'Match Data'!BT5+'Match Data'!CS5+'Match Data'!DR5+'Match Data'!EQ5+'Match Data'!FP5+'Match Data'!GO5+'Match Data'!HN5+'Match Data'!IM5</f>
        <v>0</v>
      </c>
      <c r="Y5" s="94">
        <f>'Match Data'!W5+'Match Data'!AV5+'Match Data'!BU5+'Match Data'!CT5+'Match Data'!DS5+'Match Data'!ER5+'Match Data'!FQ5+'Match Data'!GP5+'Match Data'!HO5+'Match Data'!IN5</f>
        <v>0</v>
      </c>
      <c r="Z5" s="94">
        <f>'Match Data'!X5+'Match Data'!AW5+'Match Data'!BV5+'Match Data'!CU5+'Match Data'!DT5+'Match Data'!ES5+'Match Data'!FR5+'Match Data'!GQ5+'Match Data'!HP5+'Match Data'!IO5</f>
        <v>0</v>
      </c>
      <c r="AA5" s="94">
        <f>'Match Data'!Y5+'Match Data'!AX5+'Match Data'!BW5+'Match Data'!CV5+'Match Data'!DU5+'Match Data'!ET5+'Match Data'!FS5+'Match Data'!GR5+'Match Data'!HQ5+'Match Data'!IP5</f>
        <v>0</v>
      </c>
      <c r="AB5" s="117">
        <f>'Match Data'!Z5+'Match Data'!AY5+'Match Data'!BX5+'Match Data'!CW5+'Match Data'!DV5+'Match Data'!EU5+'Match Data'!FT5+'Match Data'!GS5+'Match Data'!HR5+'Match Data'!IQ5</f>
        <v>0</v>
      </c>
      <c r="AC5" s="99">
        <f>'Alliance Data'!B4+'Alliance Data'!L4+'Alliance Data'!V4+'Alliance Data'!AF4+'Alliance Data'!AP4+'Alliance Data'!AZ4+'Alliance Data'!BJ4+'Alliance Data'!BT4+'Alliance Data'!CD4+'Alliance Data'!CN4</f>
        <v>0</v>
      </c>
      <c r="AD5" s="118">
        <f>('Alliance Data'!C4+'Alliance Data'!M4+'Alliance Data'!W4+'Alliance Data'!AG4+'Alliance Data'!AQ4+'Alliance Data'!BA4+'Alliance Data'!BK4+'Alliance Data'!BU4+'Alliance Data'!CE4+'Alliance Data'!CO4)/Value!Q3</f>
        <v>0</v>
      </c>
      <c r="AE5" s="118">
        <f>('Alliance Data'!D4+'Alliance Data'!N4+'Alliance Data'!X4+'Alliance Data'!AH4+'Alliance Data'!AR4+'Alliance Data'!BB4+'Alliance Data'!BL4+'Alliance Data'!BV4+'Alliance Data'!CF4+'Alliance Data'!CP4)/Value!Q2</f>
        <v>0</v>
      </c>
      <c r="AF5" s="118">
        <f>('Alliance Data'!E4+'Alliance Data'!O4+'Alliance Data'!Y4+'Alliance Data'!AI4+'Alliance Data'!AS4+'Alliance Data'!BC4+'Alliance Data'!BM4+'Alliance Data'!BW4+'Alliance Data'!CG4+'Alliance Data'!CQ4)/Value!Q3</f>
        <v>0</v>
      </c>
      <c r="AG5" s="118">
        <f>('Alliance Data'!F4+'Alliance Data'!P4+'Alliance Data'!Z4+'Alliance Data'!AJ4+'Alliance Data'!AT4+'Alliance Data'!BD4+'Alliance Data'!BN4+'Alliance Data'!BX4+'Alliance Data'!CH4+'Alliance Data'!CR4)/Value!Q3</f>
        <v>0</v>
      </c>
      <c r="AH5" s="118">
        <f>('Alliance Data'!G4+'Alliance Data'!Q4+'Alliance Data'!AA4+'Alliance Data'!AK4+'Alliance Data'!AU4+'Alliance Data'!BE4+'Alliance Data'!BO4+'Alliance Data'!BY4+'Alliance Data'!CI4+'Alliance Data'!CS4)/Value!Q3</f>
        <v>0</v>
      </c>
      <c r="AI5" s="118">
        <f>('Alliance Data'!H4+'Alliance Data'!R4+'Alliance Data'!AB4+'Alliance Data'!AL4+'Alliance Data'!AV4+'Alliance Data'!BF4+'Alliance Data'!BP4+'Alliance Data'!BZ4+'Alliance Data'!CJ4+'Alliance Data'!CT4)/Value!Q3</f>
        <v>0</v>
      </c>
      <c r="AJ5" s="118">
        <f>('Alliance Data'!I4+'Alliance Data'!S4+'Alliance Data'!AC4+'Alliance Data'!AM4+'Alliance Data'!AW4+'Alliance Data'!BG4+'Alliance Data'!BQ4+'Alliance Data'!CA4+'Alliance Data'!CK4+'Alliance Data'!CU4)/Value!Q3</f>
        <v>0</v>
      </c>
      <c r="AK5" s="118">
        <f>'Alliance Data'!J4+'Alliance Data'!T4+'Alliance Data'!AD4+'Alliance Data'!AN4+'Alliance Data'!AX4+'Alliance Data'!BH4+'Alliance Data'!BR4+'Alliance Data'!CB4+'Alliance Data'!CL4+'Alliance Data'!CV4</f>
        <v>0</v>
      </c>
      <c r="AL5" s="119">
        <f>'Alliance Data'!K4+'Alliance Data'!U4+'Alliance Data'!AE4+'Alliance Data'!AO4+'Alliance Data'!AY4+'Alliance Data'!BI4+'Alliance Data'!BS4+'Alliance Data'!CC4+'Alliance Data'!CM4+'Alliance Data'!CW4</f>
        <v>0</v>
      </c>
    </row>
    <row r="6" spans="1:38" x14ac:dyDescent="0.25">
      <c r="A6" s="86">
        <v>359</v>
      </c>
      <c r="B6" s="99">
        <f>'Match Data'!B6+'Match Data'!AA6+'Match Data'!AZ6+'Match Data'!BY6+'Match Data'!CX6+'Match Data'!DW6+'Match Data'!EV6+'Match Data'!FU6+'Match Data'!GT6+'Match Data'!HS6</f>
        <v>0</v>
      </c>
      <c r="C6" s="94">
        <f>'Match Data'!C6+'Match Data'!AB6+'Match Data'!BA6+'Match Data'!BZ6+'Match Data'!CY6+'Match Data'!DX6+'Match Data'!EW6+'Match Data'!FV6+'Match Data'!GU6+'Match Data'!HT6</f>
        <v>0</v>
      </c>
      <c r="D6" s="94">
        <f>'Match Data'!D6+'Match Data'!AC6+'Match Data'!BB6+'Match Data'!CA6+'Match Data'!CZ6+'Match Data'!DY6+'Match Data'!EX6+'Match Data'!FW6+'Match Data'!GV6+'Match Data'!HU6</f>
        <v>0</v>
      </c>
      <c r="E6" s="94">
        <f>'Match Data'!E6+'Match Data'!AD6+'Match Data'!BC6+'Match Data'!CB6+'Match Data'!DA6+'Match Data'!DZ6+'Match Data'!EY6+'Match Data'!FX6+'Match Data'!GW6+'Match Data'!HV6</f>
        <v>0</v>
      </c>
      <c r="F6" s="94">
        <f>'Match Data'!F6+'Match Data'!AE6+'Match Data'!BD6+'Match Data'!CC6+'Match Data'!DB6+'Match Data'!EA6+'Match Data'!EZ6+'Match Data'!FY6+'Match Data'!GX6+'Match Data'!HW6</f>
        <v>0</v>
      </c>
      <c r="G6" s="94">
        <f>'Match Data'!G6+'Match Data'!AF6+'Match Data'!BE6+'Match Data'!CD6+'Match Data'!DC6+'Match Data'!EB6+'Match Data'!FA6+'Match Data'!FZ6+'Match Data'!GY6+'Match Data'!HX6</f>
        <v>0</v>
      </c>
      <c r="H6" s="94">
        <f>'Match Data'!H6+'Match Data'!AG6+'Match Data'!BF6+'Match Data'!CE6+'Match Data'!DD6+'Match Data'!EC6+'Match Data'!FB6+'Match Data'!GA6+'Match Data'!GZ6+'Match Data'!HY6</f>
        <v>0</v>
      </c>
      <c r="I6" s="94">
        <f>'Match Data'!I6+'Match Data'!AH6+'Match Data'!BG6+'Match Data'!CF6+'Match Data'!DE6+'Match Data'!ED6+'Match Data'!FC6+'Match Data'!GB6+'Match Data'!HA6+'Match Data'!HZ6</f>
        <v>0</v>
      </c>
      <c r="J6" s="94" t="e">
        <f>(Table5[[#This Row],[High Made]]+Table5[[#This Row],[Low Made]])/(SUM(Table5[[#This Row],[High Made]:[Low Miss]]))</f>
        <v>#DIV/0!</v>
      </c>
      <c r="K6" s="94">
        <f>'Match Data'!J6+'Match Data'!AI6+'Match Data'!BH6+'Match Data'!CG6+'Match Data'!DF6+'Match Data'!EE6+'Match Data'!FD6+'Match Data'!GC6+'Match Data'!HB6+'Match Data'!IA6</f>
        <v>0</v>
      </c>
      <c r="L6" s="94">
        <f>'Match Data'!K6+'Match Data'!AJ6+'Match Data'!BI6+'Match Data'!CH6+'Match Data'!DG6+'Match Data'!EF6+'Match Data'!FE6+'Match Data'!GD6+'Match Data'!HC6+'Match Data'!IB6</f>
        <v>0</v>
      </c>
      <c r="M6" s="94">
        <f>'Match Data'!L6+'Match Data'!AK6+'Match Data'!BJ6+'Match Data'!CI6+'Match Data'!DH6+'Match Data'!EG6+'Match Data'!FF6+'Match Data'!GE6+'Match Data'!HD6+'Match Data'!IC6</f>
        <v>0</v>
      </c>
      <c r="N6" s="94">
        <f>'Match Data'!M6+'Match Data'!AL6+'Match Data'!BK6+'Match Data'!CJ6+'Match Data'!DI6+'Match Data'!EH6+'Match Data'!FG6+'Match Data'!GF6+'Match Data'!HE6+'Match Data'!ID6</f>
        <v>0</v>
      </c>
      <c r="O6" s="94">
        <f>'Match Data'!N6+'Match Data'!AM6+'Match Data'!BL6+'Match Data'!CK6+'Match Data'!DJ6+'Match Data'!EI6+'Match Data'!FH6+'Match Data'!GG6+'Match Data'!HF6+'Match Data'!IE6</f>
        <v>0</v>
      </c>
      <c r="P6" s="94">
        <f>'Match Data'!O6+'Match Data'!AN6+'Match Data'!BM6+'Match Data'!CL6+'Match Data'!DK6+'Match Data'!EJ6+'Match Data'!FI6+'Match Data'!GH6+'Match Data'!HG6+'Match Data'!IF6</f>
        <v>0</v>
      </c>
      <c r="Q6" s="94">
        <f>'Match Data'!P6+'Match Data'!AO6+'Match Data'!BN6+'Match Data'!CM6+'Match Data'!DL6+'Match Data'!EK6+'Match Data'!FJ6+'Match Data'!GI6+'Match Data'!HH6+'Match Data'!IG6</f>
        <v>0</v>
      </c>
      <c r="R6" s="94">
        <f>'Match Data'!Q6+'Match Data'!AP6+'Match Data'!BO6+'Match Data'!CN6+'Match Data'!DM6+'Match Data'!EL6+'Match Data'!FK6+'Match Data'!GJ6+'Match Data'!HI6+'Match Data'!IH6</f>
        <v>0</v>
      </c>
      <c r="S6" s="94">
        <v>0</v>
      </c>
      <c r="T6" s="94">
        <v>0</v>
      </c>
      <c r="U6" s="94">
        <f>'Match Data'!S6+'Match Data'!AR6+'Match Data'!BQ6+'Match Data'!CP6+'Match Data'!DO6+'Match Data'!EN6+'Match Data'!FM6+'Match Data'!GL6+'Match Data'!HK6+'Match Data'!IJ6</f>
        <v>0</v>
      </c>
      <c r="V6" s="95">
        <f>'Match Data'!T6+'Match Data'!AS6+'Match Data'!BR6+'Match Data'!CQ6+'Match Data'!DP6+'Match Data'!EO6+'Match Data'!FN6+'Match Data'!GM6+'Match Data'!HL6+'Match Data'!IK6</f>
        <v>0</v>
      </c>
      <c r="W6" s="94">
        <f>'Match Data'!U6+'Match Data'!AT6+'Match Data'!BS6+'Match Data'!CR6+'Match Data'!DQ6+'Match Data'!EP6+'Match Data'!FO6+'Match Data'!GN6+'Match Data'!HM6+'Match Data'!IL6</f>
        <v>0</v>
      </c>
      <c r="X6" s="94">
        <f>'Match Data'!V6+'Match Data'!AU6+'Match Data'!BT6+'Match Data'!CS6+'Match Data'!DR6+'Match Data'!EQ6+'Match Data'!FP6+'Match Data'!GO6+'Match Data'!HN6+'Match Data'!IM6</f>
        <v>0</v>
      </c>
      <c r="Y6" s="94">
        <f>'Match Data'!W6+'Match Data'!AV6+'Match Data'!BU6+'Match Data'!CT6+'Match Data'!DS6+'Match Data'!ER6+'Match Data'!FQ6+'Match Data'!GP6+'Match Data'!HO6+'Match Data'!IN6</f>
        <v>0</v>
      </c>
      <c r="Z6" s="94">
        <f>'Match Data'!X6+'Match Data'!AW6+'Match Data'!BV6+'Match Data'!CU6+'Match Data'!DT6+'Match Data'!ES6+'Match Data'!FR6+'Match Data'!GQ6+'Match Data'!HP6+'Match Data'!IO6</f>
        <v>0</v>
      </c>
      <c r="AA6" s="94">
        <f>'Match Data'!Y6+'Match Data'!AX6+'Match Data'!BW6+'Match Data'!CV6+'Match Data'!DU6+'Match Data'!ET6+'Match Data'!FS6+'Match Data'!GR6+'Match Data'!HQ6+'Match Data'!IP6</f>
        <v>0</v>
      </c>
      <c r="AB6" s="117">
        <f>'Match Data'!Z6+'Match Data'!AY6+'Match Data'!BX6+'Match Data'!CW6+'Match Data'!DV6+'Match Data'!EU6+'Match Data'!FT6+'Match Data'!GS6+'Match Data'!HR6+'Match Data'!IQ6</f>
        <v>0</v>
      </c>
      <c r="AC6" s="99">
        <f>'Alliance Data'!B5+'Alliance Data'!L5+'Alliance Data'!V5+'Alliance Data'!AF5+'Alliance Data'!AP5+'Alliance Data'!AZ5+'Alliance Data'!BJ5+'Alliance Data'!BT5+'Alliance Data'!CD5+'Alliance Data'!CN5</f>
        <v>0</v>
      </c>
      <c r="AD6" s="118">
        <f>('Alliance Data'!C5+'Alliance Data'!M5+'Alliance Data'!W5+'Alliance Data'!AG5+'Alliance Data'!AQ5+'Alliance Data'!BA5+'Alliance Data'!BK5+'Alliance Data'!BU5+'Alliance Data'!CE5+'Alliance Data'!CO5)/Value!Q4</f>
        <v>0</v>
      </c>
      <c r="AE6" s="118">
        <f>('Alliance Data'!D5+'Alliance Data'!N5+'Alliance Data'!X5+'Alliance Data'!AH5+'Alliance Data'!AR5+'Alliance Data'!BB5+'Alliance Data'!BL5+'Alliance Data'!BV5+'Alliance Data'!CF5+'Alliance Data'!CP5)/Value!Q4</f>
        <v>0</v>
      </c>
      <c r="AF6" s="118">
        <f>('Alliance Data'!E5+'Alliance Data'!O5+'Alliance Data'!Y5+'Alliance Data'!AI5+'Alliance Data'!AS5+'Alliance Data'!BC5+'Alliance Data'!BM5+'Alliance Data'!BW5+'Alliance Data'!CG5+'Alliance Data'!CQ5)/Value!Q4</f>
        <v>0</v>
      </c>
      <c r="AG6" s="118">
        <f>('Alliance Data'!F5+'Alliance Data'!P5+'Alliance Data'!Z5+'Alliance Data'!AJ5+'Alliance Data'!AT5+'Alliance Data'!BD5+'Alliance Data'!BN5+'Alliance Data'!BX5+'Alliance Data'!CH5+'Alliance Data'!CR5)/Value!Q4</f>
        <v>0</v>
      </c>
      <c r="AH6" s="118">
        <f>('Alliance Data'!G5+'Alliance Data'!Q5+'Alliance Data'!AA5+'Alliance Data'!AK5+'Alliance Data'!AU5+'Alliance Data'!BE5+'Alliance Data'!BO5+'Alliance Data'!BY5+'Alliance Data'!CI5+'Alliance Data'!CS5)/Value!Q4</f>
        <v>0</v>
      </c>
      <c r="AI6" s="118">
        <f>('Alliance Data'!H5+'Alliance Data'!R5+'Alliance Data'!AB5+'Alliance Data'!AL5+'Alliance Data'!AV5+'Alliance Data'!BF5+'Alliance Data'!BP5+'Alliance Data'!BZ5+'Alliance Data'!CJ5+'Alliance Data'!CT5)/Value!Q4</f>
        <v>0</v>
      </c>
      <c r="AJ6" s="118">
        <f>('Alliance Data'!I5+'Alliance Data'!S5+'Alliance Data'!AC5+'Alliance Data'!AM5+'Alliance Data'!AW5+'Alliance Data'!BG5+'Alliance Data'!BQ5+'Alliance Data'!CA5+'Alliance Data'!CK5+'Alliance Data'!CU5)/Value!Q4</f>
        <v>0</v>
      </c>
      <c r="AK6" s="118">
        <f>'Alliance Data'!J5+'Alliance Data'!T5+'Alliance Data'!AD5+'Alliance Data'!AN5+'Alliance Data'!AX5+'Alliance Data'!BH5+'Alliance Data'!BR5+'Alliance Data'!CB5+'Alliance Data'!CL5+'Alliance Data'!CV5</f>
        <v>0</v>
      </c>
      <c r="AL6" s="119">
        <f>'Alliance Data'!K5+'Alliance Data'!U5+'Alliance Data'!AE5+'Alliance Data'!AO5+'Alliance Data'!AY5+'Alliance Data'!BI5+'Alliance Data'!BS5+'Alliance Data'!CC5+'Alliance Data'!CM5+'Alliance Data'!CW5</f>
        <v>0</v>
      </c>
    </row>
    <row r="7" spans="1:38" x14ac:dyDescent="0.25">
      <c r="A7" s="86">
        <v>876</v>
      </c>
      <c r="B7" s="99">
        <f>'Match Data'!B7+'Match Data'!AA7+'Match Data'!AZ7+'Match Data'!BY7+'Match Data'!CX7+'Match Data'!DW7+'Match Data'!EV7+'Match Data'!FU7+'Match Data'!GT7+'Match Data'!HS7</f>
        <v>0</v>
      </c>
      <c r="C7" s="94">
        <f>'Match Data'!C7+'Match Data'!AB7+'Match Data'!BA7+'Match Data'!BZ7+'Match Data'!CY7+'Match Data'!DX7+'Match Data'!EW7+'Match Data'!FV7+'Match Data'!GU7+'Match Data'!HT7</f>
        <v>0</v>
      </c>
      <c r="D7" s="94">
        <f>'Match Data'!D7+'Match Data'!AC7+'Match Data'!BB7+'Match Data'!CA7+'Match Data'!CZ7+'Match Data'!DY7+'Match Data'!EX7+'Match Data'!FW7+'Match Data'!GV7+'Match Data'!HU7</f>
        <v>0</v>
      </c>
      <c r="E7" s="94">
        <f>'Match Data'!E7+'Match Data'!AD7+'Match Data'!BC7+'Match Data'!CB7+'Match Data'!DA7+'Match Data'!DZ7+'Match Data'!EY7+'Match Data'!FX7+'Match Data'!GW7+'Match Data'!HV7</f>
        <v>0</v>
      </c>
      <c r="F7" s="94">
        <f>'Match Data'!F7+'Match Data'!AE7+'Match Data'!BD7+'Match Data'!CC7+'Match Data'!DB7+'Match Data'!EA7+'Match Data'!EZ7+'Match Data'!FY7+'Match Data'!GX7+'Match Data'!HW7</f>
        <v>0</v>
      </c>
      <c r="G7" s="94">
        <f>'Match Data'!G7+'Match Data'!AF7+'Match Data'!BE7+'Match Data'!CD7+'Match Data'!DC7+'Match Data'!EB7+'Match Data'!FA7+'Match Data'!FZ7+'Match Data'!GY7+'Match Data'!HX7</f>
        <v>0</v>
      </c>
      <c r="H7" s="94">
        <f>'Match Data'!H7+'Match Data'!AG7+'Match Data'!BF7+'Match Data'!CE7+'Match Data'!DD7+'Match Data'!EC7+'Match Data'!FB7+'Match Data'!GA7+'Match Data'!GZ7+'Match Data'!HY7</f>
        <v>0</v>
      </c>
      <c r="I7" s="94">
        <f>'Match Data'!I7+'Match Data'!AH7+'Match Data'!BG7+'Match Data'!CF7+'Match Data'!DE7+'Match Data'!ED7+'Match Data'!FC7+'Match Data'!GB7+'Match Data'!HA7+'Match Data'!HZ7</f>
        <v>0</v>
      </c>
      <c r="J7" s="94" t="e">
        <f>(Table5[[#This Row],[High Made]]+Table5[[#This Row],[Low Made]])/(SUM(Table5[[#This Row],[High Made]:[Low Miss]]))</f>
        <v>#DIV/0!</v>
      </c>
      <c r="K7" s="94">
        <f>'Match Data'!J7+'Match Data'!AI7+'Match Data'!BH7+'Match Data'!CG7+'Match Data'!DF7+'Match Data'!EE7+'Match Data'!FD7+'Match Data'!GC7+'Match Data'!HB7+'Match Data'!IA7</f>
        <v>0</v>
      </c>
      <c r="L7" s="94">
        <f>'Match Data'!K7+'Match Data'!AJ7+'Match Data'!BI7+'Match Data'!CH7+'Match Data'!DG7+'Match Data'!EF7+'Match Data'!FE7+'Match Data'!GD7+'Match Data'!HC7+'Match Data'!IB7</f>
        <v>0</v>
      </c>
      <c r="M7" s="94">
        <f>'Match Data'!L7+'Match Data'!AK7+'Match Data'!BJ7+'Match Data'!CI7+'Match Data'!DH7+'Match Data'!EG7+'Match Data'!FF7+'Match Data'!GE7+'Match Data'!HD7+'Match Data'!IC7</f>
        <v>0</v>
      </c>
      <c r="N7" s="94">
        <f>'Match Data'!M7+'Match Data'!AL7+'Match Data'!BK7+'Match Data'!CJ7+'Match Data'!DI7+'Match Data'!EH7+'Match Data'!FG7+'Match Data'!GF7+'Match Data'!HE7+'Match Data'!ID7</f>
        <v>0</v>
      </c>
      <c r="O7" s="94">
        <f>'Match Data'!N7+'Match Data'!AM7+'Match Data'!BL7+'Match Data'!CK7+'Match Data'!DJ7+'Match Data'!EI7+'Match Data'!FH7+'Match Data'!GG7+'Match Data'!HF7+'Match Data'!IE7</f>
        <v>0</v>
      </c>
      <c r="P7" s="94">
        <f>'Match Data'!O7+'Match Data'!AN7+'Match Data'!BM7+'Match Data'!CL7+'Match Data'!DK7+'Match Data'!EJ7+'Match Data'!FI7+'Match Data'!GH7+'Match Data'!HG7+'Match Data'!IF7</f>
        <v>0</v>
      </c>
      <c r="Q7" s="94">
        <f>'Match Data'!P7+'Match Data'!AO7+'Match Data'!BN7+'Match Data'!CM7+'Match Data'!DL7+'Match Data'!EK7+'Match Data'!FJ7+'Match Data'!GI7+'Match Data'!HH7+'Match Data'!IG7</f>
        <v>0</v>
      </c>
      <c r="R7" s="94">
        <f>'Match Data'!Q7+'Match Data'!AP7+'Match Data'!BO7+'Match Data'!CN7+'Match Data'!DM7+'Match Data'!EL7+'Match Data'!FK7+'Match Data'!GJ7+'Match Data'!HI7+'Match Data'!IH7</f>
        <v>0</v>
      </c>
      <c r="S7" s="94">
        <v>0</v>
      </c>
      <c r="T7" s="94">
        <v>0</v>
      </c>
      <c r="U7" s="94">
        <f>'Match Data'!S7+'Match Data'!AR7+'Match Data'!BQ7+'Match Data'!CP7+'Match Data'!DO7+'Match Data'!EN7+'Match Data'!FM7+'Match Data'!GL7+'Match Data'!HK7+'Match Data'!IJ7</f>
        <v>0</v>
      </c>
      <c r="V7" s="95">
        <f>'Match Data'!T7+'Match Data'!AS7+'Match Data'!BR7+'Match Data'!CQ7+'Match Data'!DP7+'Match Data'!EO7+'Match Data'!FN7+'Match Data'!GM7+'Match Data'!HL7+'Match Data'!IK7</f>
        <v>0</v>
      </c>
      <c r="W7" s="94">
        <f>'Match Data'!U7+'Match Data'!AT7+'Match Data'!BS7+'Match Data'!CR7+'Match Data'!DQ7+'Match Data'!EP7+'Match Data'!FO7+'Match Data'!GN7+'Match Data'!HM7+'Match Data'!IL7</f>
        <v>0</v>
      </c>
      <c r="X7" s="94">
        <f>'Match Data'!V7+'Match Data'!AU7+'Match Data'!BT7+'Match Data'!CS7+'Match Data'!DR7+'Match Data'!EQ7+'Match Data'!FP7+'Match Data'!GO7+'Match Data'!HN7+'Match Data'!IM7</f>
        <v>0</v>
      </c>
      <c r="Y7" s="94">
        <f>'Match Data'!W7+'Match Data'!AV7+'Match Data'!BU7+'Match Data'!CT7+'Match Data'!DS7+'Match Data'!ER7+'Match Data'!FQ7+'Match Data'!GP7+'Match Data'!HO7+'Match Data'!IN7</f>
        <v>0</v>
      </c>
      <c r="Z7" s="94">
        <f>'Match Data'!X7+'Match Data'!AW7+'Match Data'!BV7+'Match Data'!CU7+'Match Data'!DT7+'Match Data'!ES7+'Match Data'!FR7+'Match Data'!GQ7+'Match Data'!HP7+'Match Data'!IO7</f>
        <v>0</v>
      </c>
      <c r="AA7" s="94">
        <f>'Match Data'!Y7+'Match Data'!AX7+'Match Data'!BW7+'Match Data'!CV7+'Match Data'!DU7+'Match Data'!ET7+'Match Data'!FS7+'Match Data'!GR7+'Match Data'!HQ7+'Match Data'!IP7</f>
        <v>0</v>
      </c>
      <c r="AB7" s="117">
        <f>'Match Data'!Z7+'Match Data'!AY7+'Match Data'!BX7+'Match Data'!CW7+'Match Data'!DV7+'Match Data'!EU7+'Match Data'!FT7+'Match Data'!GS7+'Match Data'!HR7+'Match Data'!IQ7</f>
        <v>0</v>
      </c>
      <c r="AC7" s="99">
        <f>'Alliance Data'!B6+'Alliance Data'!L6+'Alliance Data'!V6+'Alliance Data'!AF6+'Alliance Data'!AP6+'Alliance Data'!AZ6+'Alliance Data'!BJ6+'Alliance Data'!BT6+'Alliance Data'!CD6+'Alliance Data'!CN6</f>
        <v>0</v>
      </c>
      <c r="AD7" s="118">
        <f>('Alliance Data'!C6+'Alliance Data'!M6+'Alliance Data'!W6+'Alliance Data'!AG6+'Alliance Data'!AQ6+'Alliance Data'!BA6+'Alliance Data'!BK6+'Alliance Data'!BU6+'Alliance Data'!CE6+'Alliance Data'!CO6)/Value!Q5</f>
        <v>0</v>
      </c>
      <c r="AE7" s="118">
        <f>('Alliance Data'!D6+'Alliance Data'!N6+'Alliance Data'!X6+'Alliance Data'!AH6+'Alliance Data'!AR6+'Alliance Data'!BB6+'Alliance Data'!BL6+'Alliance Data'!BV6+'Alliance Data'!CF6+'Alliance Data'!CP6)/Value!Q5</f>
        <v>0</v>
      </c>
      <c r="AF7" s="118">
        <f>('Alliance Data'!E6+'Alliance Data'!O6+'Alliance Data'!Y6+'Alliance Data'!AI6+'Alliance Data'!AS6+'Alliance Data'!BC6+'Alliance Data'!BM6+'Alliance Data'!BW6+'Alliance Data'!CG6+'Alliance Data'!CQ6)/Value!Q5</f>
        <v>0</v>
      </c>
      <c r="AG7" s="118">
        <f>('Alliance Data'!F6+'Alliance Data'!P6+'Alliance Data'!Z6+'Alliance Data'!AJ6+'Alliance Data'!AT6+'Alliance Data'!BD6+'Alliance Data'!BN6+'Alliance Data'!BX6+'Alliance Data'!CH6+'Alliance Data'!CR6)/Value!Q5</f>
        <v>0</v>
      </c>
      <c r="AH7" s="118">
        <f>('Alliance Data'!G6+'Alliance Data'!Q6+'Alliance Data'!AA6+'Alliance Data'!AK6+'Alliance Data'!AU6+'Alliance Data'!BE6+'Alliance Data'!BO6+'Alliance Data'!BY6+'Alliance Data'!CI6+'Alliance Data'!CS6)/Value!Q5</f>
        <v>0</v>
      </c>
      <c r="AI7" s="118">
        <f>('Alliance Data'!H6+'Alliance Data'!R6+'Alliance Data'!AB6+'Alliance Data'!AL6+'Alliance Data'!AV6+'Alliance Data'!BF6+'Alliance Data'!BP6+'Alliance Data'!BZ6+'Alliance Data'!CJ6+'Alliance Data'!CT6)/Value!Q5</f>
        <v>0</v>
      </c>
      <c r="AJ7" s="118">
        <f>('Alliance Data'!I6+'Alliance Data'!S6+'Alliance Data'!AC6+'Alliance Data'!AM6+'Alliance Data'!AW6+'Alliance Data'!BG6+'Alliance Data'!BQ6+'Alliance Data'!CA6+'Alliance Data'!CK6+'Alliance Data'!CU6)/Value!Q5</f>
        <v>0</v>
      </c>
      <c r="AK7" s="118">
        <f>'Alliance Data'!J6+'Alliance Data'!T6+'Alliance Data'!AD6+'Alliance Data'!AN6+'Alliance Data'!AX6+'Alliance Data'!BH6+'Alliance Data'!BR6+'Alliance Data'!CB6+'Alliance Data'!CL6+'Alliance Data'!CV6</f>
        <v>0</v>
      </c>
      <c r="AL7" s="119">
        <f>'Alliance Data'!K6+'Alliance Data'!U6+'Alliance Data'!AE6+'Alliance Data'!AO6+'Alliance Data'!AY6+'Alliance Data'!BI6+'Alliance Data'!BS6+'Alliance Data'!CC6+'Alliance Data'!CM6+'Alliance Data'!CW6</f>
        <v>0</v>
      </c>
    </row>
    <row r="8" spans="1:38" x14ac:dyDescent="0.25">
      <c r="A8" s="86">
        <v>877</v>
      </c>
      <c r="B8" s="99">
        <f>'Match Data'!B8+'Match Data'!AA8+'Match Data'!AZ8+'Match Data'!BY8+'Match Data'!CX8+'Match Data'!DW8+'Match Data'!EV8+'Match Data'!FU8+'Match Data'!GT8+'Match Data'!HS8</f>
        <v>0</v>
      </c>
      <c r="C8" s="94">
        <f>'Match Data'!C8+'Match Data'!AB8+'Match Data'!BA8+'Match Data'!BZ8+'Match Data'!CY8+'Match Data'!DX8+'Match Data'!EW8+'Match Data'!FV8+'Match Data'!GU8+'Match Data'!HT8</f>
        <v>0</v>
      </c>
      <c r="D8" s="94">
        <f>'Match Data'!D8+'Match Data'!AC8+'Match Data'!BB8+'Match Data'!CA8+'Match Data'!CZ8+'Match Data'!DY8+'Match Data'!EX8+'Match Data'!FW8+'Match Data'!GV8+'Match Data'!HU8</f>
        <v>0</v>
      </c>
      <c r="E8" s="94">
        <f>'Match Data'!E8+'Match Data'!AD8+'Match Data'!BC8+'Match Data'!CB8+'Match Data'!DA8+'Match Data'!DZ8+'Match Data'!EY8+'Match Data'!FX8+'Match Data'!GW8+'Match Data'!HV8</f>
        <v>0</v>
      </c>
      <c r="F8" s="94">
        <f>'Match Data'!F8+'Match Data'!AE8+'Match Data'!BD8+'Match Data'!CC8+'Match Data'!DB8+'Match Data'!EA8+'Match Data'!EZ8+'Match Data'!FY8+'Match Data'!GX8+'Match Data'!HW8</f>
        <v>0</v>
      </c>
      <c r="G8" s="94">
        <f>'Match Data'!G8+'Match Data'!AF8+'Match Data'!BE8+'Match Data'!CD8+'Match Data'!DC8+'Match Data'!EB8+'Match Data'!FA8+'Match Data'!FZ8+'Match Data'!GY8+'Match Data'!HX8</f>
        <v>0</v>
      </c>
      <c r="H8" s="94">
        <f>'Match Data'!H8+'Match Data'!AG8+'Match Data'!BF8+'Match Data'!CE8+'Match Data'!DD8+'Match Data'!EC8+'Match Data'!FB8+'Match Data'!GA8+'Match Data'!GZ8+'Match Data'!HY8</f>
        <v>0</v>
      </c>
      <c r="I8" s="94">
        <f>'Match Data'!I8+'Match Data'!AH8+'Match Data'!BG8+'Match Data'!CF8+'Match Data'!DE8+'Match Data'!ED8+'Match Data'!FC8+'Match Data'!GB8+'Match Data'!HA8+'Match Data'!HZ8</f>
        <v>0</v>
      </c>
      <c r="J8" s="94" t="e">
        <f>(Table5[[#This Row],[High Made]]+Table5[[#This Row],[Low Made]])/(SUM(Table5[[#This Row],[High Made]:[Low Miss]]))</f>
        <v>#DIV/0!</v>
      </c>
      <c r="K8" s="94">
        <f>'Match Data'!J8+'Match Data'!AI8+'Match Data'!BH8+'Match Data'!CG8+'Match Data'!DF8+'Match Data'!EE8+'Match Data'!FD8+'Match Data'!GC8+'Match Data'!HB8+'Match Data'!IA8</f>
        <v>0</v>
      </c>
      <c r="L8" s="94">
        <f>'Match Data'!K8+'Match Data'!AJ8+'Match Data'!BI8+'Match Data'!CH8+'Match Data'!DG8+'Match Data'!EF8+'Match Data'!FE8+'Match Data'!GD8+'Match Data'!HC8+'Match Data'!IB8</f>
        <v>0</v>
      </c>
      <c r="M8" s="94">
        <f>'Match Data'!L8+'Match Data'!AK8+'Match Data'!BJ8+'Match Data'!CI8+'Match Data'!DH8+'Match Data'!EG8+'Match Data'!FF8+'Match Data'!GE8+'Match Data'!HD8+'Match Data'!IC8</f>
        <v>0</v>
      </c>
      <c r="N8" s="94">
        <f>'Match Data'!M8+'Match Data'!AL8+'Match Data'!BK8+'Match Data'!CJ8+'Match Data'!DI8+'Match Data'!EH8+'Match Data'!FG8+'Match Data'!GF8+'Match Data'!HE8+'Match Data'!ID8</f>
        <v>0</v>
      </c>
      <c r="O8" s="94">
        <f>'Match Data'!N8+'Match Data'!AM8+'Match Data'!BL8+'Match Data'!CK8+'Match Data'!DJ8+'Match Data'!EI8+'Match Data'!FH8+'Match Data'!GG8+'Match Data'!HF8+'Match Data'!IE8</f>
        <v>0</v>
      </c>
      <c r="P8" s="94">
        <f>'Match Data'!O8+'Match Data'!AN8+'Match Data'!BM8+'Match Data'!CL8+'Match Data'!DK8+'Match Data'!EJ8+'Match Data'!FI8+'Match Data'!GH8+'Match Data'!HG8+'Match Data'!IF8</f>
        <v>0</v>
      </c>
      <c r="Q8" s="94">
        <f>'Match Data'!P8+'Match Data'!AO8+'Match Data'!BN8+'Match Data'!CM8+'Match Data'!DL8+'Match Data'!EK8+'Match Data'!FJ8+'Match Data'!GI8+'Match Data'!HH8+'Match Data'!IG8</f>
        <v>0</v>
      </c>
      <c r="R8" s="94">
        <f>'Match Data'!Q8+'Match Data'!AP8+'Match Data'!BO8+'Match Data'!CN8+'Match Data'!DM8+'Match Data'!EL8+'Match Data'!FK8+'Match Data'!GJ8+'Match Data'!HI8+'Match Data'!IH8</f>
        <v>0</v>
      </c>
      <c r="S8" s="94">
        <v>0</v>
      </c>
      <c r="T8" s="94">
        <v>0</v>
      </c>
      <c r="U8" s="94">
        <f>'Match Data'!S8+'Match Data'!AR8+'Match Data'!BQ8+'Match Data'!CP8+'Match Data'!DO8+'Match Data'!EN8+'Match Data'!FM8+'Match Data'!GL8+'Match Data'!HK8+'Match Data'!IJ8</f>
        <v>0</v>
      </c>
      <c r="V8" s="95">
        <f>'Match Data'!T8+'Match Data'!AS8+'Match Data'!BR8+'Match Data'!CQ8+'Match Data'!DP8+'Match Data'!EO8+'Match Data'!FN8+'Match Data'!GM8+'Match Data'!HL8+'Match Data'!IK8</f>
        <v>0</v>
      </c>
      <c r="W8" s="94">
        <f>'Match Data'!U8+'Match Data'!AT8+'Match Data'!BS8+'Match Data'!CR8+'Match Data'!DQ8+'Match Data'!EP8+'Match Data'!FO8+'Match Data'!GN8+'Match Data'!HM8+'Match Data'!IL8</f>
        <v>0</v>
      </c>
      <c r="X8" s="94">
        <f>'Match Data'!V8+'Match Data'!AU8+'Match Data'!BT8+'Match Data'!CS8+'Match Data'!DR8+'Match Data'!EQ8+'Match Data'!FP8+'Match Data'!GO8+'Match Data'!HN8+'Match Data'!IM8</f>
        <v>0</v>
      </c>
      <c r="Y8" s="94">
        <f>'Match Data'!W8+'Match Data'!AV8+'Match Data'!BU8+'Match Data'!CT8+'Match Data'!DS8+'Match Data'!ER8+'Match Data'!FQ8+'Match Data'!GP8+'Match Data'!HO8+'Match Data'!IN8</f>
        <v>0</v>
      </c>
      <c r="Z8" s="94">
        <f>'Match Data'!X8+'Match Data'!AW8+'Match Data'!BV8+'Match Data'!CU8+'Match Data'!DT8+'Match Data'!ES8+'Match Data'!FR8+'Match Data'!GQ8+'Match Data'!HP8+'Match Data'!IO8</f>
        <v>0</v>
      </c>
      <c r="AA8" s="94">
        <f>'Match Data'!Y8+'Match Data'!AX8+'Match Data'!BW8+'Match Data'!CV8+'Match Data'!DU8+'Match Data'!ET8+'Match Data'!FS8+'Match Data'!GR8+'Match Data'!HQ8+'Match Data'!IP8</f>
        <v>0</v>
      </c>
      <c r="AB8" s="117">
        <f>'Match Data'!Z8+'Match Data'!AY8+'Match Data'!BX8+'Match Data'!CW8+'Match Data'!DV8+'Match Data'!EU8+'Match Data'!FT8+'Match Data'!GS8+'Match Data'!HR8+'Match Data'!IQ8</f>
        <v>0</v>
      </c>
      <c r="AC8" s="99">
        <f>'Alliance Data'!B7+'Alliance Data'!L7+'Alliance Data'!V7+'Alliance Data'!AF7+'Alliance Data'!AP7+'Alliance Data'!AZ7+'Alliance Data'!BJ7+'Alliance Data'!BT7+'Alliance Data'!CD7+'Alliance Data'!CN7</f>
        <v>0</v>
      </c>
      <c r="AD8" s="118">
        <f>('Alliance Data'!C7+'Alliance Data'!M7+'Alliance Data'!W7+'Alliance Data'!AG7+'Alliance Data'!AQ7+'Alliance Data'!BA7+'Alliance Data'!BK7+'Alliance Data'!BU7+'Alliance Data'!CE7+'Alliance Data'!CO7)/Value!Q6</f>
        <v>0</v>
      </c>
      <c r="AE8" s="118">
        <f>('Alliance Data'!D7+'Alliance Data'!N7+'Alliance Data'!X7+'Alliance Data'!AH7+'Alliance Data'!AR7+'Alliance Data'!BB7+'Alliance Data'!BL7+'Alliance Data'!BV7+'Alliance Data'!CF7+'Alliance Data'!CP7)/Value!Q6</f>
        <v>0</v>
      </c>
      <c r="AF8" s="118">
        <f>('Alliance Data'!E7+'Alliance Data'!O7+'Alliance Data'!Y7+'Alliance Data'!AI7+'Alliance Data'!AS7+'Alliance Data'!BC7+'Alliance Data'!BM7+'Alliance Data'!BW7+'Alliance Data'!CG7+'Alliance Data'!CQ7)/Value!Q6</f>
        <v>0</v>
      </c>
      <c r="AG8" s="118">
        <f>('Alliance Data'!F7+'Alliance Data'!P7+'Alliance Data'!Z7+'Alliance Data'!AJ7+'Alliance Data'!AT7+'Alliance Data'!BD7+'Alliance Data'!BN7+'Alliance Data'!BX7+'Alliance Data'!CH7+'Alliance Data'!CR7)/Value!Q6</f>
        <v>0</v>
      </c>
      <c r="AH8" s="118">
        <f>('Alliance Data'!G7+'Alliance Data'!Q7+'Alliance Data'!AA7+'Alliance Data'!AK7+'Alliance Data'!AU7+'Alliance Data'!BE7+'Alliance Data'!BO7+'Alliance Data'!BY7+'Alliance Data'!CI7+'Alliance Data'!CS7)/Value!Q6</f>
        <v>0</v>
      </c>
      <c r="AI8" s="118">
        <f>('Alliance Data'!H7+'Alliance Data'!R7+'Alliance Data'!AB7+'Alliance Data'!AL7+'Alliance Data'!AV7+'Alliance Data'!BF7+'Alliance Data'!BP7+'Alliance Data'!BZ7+'Alliance Data'!CJ7+'Alliance Data'!CT7)/Value!Q6</f>
        <v>0</v>
      </c>
      <c r="AJ8" s="118">
        <f>('Alliance Data'!I7+'Alliance Data'!S7+'Alliance Data'!AC7+'Alliance Data'!AM7+'Alliance Data'!AW7+'Alliance Data'!BG7+'Alliance Data'!BQ7+'Alliance Data'!CA7+'Alliance Data'!CK7+'Alliance Data'!CU7)/Value!Q6</f>
        <v>0</v>
      </c>
      <c r="AK8" s="118">
        <f>'Alliance Data'!J7+'Alliance Data'!T7+'Alliance Data'!AD7+'Alliance Data'!AN7+'Alliance Data'!AX7+'Alliance Data'!BH7+'Alliance Data'!BR7+'Alliance Data'!CB7+'Alliance Data'!CL7+'Alliance Data'!CV7</f>
        <v>0</v>
      </c>
      <c r="AL8" s="119">
        <f>'Alliance Data'!K7+'Alliance Data'!U7+'Alliance Data'!AE7+'Alliance Data'!AO7+'Alliance Data'!AY7+'Alliance Data'!BI7+'Alliance Data'!BS7+'Alliance Data'!CC7+'Alliance Data'!CM7+'Alliance Data'!CW7</f>
        <v>0</v>
      </c>
    </row>
    <row r="9" spans="1:38" x14ac:dyDescent="0.25">
      <c r="A9" s="86">
        <v>1259</v>
      </c>
      <c r="B9" s="99">
        <f>'Match Data'!B9+'Match Data'!AA9+'Match Data'!AZ9+'Match Data'!BY9+'Match Data'!CX9+'Match Data'!DW9+'Match Data'!EV9+'Match Data'!FU9+'Match Data'!GT9+'Match Data'!HS9</f>
        <v>0</v>
      </c>
      <c r="C9" s="94">
        <f>'Match Data'!C9+'Match Data'!AB9+'Match Data'!BA9+'Match Data'!BZ9+'Match Data'!CY9+'Match Data'!DX9+'Match Data'!EW9+'Match Data'!FV9+'Match Data'!GU9+'Match Data'!HT9</f>
        <v>0</v>
      </c>
      <c r="D9" s="94">
        <f>'Match Data'!D9+'Match Data'!AC9+'Match Data'!BB9+'Match Data'!CA9+'Match Data'!CZ9+'Match Data'!DY9+'Match Data'!EX9+'Match Data'!FW9+'Match Data'!GV9+'Match Data'!HU9</f>
        <v>0</v>
      </c>
      <c r="E9" s="94">
        <f>'Match Data'!E9+'Match Data'!AD9+'Match Data'!BC9+'Match Data'!CB9+'Match Data'!DA9+'Match Data'!DZ9+'Match Data'!EY9+'Match Data'!FX9+'Match Data'!GW9+'Match Data'!HV9</f>
        <v>0</v>
      </c>
      <c r="F9" s="94">
        <f>'Match Data'!F9+'Match Data'!AE9+'Match Data'!BD9+'Match Data'!CC9+'Match Data'!DB9+'Match Data'!EA9+'Match Data'!EZ9+'Match Data'!FY9+'Match Data'!GX9+'Match Data'!HW9</f>
        <v>0</v>
      </c>
      <c r="G9" s="94">
        <f>'Match Data'!G9+'Match Data'!AF9+'Match Data'!BE9+'Match Data'!CD9+'Match Data'!DC9+'Match Data'!EB9+'Match Data'!FA9+'Match Data'!FZ9+'Match Data'!GY9+'Match Data'!HX9</f>
        <v>0</v>
      </c>
      <c r="H9" s="94">
        <f>'Match Data'!H9+'Match Data'!AG9+'Match Data'!BF9+'Match Data'!CE9+'Match Data'!DD9+'Match Data'!EC9+'Match Data'!FB9+'Match Data'!GA9+'Match Data'!GZ9+'Match Data'!HY9</f>
        <v>0</v>
      </c>
      <c r="I9" s="94">
        <f>'Match Data'!I9+'Match Data'!AH9+'Match Data'!BG9+'Match Data'!CF9+'Match Data'!DE9+'Match Data'!ED9+'Match Data'!FC9+'Match Data'!GB9+'Match Data'!HA9+'Match Data'!HZ9</f>
        <v>0</v>
      </c>
      <c r="J9" s="94" t="e">
        <f>(Table5[[#This Row],[High Made]]+Table5[[#This Row],[Low Made]])/(SUM(Table5[[#This Row],[High Made]:[Low Miss]]))</f>
        <v>#DIV/0!</v>
      </c>
      <c r="K9" s="94">
        <f>'Match Data'!J9+'Match Data'!AI9+'Match Data'!BH9+'Match Data'!CG9+'Match Data'!DF9+'Match Data'!EE9+'Match Data'!FD9+'Match Data'!GC9+'Match Data'!HB9+'Match Data'!IA9</f>
        <v>0</v>
      </c>
      <c r="L9" s="94">
        <f>'Match Data'!K9+'Match Data'!AJ9+'Match Data'!BI9+'Match Data'!CH9+'Match Data'!DG9+'Match Data'!EF9+'Match Data'!FE9+'Match Data'!GD9+'Match Data'!HC9+'Match Data'!IB9</f>
        <v>0</v>
      </c>
      <c r="M9" s="94">
        <f>'Match Data'!L9+'Match Data'!AK9+'Match Data'!BJ9+'Match Data'!CI9+'Match Data'!DH9+'Match Data'!EG9+'Match Data'!FF9+'Match Data'!GE9+'Match Data'!HD9+'Match Data'!IC9</f>
        <v>0</v>
      </c>
      <c r="N9" s="94">
        <f>'Match Data'!M9+'Match Data'!AL9+'Match Data'!BK9+'Match Data'!CJ9+'Match Data'!DI9+'Match Data'!EH9+'Match Data'!FG9+'Match Data'!GF9+'Match Data'!HE9+'Match Data'!ID9</f>
        <v>0</v>
      </c>
      <c r="O9" s="94">
        <f>'Match Data'!N9+'Match Data'!AM9+'Match Data'!BL9+'Match Data'!CK9+'Match Data'!DJ9+'Match Data'!EI9+'Match Data'!FH9+'Match Data'!GG9+'Match Data'!HF9+'Match Data'!IE9</f>
        <v>0</v>
      </c>
      <c r="P9" s="94">
        <f>'Match Data'!O9+'Match Data'!AN9+'Match Data'!BM9+'Match Data'!CL9+'Match Data'!DK9+'Match Data'!EJ9+'Match Data'!FI9+'Match Data'!GH9+'Match Data'!HG9+'Match Data'!IF9</f>
        <v>0</v>
      </c>
      <c r="Q9" s="94">
        <f>'Match Data'!P9+'Match Data'!AO9+'Match Data'!BN9+'Match Data'!CM9+'Match Data'!DL9+'Match Data'!EK9+'Match Data'!FJ9+'Match Data'!GI9+'Match Data'!HH9+'Match Data'!IG9</f>
        <v>0</v>
      </c>
      <c r="R9" s="94">
        <f>'Match Data'!Q9+'Match Data'!AP9+'Match Data'!BO9+'Match Data'!CN9+'Match Data'!DM9+'Match Data'!EL9+'Match Data'!FK9+'Match Data'!GJ9+'Match Data'!HI9+'Match Data'!IH9</f>
        <v>0</v>
      </c>
      <c r="S9" s="94">
        <v>0</v>
      </c>
      <c r="T9" s="94">
        <v>0</v>
      </c>
      <c r="U9" s="94">
        <f>'Match Data'!S9+'Match Data'!AR9+'Match Data'!BQ9+'Match Data'!CP9+'Match Data'!DO9+'Match Data'!EN9+'Match Data'!FM9+'Match Data'!GL9+'Match Data'!HK9+'Match Data'!IJ9</f>
        <v>0</v>
      </c>
      <c r="V9" s="95">
        <f>'Match Data'!T9+'Match Data'!AS9+'Match Data'!BR9+'Match Data'!CQ9+'Match Data'!DP9+'Match Data'!EO9+'Match Data'!FN9+'Match Data'!GM9+'Match Data'!HL9+'Match Data'!IK9</f>
        <v>0</v>
      </c>
      <c r="W9" s="94">
        <f>'Match Data'!U9+'Match Data'!AT9+'Match Data'!BS9+'Match Data'!CR9+'Match Data'!DQ9+'Match Data'!EP9+'Match Data'!FO9+'Match Data'!GN9+'Match Data'!HM9+'Match Data'!IL9</f>
        <v>0</v>
      </c>
      <c r="X9" s="94">
        <f>'Match Data'!V9+'Match Data'!AU9+'Match Data'!BT9+'Match Data'!CS9+'Match Data'!DR9+'Match Data'!EQ9+'Match Data'!FP9+'Match Data'!GO9+'Match Data'!HN9+'Match Data'!IM9</f>
        <v>0</v>
      </c>
      <c r="Y9" s="94">
        <f>'Match Data'!W9+'Match Data'!AV9+'Match Data'!BU9+'Match Data'!CT9+'Match Data'!DS9+'Match Data'!ER9+'Match Data'!FQ9+'Match Data'!GP9+'Match Data'!HO9+'Match Data'!IN9</f>
        <v>0</v>
      </c>
      <c r="Z9" s="94">
        <f>'Match Data'!X9+'Match Data'!AW9+'Match Data'!BV9+'Match Data'!CU9+'Match Data'!DT9+'Match Data'!ES9+'Match Data'!FR9+'Match Data'!GQ9+'Match Data'!HP9+'Match Data'!IO9</f>
        <v>0</v>
      </c>
      <c r="AA9" s="94">
        <f>'Match Data'!Y9+'Match Data'!AX9+'Match Data'!BW9+'Match Data'!CV9+'Match Data'!DU9+'Match Data'!ET9+'Match Data'!FS9+'Match Data'!GR9+'Match Data'!HQ9+'Match Data'!IP9</f>
        <v>0</v>
      </c>
      <c r="AB9" s="117">
        <f>'Match Data'!Z9+'Match Data'!AY9+'Match Data'!BX9+'Match Data'!CW9+'Match Data'!DV9+'Match Data'!EU9+'Match Data'!FT9+'Match Data'!GS9+'Match Data'!HR9+'Match Data'!IQ9</f>
        <v>0</v>
      </c>
      <c r="AC9" s="99">
        <f>'Alliance Data'!B8+'Alliance Data'!L8+'Alliance Data'!V8+'Alliance Data'!AF8+'Alliance Data'!AP8+'Alliance Data'!AZ8+'Alliance Data'!BJ8+'Alliance Data'!BT8+'Alliance Data'!CD8+'Alliance Data'!CN8</f>
        <v>0</v>
      </c>
      <c r="AD9" s="118">
        <f>('Alliance Data'!C8+'Alliance Data'!M8+'Alliance Data'!W8+'Alliance Data'!AG8+'Alliance Data'!AQ8+'Alliance Data'!BA8+'Alliance Data'!BK8+'Alliance Data'!BU8+'Alliance Data'!CE8+'Alliance Data'!CO8)/Value!Q7</f>
        <v>0</v>
      </c>
      <c r="AE9" s="118">
        <f>('Alliance Data'!D8+'Alliance Data'!N8+'Alliance Data'!X8+'Alliance Data'!AH8+'Alliance Data'!AR8+'Alliance Data'!BB8+'Alliance Data'!BL8+'Alliance Data'!BV8+'Alliance Data'!CF8+'Alliance Data'!CP8)/Value!Q7</f>
        <v>0</v>
      </c>
      <c r="AF9" s="118">
        <f>('Alliance Data'!E8+'Alliance Data'!O8+'Alliance Data'!Y8+'Alliance Data'!AI8+'Alliance Data'!AS8+'Alliance Data'!BC8+'Alliance Data'!BM8+'Alliance Data'!BW8+'Alliance Data'!CG8+'Alliance Data'!CQ8)/Value!Q7</f>
        <v>0</v>
      </c>
      <c r="AG9" s="118">
        <f>('Alliance Data'!F8+'Alliance Data'!P8+'Alliance Data'!Z8+'Alliance Data'!AJ8+'Alliance Data'!AT8+'Alliance Data'!BD8+'Alliance Data'!BN8+'Alliance Data'!BX8+'Alliance Data'!CH8+'Alliance Data'!CR8)/Value!Q7</f>
        <v>0</v>
      </c>
      <c r="AH9" s="118">
        <f>('Alliance Data'!G8+'Alliance Data'!Q8+'Alliance Data'!AA8+'Alliance Data'!AK8+'Alliance Data'!AU8+'Alliance Data'!BE8+'Alliance Data'!BO8+'Alliance Data'!BY8+'Alliance Data'!CI8+'Alliance Data'!CS8)/Value!Q7</f>
        <v>0</v>
      </c>
      <c r="AI9" s="118">
        <f>('Alliance Data'!H8+'Alliance Data'!R8+'Alliance Data'!AB8+'Alliance Data'!AL8+'Alliance Data'!AV8+'Alliance Data'!BF8+'Alliance Data'!BP8+'Alliance Data'!BZ8+'Alliance Data'!CJ8+'Alliance Data'!CT8)/Value!Q7</f>
        <v>0</v>
      </c>
      <c r="AJ9" s="118">
        <f>('Alliance Data'!I8+'Alliance Data'!S8+'Alliance Data'!AC8+'Alliance Data'!AM8+'Alliance Data'!AW8+'Alliance Data'!BG8+'Alliance Data'!BQ8+'Alliance Data'!CA8+'Alliance Data'!CK8+'Alliance Data'!CU8)/Value!Q7</f>
        <v>0</v>
      </c>
      <c r="AK9" s="118">
        <f>'Alliance Data'!J8+'Alliance Data'!T8+'Alliance Data'!AD8+'Alliance Data'!AN8+'Alliance Data'!AX8+'Alliance Data'!BH8+'Alliance Data'!BR8+'Alliance Data'!CB8+'Alliance Data'!CL8+'Alliance Data'!CV8</f>
        <v>0</v>
      </c>
      <c r="AL9" s="119">
        <f>'Alliance Data'!K8+'Alliance Data'!U8+'Alliance Data'!AE8+'Alliance Data'!AO8+'Alliance Data'!AY8+'Alliance Data'!BI8+'Alliance Data'!BS8+'Alliance Data'!CC8+'Alliance Data'!CM8+'Alliance Data'!CW8</f>
        <v>0</v>
      </c>
    </row>
    <row r="10" spans="1:38" x14ac:dyDescent="0.25">
      <c r="A10" s="86">
        <v>1716</v>
      </c>
      <c r="B10" s="99">
        <f>'Match Data'!B10+'Match Data'!AA10+'Match Data'!AZ10+'Match Data'!BY10+'Match Data'!CX10+'Match Data'!DW10+'Match Data'!EV10+'Match Data'!FU10+'Match Data'!GT10+'Match Data'!HS10</f>
        <v>0</v>
      </c>
      <c r="C10" s="94">
        <f>'Match Data'!C10+'Match Data'!AB10+'Match Data'!BA10+'Match Data'!BZ10+'Match Data'!CY10+'Match Data'!DX10+'Match Data'!EW10+'Match Data'!FV10+'Match Data'!GU10+'Match Data'!HT10</f>
        <v>0</v>
      </c>
      <c r="D10" s="94">
        <f>'Match Data'!D10+'Match Data'!AC10+'Match Data'!BB10+'Match Data'!CA10+'Match Data'!CZ10+'Match Data'!DY10+'Match Data'!EX10+'Match Data'!FW10+'Match Data'!GV10+'Match Data'!HU10</f>
        <v>0</v>
      </c>
      <c r="E10" s="94">
        <f>'Match Data'!E10+'Match Data'!AD10+'Match Data'!BC10+'Match Data'!CB10+'Match Data'!DA10+'Match Data'!DZ10+'Match Data'!EY10+'Match Data'!FX10+'Match Data'!GW10+'Match Data'!HV10</f>
        <v>0</v>
      </c>
      <c r="F10" s="94">
        <f>'Match Data'!F10+'Match Data'!AE10+'Match Data'!BD10+'Match Data'!CC10+'Match Data'!DB10+'Match Data'!EA10+'Match Data'!EZ10+'Match Data'!FY10+'Match Data'!GX10+'Match Data'!HW10</f>
        <v>0</v>
      </c>
      <c r="G10" s="94">
        <f>'Match Data'!G10+'Match Data'!AF10+'Match Data'!BE10+'Match Data'!CD10+'Match Data'!DC10+'Match Data'!EB10+'Match Data'!FA10+'Match Data'!FZ10+'Match Data'!GY10+'Match Data'!HX10</f>
        <v>0</v>
      </c>
      <c r="H10" s="94">
        <f>'Match Data'!H10+'Match Data'!AG10+'Match Data'!BF10+'Match Data'!CE10+'Match Data'!DD10+'Match Data'!EC10+'Match Data'!FB10+'Match Data'!GA10+'Match Data'!GZ10+'Match Data'!HY10</f>
        <v>0</v>
      </c>
      <c r="I10" s="94">
        <f>'Match Data'!I10+'Match Data'!AH10+'Match Data'!BG10+'Match Data'!CF10+'Match Data'!DE10+'Match Data'!ED10+'Match Data'!FC10+'Match Data'!GB10+'Match Data'!HA10+'Match Data'!HZ10</f>
        <v>0</v>
      </c>
      <c r="J10" s="94" t="e">
        <f>(Table5[[#This Row],[High Made]]+Table5[[#This Row],[Low Made]])/(SUM(Table5[[#This Row],[High Made]:[Low Miss]]))</f>
        <v>#DIV/0!</v>
      </c>
      <c r="K10" s="94">
        <f>'Match Data'!J10+'Match Data'!AI10+'Match Data'!BH10+'Match Data'!CG10+'Match Data'!DF10+'Match Data'!EE10+'Match Data'!FD10+'Match Data'!GC10+'Match Data'!HB10+'Match Data'!IA10</f>
        <v>0</v>
      </c>
      <c r="L10" s="94">
        <f>'Match Data'!K10+'Match Data'!AJ10+'Match Data'!BI10+'Match Data'!CH10+'Match Data'!DG10+'Match Data'!EF10+'Match Data'!FE10+'Match Data'!GD10+'Match Data'!HC10+'Match Data'!IB10</f>
        <v>0</v>
      </c>
      <c r="M10" s="94">
        <f>'Match Data'!L10+'Match Data'!AK10+'Match Data'!BJ10+'Match Data'!CI10+'Match Data'!DH10+'Match Data'!EG10+'Match Data'!FF10+'Match Data'!GE10+'Match Data'!HD10+'Match Data'!IC10</f>
        <v>0</v>
      </c>
      <c r="N10" s="94">
        <f>'Match Data'!M10+'Match Data'!AL10+'Match Data'!BK10+'Match Data'!CJ10+'Match Data'!DI10+'Match Data'!EH10+'Match Data'!FG10+'Match Data'!GF10+'Match Data'!HE10+'Match Data'!ID10</f>
        <v>0</v>
      </c>
      <c r="O10" s="94">
        <f>'Match Data'!N10+'Match Data'!AM10+'Match Data'!BL10+'Match Data'!CK10+'Match Data'!DJ10+'Match Data'!EI10+'Match Data'!FH10+'Match Data'!GG10+'Match Data'!HF10+'Match Data'!IE10</f>
        <v>0</v>
      </c>
      <c r="P10" s="94">
        <f>'Match Data'!O10+'Match Data'!AN10+'Match Data'!BM10+'Match Data'!CL10+'Match Data'!DK10+'Match Data'!EJ10+'Match Data'!FI10+'Match Data'!GH10+'Match Data'!HG10+'Match Data'!IF10</f>
        <v>0</v>
      </c>
      <c r="Q10" s="94">
        <f>'Match Data'!P10+'Match Data'!AO10+'Match Data'!BN10+'Match Data'!CM10+'Match Data'!DL10+'Match Data'!EK10+'Match Data'!FJ10+'Match Data'!GI10+'Match Data'!HH10+'Match Data'!IG10</f>
        <v>0</v>
      </c>
      <c r="R10" s="94">
        <f>'Match Data'!Q10+'Match Data'!AP10+'Match Data'!BO10+'Match Data'!CN10+'Match Data'!DM10+'Match Data'!EL10+'Match Data'!FK10+'Match Data'!GJ10+'Match Data'!HI10+'Match Data'!IH10</f>
        <v>0</v>
      </c>
      <c r="S10" s="122">
        <v>0</v>
      </c>
      <c r="T10" s="122">
        <v>1</v>
      </c>
      <c r="U10" s="94">
        <f>'Match Data'!S10+'Match Data'!AR10+'Match Data'!BQ10+'Match Data'!CP10+'Match Data'!DO10+'Match Data'!EN10+'Match Data'!FM10+'Match Data'!GL10+'Match Data'!HK10+'Match Data'!IJ10</f>
        <v>0</v>
      </c>
      <c r="V10" s="95">
        <f>'Match Data'!T10+'Match Data'!AS10+'Match Data'!BR10+'Match Data'!CQ10+'Match Data'!DP10+'Match Data'!EO10+'Match Data'!FN10+'Match Data'!GM10+'Match Data'!HL10+'Match Data'!IK10</f>
        <v>0</v>
      </c>
      <c r="W10" s="94">
        <f>'Match Data'!U10+'Match Data'!AT10+'Match Data'!BS10+'Match Data'!CR10+'Match Data'!DQ10+'Match Data'!EP10+'Match Data'!FO10+'Match Data'!GN10+'Match Data'!HM10+'Match Data'!IL10</f>
        <v>0</v>
      </c>
      <c r="X10" s="94">
        <f>'Match Data'!V10+'Match Data'!AU10+'Match Data'!BT10+'Match Data'!CS10+'Match Data'!DR10+'Match Data'!EQ10+'Match Data'!FP10+'Match Data'!GO10+'Match Data'!HN10+'Match Data'!IM10</f>
        <v>0</v>
      </c>
      <c r="Y10" s="94">
        <f>'Match Data'!W10+'Match Data'!AV10+'Match Data'!BU10+'Match Data'!CT10+'Match Data'!DS10+'Match Data'!ER10+'Match Data'!FQ10+'Match Data'!GP10+'Match Data'!HO10+'Match Data'!IN10</f>
        <v>0</v>
      </c>
      <c r="Z10" s="94">
        <f>'Match Data'!X10+'Match Data'!AW10+'Match Data'!BV10+'Match Data'!CU10+'Match Data'!DT10+'Match Data'!ES10+'Match Data'!FR10+'Match Data'!GQ10+'Match Data'!HP10+'Match Data'!IO10</f>
        <v>0</v>
      </c>
      <c r="AA10" s="94">
        <f>'Match Data'!Y10+'Match Data'!AX10+'Match Data'!BW10+'Match Data'!CV10+'Match Data'!DU10+'Match Data'!ET10+'Match Data'!FS10+'Match Data'!GR10+'Match Data'!HQ10+'Match Data'!IP10</f>
        <v>0</v>
      </c>
      <c r="AB10" s="117">
        <f>'Match Data'!Z10+'Match Data'!AY10+'Match Data'!BX10+'Match Data'!CW10+'Match Data'!DV10+'Match Data'!EU10+'Match Data'!FT10+'Match Data'!GS10+'Match Data'!HR10+'Match Data'!IQ10</f>
        <v>0</v>
      </c>
      <c r="AC10" s="99">
        <f>'Alliance Data'!B9+'Alliance Data'!L9+'Alliance Data'!V9+'Alliance Data'!AF9+'Alliance Data'!AP9+'Alliance Data'!AZ9+'Alliance Data'!BJ9+'Alliance Data'!BT9+'Alliance Data'!CD9+'Alliance Data'!CN9</f>
        <v>0</v>
      </c>
      <c r="AD10" s="118">
        <f>('Alliance Data'!C9+'Alliance Data'!M9+'Alliance Data'!W9+'Alliance Data'!AG9+'Alliance Data'!AQ9+'Alliance Data'!BA9+'Alliance Data'!BK9+'Alliance Data'!BU9+'Alliance Data'!CE9+'Alliance Data'!CO9)/Value!Q8</f>
        <v>0</v>
      </c>
      <c r="AE10" s="118">
        <f>('Alliance Data'!D9+'Alliance Data'!N9+'Alliance Data'!X9+'Alliance Data'!AH9+'Alliance Data'!AR9+'Alliance Data'!BB9+'Alliance Data'!BL9+'Alliance Data'!BV9+'Alliance Data'!CF9+'Alliance Data'!CP9)/Value!Q8</f>
        <v>0</v>
      </c>
      <c r="AF10" s="118">
        <f>('Alliance Data'!E9+'Alliance Data'!O9+'Alliance Data'!Y9+'Alliance Data'!AI9+'Alliance Data'!AS9+'Alliance Data'!BC9+'Alliance Data'!BM9+'Alliance Data'!BW9+'Alliance Data'!CG9+'Alliance Data'!CQ9)/Value!Q8</f>
        <v>0</v>
      </c>
      <c r="AG10" s="118">
        <f>('Alliance Data'!F9+'Alliance Data'!P9+'Alliance Data'!Z9+'Alliance Data'!AJ9+'Alliance Data'!AT9+'Alliance Data'!BD9+'Alliance Data'!BN9+'Alliance Data'!BX9+'Alliance Data'!CH9+'Alliance Data'!CR9)/Value!Q8</f>
        <v>0</v>
      </c>
      <c r="AH10" s="118">
        <f>('Alliance Data'!G9+'Alliance Data'!Q9+'Alliance Data'!AA9+'Alliance Data'!AK9+'Alliance Data'!AU9+'Alliance Data'!BE9+'Alliance Data'!BO9+'Alliance Data'!BY9+'Alliance Data'!CI9+'Alliance Data'!CS9)/Value!Q8</f>
        <v>0</v>
      </c>
      <c r="AI10" s="118">
        <f>('Alliance Data'!H9+'Alliance Data'!R9+'Alliance Data'!AB9+'Alliance Data'!AL9+'Alliance Data'!AV9+'Alliance Data'!BF9+'Alliance Data'!BP9+'Alliance Data'!BZ9+'Alliance Data'!CJ9+'Alliance Data'!CT9)/Value!Q8</f>
        <v>0</v>
      </c>
      <c r="AJ10" s="118">
        <f>('Alliance Data'!I9+'Alliance Data'!S9+'Alliance Data'!AC9+'Alliance Data'!AM9+'Alliance Data'!AW9+'Alliance Data'!BG9+'Alliance Data'!BQ9+'Alliance Data'!CA9+'Alliance Data'!CK9+'Alliance Data'!CU9)/Value!Q8</f>
        <v>0</v>
      </c>
      <c r="AK10" s="118">
        <f>'Alliance Data'!J9+'Alliance Data'!T9+'Alliance Data'!AD9+'Alliance Data'!AN9+'Alliance Data'!AX9+'Alliance Data'!BH9+'Alliance Data'!BR9+'Alliance Data'!CB9+'Alliance Data'!CL9+'Alliance Data'!CV9</f>
        <v>0</v>
      </c>
      <c r="AL10" s="119">
        <f>'Alliance Data'!K9+'Alliance Data'!U9+'Alliance Data'!AE9+'Alliance Data'!AO9+'Alliance Data'!AY9+'Alliance Data'!BI9+'Alliance Data'!BS9+'Alliance Data'!CC9+'Alliance Data'!CM9+'Alliance Data'!CW9</f>
        <v>0</v>
      </c>
    </row>
    <row r="11" spans="1:38" x14ac:dyDescent="0.25">
      <c r="A11" s="86">
        <v>1781</v>
      </c>
      <c r="B11" s="99">
        <f>'Match Data'!B11+'Match Data'!AA11+'Match Data'!AZ11+'Match Data'!BY11+'Match Data'!CX11+'Match Data'!DW11+'Match Data'!EV11+'Match Data'!FU11+'Match Data'!GT11+'Match Data'!HS11</f>
        <v>0</v>
      </c>
      <c r="C11" s="94">
        <f>'Match Data'!C11+'Match Data'!AB11+'Match Data'!BA11+'Match Data'!BZ11+'Match Data'!CY11+'Match Data'!DX11+'Match Data'!EW11+'Match Data'!FV11+'Match Data'!GU11+'Match Data'!HT11</f>
        <v>0</v>
      </c>
      <c r="D11" s="94">
        <f>'Match Data'!D11+'Match Data'!AC11+'Match Data'!BB11+'Match Data'!CA11+'Match Data'!CZ11+'Match Data'!DY11+'Match Data'!EX11+'Match Data'!FW11+'Match Data'!GV11+'Match Data'!HU11</f>
        <v>0</v>
      </c>
      <c r="E11" s="94">
        <f>'Match Data'!E11+'Match Data'!AD11+'Match Data'!BC11+'Match Data'!CB11+'Match Data'!DA11+'Match Data'!DZ11+'Match Data'!EY11+'Match Data'!FX11+'Match Data'!GW11+'Match Data'!HV11</f>
        <v>0</v>
      </c>
      <c r="F11" s="94">
        <f>'Match Data'!F11+'Match Data'!AE11+'Match Data'!BD11+'Match Data'!CC11+'Match Data'!DB11+'Match Data'!EA11+'Match Data'!EZ11+'Match Data'!FY11+'Match Data'!GX11+'Match Data'!HW11</f>
        <v>0</v>
      </c>
      <c r="G11" s="94">
        <f>'Match Data'!G11+'Match Data'!AF11+'Match Data'!BE11+'Match Data'!CD11+'Match Data'!DC11+'Match Data'!EB11+'Match Data'!FA11+'Match Data'!FZ11+'Match Data'!GY11+'Match Data'!HX11</f>
        <v>0</v>
      </c>
      <c r="H11" s="94">
        <f>'Match Data'!H11+'Match Data'!AG11+'Match Data'!BF11+'Match Data'!CE11+'Match Data'!DD11+'Match Data'!EC11+'Match Data'!FB11+'Match Data'!GA11+'Match Data'!GZ11+'Match Data'!HY11</f>
        <v>0</v>
      </c>
      <c r="I11" s="94">
        <f>'Match Data'!I11+'Match Data'!AH11+'Match Data'!BG11+'Match Data'!CF11+'Match Data'!DE11+'Match Data'!ED11+'Match Data'!FC11+'Match Data'!GB11+'Match Data'!HA11+'Match Data'!HZ11</f>
        <v>0</v>
      </c>
      <c r="J11" s="94" t="e">
        <f>(Table5[[#This Row],[High Made]]+Table5[[#This Row],[Low Made]])/(SUM(Table5[[#This Row],[High Made]:[Low Miss]]))</f>
        <v>#DIV/0!</v>
      </c>
      <c r="K11" s="94">
        <f>'Match Data'!J11+'Match Data'!AI11+'Match Data'!BH11+'Match Data'!CG11+'Match Data'!DF11+'Match Data'!EE11+'Match Data'!FD11+'Match Data'!GC11+'Match Data'!HB11+'Match Data'!IA11</f>
        <v>0</v>
      </c>
      <c r="L11" s="94">
        <f>'Match Data'!K11+'Match Data'!AJ11+'Match Data'!BI11+'Match Data'!CH11+'Match Data'!DG11+'Match Data'!EF11+'Match Data'!FE11+'Match Data'!GD11+'Match Data'!HC11+'Match Data'!IB11</f>
        <v>0</v>
      </c>
      <c r="M11" s="94">
        <f>'Match Data'!L11+'Match Data'!AK11+'Match Data'!BJ11+'Match Data'!CI11+'Match Data'!DH11+'Match Data'!EG11+'Match Data'!FF11+'Match Data'!GE11+'Match Data'!HD11+'Match Data'!IC11</f>
        <v>0</v>
      </c>
      <c r="N11" s="94">
        <f>'Match Data'!M11+'Match Data'!AL11+'Match Data'!BK11+'Match Data'!CJ11+'Match Data'!DI11+'Match Data'!EH11+'Match Data'!FG11+'Match Data'!GF11+'Match Data'!HE11+'Match Data'!ID11</f>
        <v>0</v>
      </c>
      <c r="O11" s="94">
        <f>'Match Data'!N11+'Match Data'!AM11+'Match Data'!BL11+'Match Data'!CK11+'Match Data'!DJ11+'Match Data'!EI11+'Match Data'!FH11+'Match Data'!GG11+'Match Data'!HF11+'Match Data'!IE11</f>
        <v>0</v>
      </c>
      <c r="P11" s="94">
        <f>'Match Data'!O11+'Match Data'!AN11+'Match Data'!BM11+'Match Data'!CL11+'Match Data'!DK11+'Match Data'!EJ11+'Match Data'!FI11+'Match Data'!GH11+'Match Data'!HG11+'Match Data'!IF11</f>
        <v>0</v>
      </c>
      <c r="Q11" s="94">
        <f>'Match Data'!P11+'Match Data'!AO11+'Match Data'!BN11+'Match Data'!CM11+'Match Data'!DL11+'Match Data'!EK11+'Match Data'!FJ11+'Match Data'!GI11+'Match Data'!HH11+'Match Data'!IG11</f>
        <v>0</v>
      </c>
      <c r="R11" s="94">
        <f>'Match Data'!Q11+'Match Data'!AP11+'Match Data'!BO11+'Match Data'!CN11+'Match Data'!DM11+'Match Data'!EL11+'Match Data'!FK11+'Match Data'!GJ11+'Match Data'!HI11+'Match Data'!IH11</f>
        <v>0</v>
      </c>
      <c r="S11" s="122">
        <v>0</v>
      </c>
      <c r="T11" s="122">
        <v>0</v>
      </c>
      <c r="U11" s="94">
        <f>'Match Data'!S11+'Match Data'!AR11+'Match Data'!BQ11+'Match Data'!CP11+'Match Data'!DO11+'Match Data'!EN11+'Match Data'!FM11+'Match Data'!GL11+'Match Data'!HK11+'Match Data'!IJ11</f>
        <v>0</v>
      </c>
      <c r="V11" s="95">
        <f>'Match Data'!T11+'Match Data'!AS11+'Match Data'!BR11+'Match Data'!CQ11+'Match Data'!DP11+'Match Data'!EO11+'Match Data'!FN11+'Match Data'!GM11+'Match Data'!HL11+'Match Data'!IK11</f>
        <v>0</v>
      </c>
      <c r="W11" s="94">
        <f>'Match Data'!U11+'Match Data'!AT11+'Match Data'!BS11+'Match Data'!CR11+'Match Data'!DQ11+'Match Data'!EP11+'Match Data'!FO11+'Match Data'!GN11+'Match Data'!HM11+'Match Data'!IL11</f>
        <v>0</v>
      </c>
      <c r="X11" s="94">
        <f>'Match Data'!V11+'Match Data'!AU11+'Match Data'!BT11+'Match Data'!CS11+'Match Data'!DR11+'Match Data'!EQ11+'Match Data'!FP11+'Match Data'!GO11+'Match Data'!HN11+'Match Data'!IM11</f>
        <v>0</v>
      </c>
      <c r="Y11" s="94">
        <f>'Match Data'!W11+'Match Data'!AV11+'Match Data'!BU11+'Match Data'!CT11+'Match Data'!DS11+'Match Data'!ER11+'Match Data'!FQ11+'Match Data'!GP11+'Match Data'!HO11+'Match Data'!IN11</f>
        <v>0</v>
      </c>
      <c r="Z11" s="94">
        <f>'Match Data'!X11+'Match Data'!AW11+'Match Data'!BV11+'Match Data'!CU11+'Match Data'!DT11+'Match Data'!ES11+'Match Data'!FR11+'Match Data'!GQ11+'Match Data'!HP11+'Match Data'!IO11</f>
        <v>0</v>
      </c>
      <c r="AA11" s="94">
        <f>'Match Data'!Y11+'Match Data'!AX11+'Match Data'!BW11+'Match Data'!CV11+'Match Data'!DU11+'Match Data'!ET11+'Match Data'!FS11+'Match Data'!GR11+'Match Data'!HQ11+'Match Data'!IP11</f>
        <v>0</v>
      </c>
      <c r="AB11" s="117">
        <f>'Match Data'!Z11+'Match Data'!AY11+'Match Data'!BX11+'Match Data'!CW11+'Match Data'!DV11+'Match Data'!EU11+'Match Data'!FT11+'Match Data'!GS11+'Match Data'!HR11+'Match Data'!IQ11</f>
        <v>0</v>
      </c>
      <c r="AC11" s="99">
        <f>'Alliance Data'!B10+'Alliance Data'!L10+'Alliance Data'!V10+'Alliance Data'!AF10+'Alliance Data'!AP10+'Alliance Data'!AZ10+'Alliance Data'!BJ10+'Alliance Data'!BT10+'Alliance Data'!CD10+'Alliance Data'!CN10</f>
        <v>0</v>
      </c>
      <c r="AD11" s="118">
        <f>('Alliance Data'!C10+'Alliance Data'!M10+'Alliance Data'!W10+'Alliance Data'!AG10+'Alliance Data'!AQ10+'Alliance Data'!BA10+'Alliance Data'!BK10+'Alliance Data'!BU10+'Alliance Data'!CE10+'Alliance Data'!CO10)/Value!Q9</f>
        <v>0</v>
      </c>
      <c r="AE11" s="118">
        <f>('Alliance Data'!D10+'Alliance Data'!N10+'Alliance Data'!X10+'Alliance Data'!AH10+'Alliance Data'!AR10+'Alliance Data'!BB10+'Alliance Data'!BL10+'Alliance Data'!BV10+'Alliance Data'!CF10+'Alliance Data'!CP10)/Value!Q9</f>
        <v>0</v>
      </c>
      <c r="AF11" s="118">
        <f>('Alliance Data'!E10+'Alliance Data'!O10+'Alliance Data'!Y10+'Alliance Data'!AI10+'Alliance Data'!AS10+'Alliance Data'!BC10+'Alliance Data'!BM10+'Alliance Data'!BW10+'Alliance Data'!CG10+'Alliance Data'!CQ10)/Value!Q9</f>
        <v>0</v>
      </c>
      <c r="AG11" s="118">
        <f>('Alliance Data'!F10+'Alliance Data'!P10+'Alliance Data'!Z10+'Alliance Data'!AJ10+'Alliance Data'!AT10+'Alliance Data'!BD10+'Alliance Data'!BN10+'Alliance Data'!BX10+'Alliance Data'!CH10+'Alliance Data'!CR10)/Value!Q9</f>
        <v>0</v>
      </c>
      <c r="AH11" s="118">
        <f>('Alliance Data'!G10+'Alliance Data'!Q10+'Alliance Data'!AA10+'Alliance Data'!AK10+'Alliance Data'!AU10+'Alliance Data'!BE10+'Alliance Data'!BO10+'Alliance Data'!BY10+'Alliance Data'!CI10+'Alliance Data'!CS10)/Value!Q9</f>
        <v>0</v>
      </c>
      <c r="AI11" s="118">
        <f>('Alliance Data'!H10+'Alliance Data'!R10+'Alliance Data'!AB10+'Alliance Data'!AL10+'Alliance Data'!AV10+'Alliance Data'!BF10+'Alliance Data'!BP10+'Alliance Data'!BZ10+'Alliance Data'!CJ10+'Alliance Data'!CT10)/Value!Q9</f>
        <v>0</v>
      </c>
      <c r="AJ11" s="118">
        <f>('Alliance Data'!I10+'Alliance Data'!S10+'Alliance Data'!AC10+'Alliance Data'!AM10+'Alliance Data'!AW10+'Alliance Data'!BG10+'Alliance Data'!BQ10+'Alliance Data'!CA10+'Alliance Data'!CK10+'Alliance Data'!CU10)/Value!Q9</f>
        <v>0</v>
      </c>
      <c r="AK11" s="118">
        <f>'Alliance Data'!J10+'Alliance Data'!T10+'Alliance Data'!AD10+'Alliance Data'!AN10+'Alliance Data'!AX10+'Alliance Data'!BH10+'Alliance Data'!BR10+'Alliance Data'!CB10+'Alliance Data'!CL10+'Alliance Data'!CV10</f>
        <v>0</v>
      </c>
      <c r="AL11" s="119">
        <f>'Alliance Data'!K10+'Alliance Data'!U10+'Alliance Data'!AE10+'Alliance Data'!AO10+'Alliance Data'!AY10+'Alliance Data'!BI10+'Alliance Data'!BS10+'Alliance Data'!CC10+'Alliance Data'!CM10+'Alliance Data'!CW10</f>
        <v>0</v>
      </c>
    </row>
    <row r="12" spans="1:38" x14ac:dyDescent="0.25">
      <c r="A12" s="86">
        <v>2175</v>
      </c>
      <c r="B12" s="99">
        <f>'Match Data'!B12+'Match Data'!AA12+'Match Data'!AZ12+'Match Data'!BY12+'Match Data'!CX12+'Match Data'!DW12+'Match Data'!EV12+'Match Data'!FU12+'Match Data'!GT12+'Match Data'!HS12</f>
        <v>0</v>
      </c>
      <c r="C12" s="94">
        <f>'Match Data'!C12+'Match Data'!AB12+'Match Data'!BA12+'Match Data'!BZ12+'Match Data'!CY12+'Match Data'!DX12+'Match Data'!EW12+'Match Data'!FV12+'Match Data'!GU12+'Match Data'!HT12</f>
        <v>0</v>
      </c>
      <c r="D12" s="94">
        <f>'Match Data'!D12+'Match Data'!AC12+'Match Data'!BB12+'Match Data'!CA12+'Match Data'!CZ12+'Match Data'!DY12+'Match Data'!EX12+'Match Data'!FW12+'Match Data'!GV12+'Match Data'!HU12</f>
        <v>0</v>
      </c>
      <c r="E12" s="94">
        <f>'Match Data'!E12+'Match Data'!AD12+'Match Data'!BC12+'Match Data'!CB12+'Match Data'!DA12+'Match Data'!DZ12+'Match Data'!EY12+'Match Data'!FX12+'Match Data'!GW12+'Match Data'!HV12</f>
        <v>0</v>
      </c>
      <c r="F12" s="94">
        <f>'Match Data'!F12+'Match Data'!AE12+'Match Data'!BD12+'Match Data'!CC12+'Match Data'!DB12+'Match Data'!EA12+'Match Data'!EZ12+'Match Data'!FY12+'Match Data'!GX12+'Match Data'!HW12</f>
        <v>0</v>
      </c>
      <c r="G12" s="94">
        <f>'Match Data'!G12+'Match Data'!AF12+'Match Data'!BE12+'Match Data'!CD12+'Match Data'!DC12+'Match Data'!EB12+'Match Data'!FA12+'Match Data'!FZ12+'Match Data'!GY12+'Match Data'!HX12</f>
        <v>0</v>
      </c>
      <c r="H12" s="94">
        <f>'Match Data'!H12+'Match Data'!AG12+'Match Data'!BF12+'Match Data'!CE12+'Match Data'!DD12+'Match Data'!EC12+'Match Data'!FB12+'Match Data'!GA12+'Match Data'!GZ12+'Match Data'!HY12</f>
        <v>0</v>
      </c>
      <c r="I12" s="94">
        <f>'Match Data'!I12+'Match Data'!AH12+'Match Data'!BG12+'Match Data'!CF12+'Match Data'!DE12+'Match Data'!ED12+'Match Data'!FC12+'Match Data'!GB12+'Match Data'!HA12+'Match Data'!HZ12</f>
        <v>0</v>
      </c>
      <c r="J12" s="94" t="e">
        <f>(Table5[[#This Row],[High Made]]+Table5[[#This Row],[Low Made]])/(SUM(Table5[[#This Row],[High Made]:[Low Miss]]))</f>
        <v>#DIV/0!</v>
      </c>
      <c r="K12" s="94">
        <f>'Match Data'!J12+'Match Data'!AI12+'Match Data'!BH12+'Match Data'!CG12+'Match Data'!DF12+'Match Data'!EE12+'Match Data'!FD12+'Match Data'!GC12+'Match Data'!HB12+'Match Data'!IA12</f>
        <v>0</v>
      </c>
      <c r="L12" s="94">
        <f>'Match Data'!K12+'Match Data'!AJ12+'Match Data'!BI12+'Match Data'!CH12+'Match Data'!DG12+'Match Data'!EF12+'Match Data'!FE12+'Match Data'!GD12+'Match Data'!HC12+'Match Data'!IB12</f>
        <v>0</v>
      </c>
      <c r="M12" s="94">
        <f>'Match Data'!L12+'Match Data'!AK12+'Match Data'!BJ12+'Match Data'!CI12+'Match Data'!DH12+'Match Data'!EG12+'Match Data'!FF12+'Match Data'!GE12+'Match Data'!HD12+'Match Data'!IC12</f>
        <v>0</v>
      </c>
      <c r="N12" s="94">
        <f>'Match Data'!M12+'Match Data'!AL12+'Match Data'!BK12+'Match Data'!CJ12+'Match Data'!DI12+'Match Data'!EH12+'Match Data'!FG12+'Match Data'!GF12+'Match Data'!HE12+'Match Data'!ID12</f>
        <v>0</v>
      </c>
      <c r="O12" s="94">
        <f>'Match Data'!N12+'Match Data'!AM12+'Match Data'!BL12+'Match Data'!CK12+'Match Data'!DJ12+'Match Data'!EI12+'Match Data'!FH12+'Match Data'!GG12+'Match Data'!HF12+'Match Data'!IE12</f>
        <v>0</v>
      </c>
      <c r="P12" s="94">
        <f>'Match Data'!O12+'Match Data'!AN12+'Match Data'!BM12+'Match Data'!CL12+'Match Data'!DK12+'Match Data'!EJ12+'Match Data'!FI12+'Match Data'!GH12+'Match Data'!HG12+'Match Data'!IF12</f>
        <v>0</v>
      </c>
      <c r="Q12" s="94">
        <f>'Match Data'!P12+'Match Data'!AO12+'Match Data'!BN12+'Match Data'!CM12+'Match Data'!DL12+'Match Data'!EK12+'Match Data'!FJ12+'Match Data'!GI12+'Match Data'!HH12+'Match Data'!IG12</f>
        <v>0</v>
      </c>
      <c r="R12" s="94">
        <f>'Match Data'!Q12+'Match Data'!AP12+'Match Data'!BO12+'Match Data'!CN12+'Match Data'!DM12+'Match Data'!EL12+'Match Data'!FK12+'Match Data'!GJ12+'Match Data'!HI12+'Match Data'!IH12</f>
        <v>0</v>
      </c>
      <c r="S12" s="122">
        <v>0</v>
      </c>
      <c r="T12" s="122">
        <v>0</v>
      </c>
      <c r="U12" s="94">
        <f>'Match Data'!S12+'Match Data'!AR12+'Match Data'!BQ12+'Match Data'!CP12+'Match Data'!DO12+'Match Data'!EN12+'Match Data'!FM12+'Match Data'!GL12+'Match Data'!HK12+'Match Data'!IJ12</f>
        <v>0</v>
      </c>
      <c r="V12" s="95">
        <f>'Match Data'!T12+'Match Data'!AS12+'Match Data'!BR12+'Match Data'!CQ12+'Match Data'!DP12+'Match Data'!EO12+'Match Data'!FN12+'Match Data'!GM12+'Match Data'!HL12+'Match Data'!IK12</f>
        <v>0</v>
      </c>
      <c r="W12" s="94">
        <f>'Match Data'!U12+'Match Data'!AT12+'Match Data'!BS12+'Match Data'!CR12+'Match Data'!DQ12+'Match Data'!EP12+'Match Data'!FO12+'Match Data'!GN12+'Match Data'!HM12+'Match Data'!IL12</f>
        <v>0</v>
      </c>
      <c r="X12" s="94">
        <f>'Match Data'!V12+'Match Data'!AU12+'Match Data'!BT12+'Match Data'!CS12+'Match Data'!DR12+'Match Data'!EQ12+'Match Data'!FP12+'Match Data'!GO12+'Match Data'!HN12+'Match Data'!IM12</f>
        <v>0</v>
      </c>
      <c r="Y12" s="94">
        <f>'Match Data'!W12+'Match Data'!AV12+'Match Data'!BU12+'Match Data'!CT12+'Match Data'!DS12+'Match Data'!ER12+'Match Data'!FQ12+'Match Data'!GP12+'Match Data'!HO12+'Match Data'!IN12</f>
        <v>0</v>
      </c>
      <c r="Z12" s="94">
        <f>'Match Data'!X12+'Match Data'!AW12+'Match Data'!BV12+'Match Data'!CU12+'Match Data'!DT12+'Match Data'!ES12+'Match Data'!FR12+'Match Data'!GQ12+'Match Data'!HP12+'Match Data'!IO12</f>
        <v>0</v>
      </c>
      <c r="AA12" s="94">
        <f>'Match Data'!Y12+'Match Data'!AX12+'Match Data'!BW12+'Match Data'!CV12+'Match Data'!DU12+'Match Data'!ET12+'Match Data'!FS12+'Match Data'!GR12+'Match Data'!HQ12+'Match Data'!IP12</f>
        <v>0</v>
      </c>
      <c r="AB12" s="117">
        <f>'Match Data'!Z12+'Match Data'!AY12+'Match Data'!BX12+'Match Data'!CW12+'Match Data'!DV12+'Match Data'!EU12+'Match Data'!FT12+'Match Data'!GS12+'Match Data'!HR12+'Match Data'!IQ12</f>
        <v>0</v>
      </c>
      <c r="AC12" s="99">
        <f>'Alliance Data'!B11+'Alliance Data'!L11+'Alliance Data'!V11+'Alliance Data'!AF11+'Alliance Data'!AP11+'Alliance Data'!AZ11+'Alliance Data'!BJ11+'Alliance Data'!BT11+'Alliance Data'!CD11+'Alliance Data'!CN11</f>
        <v>0</v>
      </c>
      <c r="AD12" s="118">
        <f>('Alliance Data'!C11+'Alliance Data'!M11+'Alliance Data'!W11+'Alliance Data'!AG11+'Alliance Data'!AQ11+'Alliance Data'!BA11+'Alliance Data'!BK11+'Alliance Data'!BU11+'Alliance Data'!CE11+'Alliance Data'!CO11)/Value!Q10</f>
        <v>0</v>
      </c>
      <c r="AE12" s="118">
        <f>('Alliance Data'!D11+'Alliance Data'!N11+'Alliance Data'!X11+'Alliance Data'!AH11+'Alliance Data'!AR11+'Alliance Data'!BB11+'Alliance Data'!BL11+'Alliance Data'!BV11+'Alliance Data'!CF11+'Alliance Data'!CP11)/Value!Q10</f>
        <v>0</v>
      </c>
      <c r="AF12" s="118">
        <f>('Alliance Data'!E11+'Alliance Data'!O11+'Alliance Data'!Y11+'Alliance Data'!AI11+'Alliance Data'!AS11+'Alliance Data'!BC11+'Alliance Data'!BM11+'Alliance Data'!BW11+'Alliance Data'!CG11+'Alliance Data'!CQ11)/Value!Q10</f>
        <v>0</v>
      </c>
      <c r="AG12" s="118">
        <f>('Alliance Data'!F11+'Alliance Data'!P11+'Alliance Data'!Z11+'Alliance Data'!AJ11+'Alliance Data'!AT11+'Alliance Data'!BD11+'Alliance Data'!BN11+'Alliance Data'!BX11+'Alliance Data'!CH11+'Alliance Data'!CR11)/Value!Q10</f>
        <v>0</v>
      </c>
      <c r="AH12" s="118">
        <f>('Alliance Data'!G11+'Alliance Data'!Q11+'Alliance Data'!AA11+'Alliance Data'!AK11+'Alliance Data'!AU11+'Alliance Data'!BE11+'Alliance Data'!BO11+'Alliance Data'!BY11+'Alliance Data'!CI11+'Alliance Data'!CS11)/Value!Q10</f>
        <v>0</v>
      </c>
      <c r="AI12" s="118">
        <f>('Alliance Data'!H11+'Alliance Data'!R11+'Alliance Data'!AB11+'Alliance Data'!AL11+'Alliance Data'!AV11+'Alliance Data'!BF11+'Alliance Data'!BP11+'Alliance Data'!BZ11+'Alliance Data'!CJ11+'Alliance Data'!CT11)/Value!Q10</f>
        <v>0</v>
      </c>
      <c r="AJ12" s="118">
        <f>('Alliance Data'!I11+'Alliance Data'!S11+'Alliance Data'!AC11+'Alliance Data'!AM11+'Alliance Data'!AW11+'Alliance Data'!BG11+'Alliance Data'!BQ11+'Alliance Data'!CA11+'Alliance Data'!CK11+'Alliance Data'!CU11)/Value!Q10</f>
        <v>0</v>
      </c>
      <c r="AK12" s="118">
        <f>'Alliance Data'!J11+'Alliance Data'!T11+'Alliance Data'!AD11+'Alliance Data'!AN11+'Alliance Data'!AX11+'Alliance Data'!BH11+'Alliance Data'!BR11+'Alliance Data'!CB11+'Alliance Data'!CL11+'Alliance Data'!CV11</f>
        <v>0</v>
      </c>
      <c r="AL12" s="119">
        <f>'Alliance Data'!K11+'Alliance Data'!U11+'Alliance Data'!AE11+'Alliance Data'!AO11+'Alliance Data'!AY11+'Alliance Data'!BI11+'Alliance Data'!BS11+'Alliance Data'!CC11+'Alliance Data'!CM11+'Alliance Data'!CW11</f>
        <v>0</v>
      </c>
    </row>
    <row r="13" spans="1:38" x14ac:dyDescent="0.25">
      <c r="A13" s="86">
        <v>2220</v>
      </c>
      <c r="B13" s="99">
        <f>'Match Data'!B13+'Match Data'!AA13+'Match Data'!AZ13+'Match Data'!BY13+'Match Data'!CX13+'Match Data'!DW13+'Match Data'!EV13+'Match Data'!FU13+'Match Data'!GT13+'Match Data'!HS13</f>
        <v>0</v>
      </c>
      <c r="C13" s="94">
        <f>'Match Data'!C13+'Match Data'!AB13+'Match Data'!BA13+'Match Data'!BZ13+'Match Data'!CY13+'Match Data'!DX13+'Match Data'!EW13+'Match Data'!FV13+'Match Data'!GU13+'Match Data'!HT13</f>
        <v>0</v>
      </c>
      <c r="D13" s="94">
        <f>'Match Data'!D13+'Match Data'!AC13+'Match Data'!BB13+'Match Data'!CA13+'Match Data'!CZ13+'Match Data'!DY13+'Match Data'!EX13+'Match Data'!FW13+'Match Data'!GV13+'Match Data'!HU13</f>
        <v>0</v>
      </c>
      <c r="E13" s="94">
        <f>'Match Data'!E13+'Match Data'!AD13+'Match Data'!BC13+'Match Data'!CB13+'Match Data'!DA13+'Match Data'!DZ13+'Match Data'!EY13+'Match Data'!FX13+'Match Data'!GW13+'Match Data'!HV13</f>
        <v>0</v>
      </c>
      <c r="F13" s="94">
        <f>'Match Data'!F13+'Match Data'!AE13+'Match Data'!BD13+'Match Data'!CC13+'Match Data'!DB13+'Match Data'!EA13+'Match Data'!EZ13+'Match Data'!FY13+'Match Data'!GX13+'Match Data'!HW13</f>
        <v>0</v>
      </c>
      <c r="G13" s="94">
        <f>'Match Data'!G13+'Match Data'!AF13+'Match Data'!BE13+'Match Data'!CD13+'Match Data'!DC13+'Match Data'!EB13+'Match Data'!FA13+'Match Data'!FZ13+'Match Data'!GY13+'Match Data'!HX13</f>
        <v>0</v>
      </c>
      <c r="H13" s="94">
        <f>'Match Data'!H13+'Match Data'!AG13+'Match Data'!BF13+'Match Data'!CE13+'Match Data'!DD13+'Match Data'!EC13+'Match Data'!FB13+'Match Data'!GA13+'Match Data'!GZ13+'Match Data'!HY13</f>
        <v>0</v>
      </c>
      <c r="I13" s="94">
        <f>'Match Data'!I13+'Match Data'!AH13+'Match Data'!BG13+'Match Data'!CF13+'Match Data'!DE13+'Match Data'!ED13+'Match Data'!FC13+'Match Data'!GB13+'Match Data'!HA13+'Match Data'!HZ13</f>
        <v>0</v>
      </c>
      <c r="J13" s="94" t="e">
        <f>(Table5[[#This Row],[High Made]]+Table5[[#This Row],[Low Made]])/(SUM(Table5[[#This Row],[High Made]:[Low Miss]]))</f>
        <v>#DIV/0!</v>
      </c>
      <c r="K13" s="94">
        <f>'Match Data'!J13+'Match Data'!AI13+'Match Data'!BH13+'Match Data'!CG13+'Match Data'!DF13+'Match Data'!EE13+'Match Data'!FD13+'Match Data'!GC13+'Match Data'!HB13+'Match Data'!IA13</f>
        <v>0</v>
      </c>
      <c r="L13" s="94">
        <f>'Match Data'!K13+'Match Data'!AJ13+'Match Data'!BI13+'Match Data'!CH13+'Match Data'!DG13+'Match Data'!EF13+'Match Data'!FE13+'Match Data'!GD13+'Match Data'!HC13+'Match Data'!IB13</f>
        <v>0</v>
      </c>
      <c r="M13" s="94">
        <f>'Match Data'!L13+'Match Data'!AK13+'Match Data'!BJ13+'Match Data'!CI13+'Match Data'!DH13+'Match Data'!EG13+'Match Data'!FF13+'Match Data'!GE13+'Match Data'!HD13+'Match Data'!IC13</f>
        <v>0</v>
      </c>
      <c r="N13" s="94">
        <f>'Match Data'!M13+'Match Data'!AL13+'Match Data'!BK13+'Match Data'!CJ13+'Match Data'!DI13+'Match Data'!EH13+'Match Data'!FG13+'Match Data'!GF13+'Match Data'!HE13+'Match Data'!ID13</f>
        <v>0</v>
      </c>
      <c r="O13" s="94">
        <f>'Match Data'!N13+'Match Data'!AM13+'Match Data'!BL13+'Match Data'!CK13+'Match Data'!DJ13+'Match Data'!EI13+'Match Data'!FH13+'Match Data'!GG13+'Match Data'!HF13+'Match Data'!IE13</f>
        <v>0</v>
      </c>
      <c r="P13" s="94">
        <f>'Match Data'!O13+'Match Data'!AN13+'Match Data'!BM13+'Match Data'!CL13+'Match Data'!DK13+'Match Data'!EJ13+'Match Data'!FI13+'Match Data'!GH13+'Match Data'!HG13+'Match Data'!IF13</f>
        <v>0</v>
      </c>
      <c r="Q13" s="94">
        <f>'Match Data'!P13+'Match Data'!AO13+'Match Data'!BN13+'Match Data'!CM13+'Match Data'!DL13+'Match Data'!EK13+'Match Data'!FJ13+'Match Data'!GI13+'Match Data'!HH13+'Match Data'!IG13</f>
        <v>0</v>
      </c>
      <c r="R13" s="94">
        <f>'Match Data'!Q13+'Match Data'!AP13+'Match Data'!BO13+'Match Data'!CN13+'Match Data'!DM13+'Match Data'!EL13+'Match Data'!FK13+'Match Data'!GJ13+'Match Data'!HI13+'Match Data'!IH13</f>
        <v>0</v>
      </c>
      <c r="S13" s="122">
        <v>0</v>
      </c>
      <c r="T13" s="122">
        <v>0</v>
      </c>
      <c r="U13" s="94">
        <f>'Match Data'!S13+'Match Data'!AR13+'Match Data'!BQ13+'Match Data'!CP13+'Match Data'!DO13+'Match Data'!EN13+'Match Data'!FM13+'Match Data'!GL13+'Match Data'!HK13+'Match Data'!IJ13</f>
        <v>0</v>
      </c>
      <c r="V13" s="95">
        <f>'Match Data'!T13+'Match Data'!AS13+'Match Data'!BR13+'Match Data'!CQ13+'Match Data'!DP13+'Match Data'!EO13+'Match Data'!FN13+'Match Data'!GM13+'Match Data'!HL13+'Match Data'!IK13</f>
        <v>0</v>
      </c>
      <c r="W13" s="94">
        <f>'Match Data'!U13+'Match Data'!AT13+'Match Data'!BS13+'Match Data'!CR13+'Match Data'!DQ13+'Match Data'!EP13+'Match Data'!FO13+'Match Data'!GN13+'Match Data'!HM13+'Match Data'!IL13</f>
        <v>0</v>
      </c>
      <c r="X13" s="94">
        <f>'Match Data'!V13+'Match Data'!AU13+'Match Data'!BT13+'Match Data'!CS13+'Match Data'!DR13+'Match Data'!EQ13+'Match Data'!FP13+'Match Data'!GO13+'Match Data'!HN13+'Match Data'!IM13</f>
        <v>0</v>
      </c>
      <c r="Y13" s="94">
        <f>'Match Data'!W13+'Match Data'!AV13+'Match Data'!BU13+'Match Data'!CT13+'Match Data'!DS13+'Match Data'!ER13+'Match Data'!FQ13+'Match Data'!GP13+'Match Data'!HO13+'Match Data'!IN13</f>
        <v>0</v>
      </c>
      <c r="Z13" s="94">
        <f>'Match Data'!X13+'Match Data'!AW13+'Match Data'!BV13+'Match Data'!CU13+'Match Data'!DT13+'Match Data'!ES13+'Match Data'!FR13+'Match Data'!GQ13+'Match Data'!HP13+'Match Data'!IO13</f>
        <v>0</v>
      </c>
      <c r="AA13" s="94">
        <f>'Match Data'!Y13+'Match Data'!AX13+'Match Data'!BW13+'Match Data'!CV13+'Match Data'!DU13+'Match Data'!ET13+'Match Data'!FS13+'Match Data'!GR13+'Match Data'!HQ13+'Match Data'!IP13</f>
        <v>0</v>
      </c>
      <c r="AB13" s="117">
        <f>'Match Data'!Z13+'Match Data'!AY13+'Match Data'!BX13+'Match Data'!CW13+'Match Data'!DV13+'Match Data'!EU13+'Match Data'!FT13+'Match Data'!GS13+'Match Data'!HR13+'Match Data'!IQ13</f>
        <v>0</v>
      </c>
      <c r="AC13" s="99">
        <f>'Alliance Data'!B12+'Alliance Data'!L12+'Alliance Data'!V12+'Alliance Data'!AF12+'Alliance Data'!AP12+'Alliance Data'!AZ12+'Alliance Data'!BJ12+'Alliance Data'!BT12+'Alliance Data'!CD12+'Alliance Data'!CN12</f>
        <v>0</v>
      </c>
      <c r="AD13" s="118">
        <f>('Alliance Data'!C12+'Alliance Data'!M12+'Alliance Data'!W12+'Alliance Data'!AG12+'Alliance Data'!AQ12+'Alliance Data'!BA12+'Alliance Data'!BK12+'Alliance Data'!BU12+'Alliance Data'!CE12+'Alliance Data'!CO12)/Value!Q11</f>
        <v>0</v>
      </c>
      <c r="AE13" s="118">
        <f>('Alliance Data'!D12+'Alliance Data'!N12+'Alliance Data'!X12+'Alliance Data'!AH12+'Alliance Data'!AR12+'Alliance Data'!BB12+'Alliance Data'!BL12+'Alliance Data'!BV12+'Alliance Data'!CF12+'Alliance Data'!CP12)/Value!Q11</f>
        <v>0</v>
      </c>
      <c r="AF13" s="118">
        <f>('Alliance Data'!E12+'Alliance Data'!O12+'Alliance Data'!Y12+'Alliance Data'!AI12+'Alliance Data'!AS12+'Alliance Data'!BC12+'Alliance Data'!BM12+'Alliance Data'!BW12+'Alliance Data'!CG12+'Alliance Data'!CQ12)/Value!Q11</f>
        <v>0</v>
      </c>
      <c r="AG13" s="118">
        <f>('Alliance Data'!F12+'Alliance Data'!P12+'Alliance Data'!Z12+'Alliance Data'!AJ12+'Alliance Data'!AT12+'Alliance Data'!BD12+'Alliance Data'!BN12+'Alliance Data'!BX12+'Alliance Data'!CH12+'Alliance Data'!CR12)/Value!Q11</f>
        <v>0</v>
      </c>
      <c r="AH13" s="118">
        <f>('Alliance Data'!G12+'Alliance Data'!Q12+'Alliance Data'!AA12+'Alliance Data'!AK12+'Alliance Data'!AU12+'Alliance Data'!BE12+'Alliance Data'!BO12+'Alliance Data'!BY12+'Alliance Data'!CI12+'Alliance Data'!CS12)/Value!Q11</f>
        <v>0</v>
      </c>
      <c r="AI13" s="118">
        <f>('Alliance Data'!H12+'Alliance Data'!R12+'Alliance Data'!AB12+'Alliance Data'!AL12+'Alliance Data'!AV12+'Alliance Data'!BF12+'Alliance Data'!BP12+'Alliance Data'!BZ12+'Alliance Data'!CJ12+'Alliance Data'!CT12)/Value!Q11</f>
        <v>0</v>
      </c>
      <c r="AJ13" s="118">
        <f>('Alliance Data'!I12+'Alliance Data'!S12+'Alliance Data'!AC12+'Alliance Data'!AM12+'Alliance Data'!AW12+'Alliance Data'!BG12+'Alliance Data'!BQ12+'Alliance Data'!CA12+'Alliance Data'!CK12+'Alliance Data'!CU12)/Value!Q11</f>
        <v>0</v>
      </c>
      <c r="AK13" s="118">
        <f>'Alliance Data'!J12+'Alliance Data'!T12+'Alliance Data'!AD12+'Alliance Data'!AN12+'Alliance Data'!AX12+'Alliance Data'!BH12+'Alliance Data'!BR12+'Alliance Data'!CB12+'Alliance Data'!CL12+'Alliance Data'!CV12</f>
        <v>0</v>
      </c>
      <c r="AL13" s="119">
        <f>'Alliance Data'!K12+'Alliance Data'!U12+'Alliance Data'!AE12+'Alliance Data'!AO12+'Alliance Data'!AY12+'Alliance Data'!BI12+'Alliance Data'!BS12+'Alliance Data'!CC12+'Alliance Data'!CM12+'Alliance Data'!CW12</f>
        <v>0</v>
      </c>
    </row>
    <row r="14" spans="1:38" x14ac:dyDescent="0.25">
      <c r="A14" s="86">
        <v>2491</v>
      </c>
      <c r="B14" s="99">
        <f>'Match Data'!B14+'Match Data'!AA14+'Match Data'!AZ14+'Match Data'!BY14+'Match Data'!CX14+'Match Data'!DW14+'Match Data'!EV14+'Match Data'!FU14+'Match Data'!GT14+'Match Data'!HS14</f>
        <v>0</v>
      </c>
      <c r="C14" s="94">
        <f>'Match Data'!C14+'Match Data'!AB14+'Match Data'!BA14+'Match Data'!BZ14+'Match Data'!CY14+'Match Data'!DX14+'Match Data'!EW14+'Match Data'!FV14+'Match Data'!GU14+'Match Data'!HT14</f>
        <v>0</v>
      </c>
      <c r="D14" s="94">
        <f>'Match Data'!D14+'Match Data'!AC14+'Match Data'!BB14+'Match Data'!CA14+'Match Data'!CZ14+'Match Data'!DY14+'Match Data'!EX14+'Match Data'!FW14+'Match Data'!GV14+'Match Data'!HU14</f>
        <v>0</v>
      </c>
      <c r="E14" s="94">
        <f>'Match Data'!E14+'Match Data'!AD14+'Match Data'!BC14+'Match Data'!CB14+'Match Data'!DA14+'Match Data'!DZ14+'Match Data'!EY14+'Match Data'!FX14+'Match Data'!GW14+'Match Data'!HV14</f>
        <v>0</v>
      </c>
      <c r="F14" s="94">
        <f>'Match Data'!F14+'Match Data'!AE14+'Match Data'!BD14+'Match Data'!CC14+'Match Data'!DB14+'Match Data'!EA14+'Match Data'!EZ14+'Match Data'!FY14+'Match Data'!GX14+'Match Data'!HW14</f>
        <v>0</v>
      </c>
      <c r="G14" s="94">
        <f>'Match Data'!G14+'Match Data'!AF14+'Match Data'!BE14+'Match Data'!CD14+'Match Data'!DC14+'Match Data'!EB14+'Match Data'!FA14+'Match Data'!FZ14+'Match Data'!GY14+'Match Data'!HX14</f>
        <v>0</v>
      </c>
      <c r="H14" s="94">
        <f>'Match Data'!H14+'Match Data'!AG14+'Match Data'!BF14+'Match Data'!CE14+'Match Data'!DD14+'Match Data'!EC14+'Match Data'!FB14+'Match Data'!GA14+'Match Data'!GZ14+'Match Data'!HY14</f>
        <v>0</v>
      </c>
      <c r="I14" s="94">
        <f>'Match Data'!I14+'Match Data'!AH14+'Match Data'!BG14+'Match Data'!CF14+'Match Data'!DE14+'Match Data'!ED14+'Match Data'!FC14+'Match Data'!GB14+'Match Data'!HA14+'Match Data'!HZ14</f>
        <v>0</v>
      </c>
      <c r="J14" s="94" t="e">
        <f>(Table5[[#This Row],[High Made]]+Table5[[#This Row],[Low Made]])/(SUM(Table5[[#This Row],[High Made]:[Low Miss]]))</f>
        <v>#DIV/0!</v>
      </c>
      <c r="K14" s="94">
        <f>'Match Data'!J14+'Match Data'!AI14+'Match Data'!BH14+'Match Data'!CG14+'Match Data'!DF14+'Match Data'!EE14+'Match Data'!FD14+'Match Data'!GC14+'Match Data'!HB14+'Match Data'!IA14</f>
        <v>0</v>
      </c>
      <c r="L14" s="94">
        <f>'Match Data'!K14+'Match Data'!AJ14+'Match Data'!BI14+'Match Data'!CH14+'Match Data'!DG14+'Match Data'!EF14+'Match Data'!FE14+'Match Data'!GD14+'Match Data'!HC14+'Match Data'!IB14</f>
        <v>0</v>
      </c>
      <c r="M14" s="94">
        <f>'Match Data'!L14+'Match Data'!AK14+'Match Data'!BJ14+'Match Data'!CI14+'Match Data'!DH14+'Match Data'!EG14+'Match Data'!FF14+'Match Data'!GE14+'Match Data'!HD14+'Match Data'!IC14</f>
        <v>0</v>
      </c>
      <c r="N14" s="94">
        <f>'Match Data'!M14+'Match Data'!AL14+'Match Data'!BK14+'Match Data'!CJ14+'Match Data'!DI14+'Match Data'!EH14+'Match Data'!FG14+'Match Data'!GF14+'Match Data'!HE14+'Match Data'!ID14</f>
        <v>0</v>
      </c>
      <c r="O14" s="94">
        <f>'Match Data'!N14+'Match Data'!AM14+'Match Data'!BL14+'Match Data'!CK14+'Match Data'!DJ14+'Match Data'!EI14+'Match Data'!FH14+'Match Data'!GG14+'Match Data'!HF14+'Match Data'!IE14</f>
        <v>0</v>
      </c>
      <c r="P14" s="94">
        <f>'Match Data'!O14+'Match Data'!AN14+'Match Data'!BM14+'Match Data'!CL14+'Match Data'!DK14+'Match Data'!EJ14+'Match Data'!FI14+'Match Data'!GH14+'Match Data'!HG14+'Match Data'!IF14</f>
        <v>0</v>
      </c>
      <c r="Q14" s="94">
        <f>'Match Data'!P14+'Match Data'!AO14+'Match Data'!BN14+'Match Data'!CM14+'Match Data'!DL14+'Match Data'!EK14+'Match Data'!FJ14+'Match Data'!GI14+'Match Data'!HH14+'Match Data'!IG14</f>
        <v>0</v>
      </c>
      <c r="R14" s="94">
        <f>'Match Data'!Q14+'Match Data'!AP14+'Match Data'!BO14+'Match Data'!CN14+'Match Data'!DM14+'Match Data'!EL14+'Match Data'!FK14+'Match Data'!GJ14+'Match Data'!HI14+'Match Data'!IH14</f>
        <v>0</v>
      </c>
      <c r="S14" s="122">
        <v>0</v>
      </c>
      <c r="T14" s="122">
        <v>0</v>
      </c>
      <c r="U14" s="94">
        <f>'Match Data'!S14+'Match Data'!AR14+'Match Data'!BQ14+'Match Data'!CP14+'Match Data'!DO14+'Match Data'!EN14+'Match Data'!FM14+'Match Data'!GL14+'Match Data'!HK14+'Match Data'!IJ14</f>
        <v>0</v>
      </c>
      <c r="V14" s="95">
        <f>'Match Data'!T14+'Match Data'!AS14+'Match Data'!BR14+'Match Data'!CQ14+'Match Data'!DP14+'Match Data'!EO14+'Match Data'!FN14+'Match Data'!GM14+'Match Data'!HL14+'Match Data'!IK14</f>
        <v>0</v>
      </c>
      <c r="W14" s="94">
        <f>'Match Data'!U14+'Match Data'!AT14+'Match Data'!BS14+'Match Data'!CR14+'Match Data'!DQ14+'Match Data'!EP14+'Match Data'!FO14+'Match Data'!GN14+'Match Data'!HM14+'Match Data'!IL14</f>
        <v>0</v>
      </c>
      <c r="X14" s="94">
        <f>'Match Data'!V14+'Match Data'!AU14+'Match Data'!BT14+'Match Data'!CS14+'Match Data'!DR14+'Match Data'!EQ14+'Match Data'!FP14+'Match Data'!GO14+'Match Data'!HN14+'Match Data'!IM14</f>
        <v>0</v>
      </c>
      <c r="Y14" s="94">
        <f>'Match Data'!W14+'Match Data'!AV14+'Match Data'!BU14+'Match Data'!CT14+'Match Data'!DS14+'Match Data'!ER14+'Match Data'!FQ14+'Match Data'!GP14+'Match Data'!HO14+'Match Data'!IN14</f>
        <v>0</v>
      </c>
      <c r="Z14" s="94">
        <f>'Match Data'!X14+'Match Data'!AW14+'Match Data'!BV14+'Match Data'!CU14+'Match Data'!DT14+'Match Data'!ES14+'Match Data'!FR14+'Match Data'!GQ14+'Match Data'!HP14+'Match Data'!IO14</f>
        <v>0</v>
      </c>
      <c r="AA14" s="94">
        <f>'Match Data'!Y14+'Match Data'!AX14+'Match Data'!BW14+'Match Data'!CV14+'Match Data'!DU14+'Match Data'!ET14+'Match Data'!FS14+'Match Data'!GR14+'Match Data'!HQ14+'Match Data'!IP14</f>
        <v>0</v>
      </c>
      <c r="AB14" s="117">
        <f>'Match Data'!Z14+'Match Data'!AY14+'Match Data'!BX14+'Match Data'!CW14+'Match Data'!DV14+'Match Data'!EU14+'Match Data'!FT14+'Match Data'!GS14+'Match Data'!HR14+'Match Data'!IQ14</f>
        <v>0</v>
      </c>
      <c r="AC14" s="99">
        <f>'Alliance Data'!B13+'Alliance Data'!L13+'Alliance Data'!V13+'Alliance Data'!AF13+'Alliance Data'!AP13+'Alliance Data'!AZ13+'Alliance Data'!BJ13+'Alliance Data'!BT13+'Alliance Data'!CD13+'Alliance Data'!CN13</f>
        <v>0</v>
      </c>
      <c r="AD14" s="118">
        <f>('Alliance Data'!C13+'Alliance Data'!M13+'Alliance Data'!W13+'Alliance Data'!AG13+'Alliance Data'!AQ13+'Alliance Data'!BA13+'Alliance Data'!BK13+'Alliance Data'!BU13+'Alliance Data'!CE13+'Alliance Data'!CO13)/Value!Q12</f>
        <v>0</v>
      </c>
      <c r="AE14" s="118">
        <f>('Alliance Data'!D13+'Alliance Data'!N13+'Alliance Data'!X13+'Alliance Data'!AH13+'Alliance Data'!AR13+'Alliance Data'!BB13+'Alliance Data'!BL13+'Alliance Data'!BV13+'Alliance Data'!CF13+'Alliance Data'!CP13)/Value!Q12</f>
        <v>0</v>
      </c>
      <c r="AF14" s="118">
        <f>('Alliance Data'!E13+'Alliance Data'!O13+'Alliance Data'!Y13+'Alliance Data'!AI13+'Alliance Data'!AS13+'Alliance Data'!BC13+'Alliance Data'!BM13+'Alliance Data'!BW13+'Alliance Data'!CG13+'Alliance Data'!CQ13)/Value!Q12</f>
        <v>0</v>
      </c>
      <c r="AG14" s="118">
        <f>('Alliance Data'!F13+'Alliance Data'!P13+'Alliance Data'!Z13+'Alliance Data'!AJ13+'Alliance Data'!AT13+'Alliance Data'!BD13+'Alliance Data'!BN13+'Alliance Data'!BX13+'Alliance Data'!CH13+'Alliance Data'!CR13)/Value!Q12</f>
        <v>0</v>
      </c>
      <c r="AH14" s="118">
        <f>('Alliance Data'!G13+'Alliance Data'!Q13+'Alliance Data'!AA13+'Alliance Data'!AK13+'Alliance Data'!AU13+'Alliance Data'!BE13+'Alliance Data'!BO13+'Alliance Data'!BY13+'Alliance Data'!CI13+'Alliance Data'!CS13)/Value!Q12</f>
        <v>0</v>
      </c>
      <c r="AI14" s="118">
        <f>('Alliance Data'!H13+'Alliance Data'!R13+'Alliance Data'!AB13+'Alliance Data'!AL13+'Alliance Data'!AV13+'Alliance Data'!BF13+'Alliance Data'!BP13+'Alliance Data'!BZ13+'Alliance Data'!CJ13+'Alliance Data'!CT13)/Value!Q12</f>
        <v>0</v>
      </c>
      <c r="AJ14" s="118">
        <f>('Alliance Data'!I13+'Alliance Data'!S13+'Alliance Data'!AC13+'Alliance Data'!AM13+'Alliance Data'!AW13+'Alliance Data'!BG13+'Alliance Data'!BQ13+'Alliance Data'!CA13+'Alliance Data'!CK13+'Alliance Data'!CU13)/Value!Q12</f>
        <v>0</v>
      </c>
      <c r="AK14" s="118">
        <f>'Alliance Data'!J13+'Alliance Data'!T13+'Alliance Data'!AD13+'Alliance Data'!AN13+'Alliance Data'!AX13+'Alliance Data'!BH13+'Alliance Data'!BR13+'Alliance Data'!CB13+'Alliance Data'!CL13+'Alliance Data'!CV13</f>
        <v>0</v>
      </c>
      <c r="AL14" s="119">
        <f>'Alliance Data'!K13+'Alliance Data'!U13+'Alliance Data'!AE13+'Alliance Data'!AO13+'Alliance Data'!AY13+'Alliance Data'!BI13+'Alliance Data'!BS13+'Alliance Data'!CC13+'Alliance Data'!CM13+'Alliance Data'!CW13</f>
        <v>0</v>
      </c>
    </row>
    <row r="15" spans="1:38" x14ac:dyDescent="0.25">
      <c r="A15" s="86">
        <v>2500</v>
      </c>
      <c r="B15" s="99">
        <f>'Match Data'!B15+'Match Data'!AA15+'Match Data'!AZ15+'Match Data'!BY15+'Match Data'!CX15+'Match Data'!DW15+'Match Data'!EV15+'Match Data'!FU15+'Match Data'!GT15+'Match Data'!HS15</f>
        <v>0</v>
      </c>
      <c r="C15" s="94">
        <f>'Match Data'!C15+'Match Data'!AB15+'Match Data'!BA15+'Match Data'!BZ15+'Match Data'!CY15+'Match Data'!DX15+'Match Data'!EW15+'Match Data'!FV15+'Match Data'!GU15+'Match Data'!HT15</f>
        <v>0</v>
      </c>
      <c r="D15" s="94">
        <f>'Match Data'!D15+'Match Data'!AC15+'Match Data'!BB15+'Match Data'!CA15+'Match Data'!CZ15+'Match Data'!DY15+'Match Data'!EX15+'Match Data'!FW15+'Match Data'!GV15+'Match Data'!HU15</f>
        <v>0</v>
      </c>
      <c r="E15" s="94">
        <f>'Match Data'!E15+'Match Data'!AD15+'Match Data'!BC15+'Match Data'!CB15+'Match Data'!DA15+'Match Data'!DZ15+'Match Data'!EY15+'Match Data'!FX15+'Match Data'!GW15+'Match Data'!HV15</f>
        <v>0</v>
      </c>
      <c r="F15" s="94">
        <f>'Match Data'!F15+'Match Data'!AE15+'Match Data'!BD15+'Match Data'!CC15+'Match Data'!DB15+'Match Data'!EA15+'Match Data'!EZ15+'Match Data'!FY15+'Match Data'!GX15+'Match Data'!HW15</f>
        <v>0</v>
      </c>
      <c r="G15" s="94">
        <f>'Match Data'!G15+'Match Data'!AF15+'Match Data'!BE15+'Match Data'!CD15+'Match Data'!DC15+'Match Data'!EB15+'Match Data'!FA15+'Match Data'!FZ15+'Match Data'!GY15+'Match Data'!HX15</f>
        <v>0</v>
      </c>
      <c r="H15" s="94">
        <f>'Match Data'!H15+'Match Data'!AG15+'Match Data'!BF15+'Match Data'!CE15+'Match Data'!DD15+'Match Data'!EC15+'Match Data'!FB15+'Match Data'!GA15+'Match Data'!GZ15+'Match Data'!HY15</f>
        <v>0</v>
      </c>
      <c r="I15" s="94">
        <f>'Match Data'!I15+'Match Data'!AH15+'Match Data'!BG15+'Match Data'!CF15+'Match Data'!DE15+'Match Data'!ED15+'Match Data'!FC15+'Match Data'!GB15+'Match Data'!HA15+'Match Data'!HZ15</f>
        <v>0</v>
      </c>
      <c r="J15" s="94" t="e">
        <f>(Table5[[#This Row],[High Made]]+Table5[[#This Row],[Low Made]])/(SUM(Table5[[#This Row],[High Made]:[Low Miss]]))</f>
        <v>#DIV/0!</v>
      </c>
      <c r="K15" s="94">
        <f>'Match Data'!J15+'Match Data'!AI15+'Match Data'!BH15+'Match Data'!CG15+'Match Data'!DF15+'Match Data'!EE15+'Match Data'!FD15+'Match Data'!GC15+'Match Data'!HB15+'Match Data'!IA15</f>
        <v>0</v>
      </c>
      <c r="L15" s="94">
        <f>'Match Data'!K15+'Match Data'!AJ15+'Match Data'!BI15+'Match Data'!CH15+'Match Data'!DG15+'Match Data'!EF15+'Match Data'!FE15+'Match Data'!GD15+'Match Data'!HC15+'Match Data'!IB15</f>
        <v>0</v>
      </c>
      <c r="M15" s="94">
        <f>'Match Data'!L15+'Match Data'!AK15+'Match Data'!BJ15+'Match Data'!CI15+'Match Data'!DH15+'Match Data'!EG15+'Match Data'!FF15+'Match Data'!GE15+'Match Data'!HD15+'Match Data'!IC15</f>
        <v>0</v>
      </c>
      <c r="N15" s="94">
        <f>'Match Data'!M15+'Match Data'!AL15+'Match Data'!BK15+'Match Data'!CJ15+'Match Data'!DI15+'Match Data'!EH15+'Match Data'!FG15+'Match Data'!GF15+'Match Data'!HE15+'Match Data'!ID15</f>
        <v>0</v>
      </c>
      <c r="O15" s="94">
        <f>'Match Data'!N15+'Match Data'!AM15+'Match Data'!BL15+'Match Data'!CK15+'Match Data'!DJ15+'Match Data'!EI15+'Match Data'!FH15+'Match Data'!GG15+'Match Data'!HF15+'Match Data'!IE15</f>
        <v>0</v>
      </c>
      <c r="P15" s="94">
        <f>'Match Data'!O15+'Match Data'!AN15+'Match Data'!BM15+'Match Data'!CL15+'Match Data'!DK15+'Match Data'!EJ15+'Match Data'!FI15+'Match Data'!GH15+'Match Data'!HG15+'Match Data'!IF15</f>
        <v>0</v>
      </c>
      <c r="Q15" s="94">
        <f>'Match Data'!P15+'Match Data'!AO15+'Match Data'!BN15+'Match Data'!CM15+'Match Data'!DL15+'Match Data'!EK15+'Match Data'!FJ15+'Match Data'!GI15+'Match Data'!HH15+'Match Data'!IG15</f>
        <v>0</v>
      </c>
      <c r="R15" s="94">
        <f>'Match Data'!Q15+'Match Data'!AP15+'Match Data'!BO15+'Match Data'!CN15+'Match Data'!DM15+'Match Data'!EL15+'Match Data'!FK15+'Match Data'!GJ15+'Match Data'!HI15+'Match Data'!IH15</f>
        <v>0</v>
      </c>
      <c r="S15" s="122">
        <v>0</v>
      </c>
      <c r="T15" s="122">
        <v>0</v>
      </c>
      <c r="U15" s="94">
        <f>'Match Data'!S15+'Match Data'!AR15+'Match Data'!BQ15+'Match Data'!CP15+'Match Data'!DO15+'Match Data'!EN15+'Match Data'!FM15+'Match Data'!GL15+'Match Data'!HK15+'Match Data'!IJ15</f>
        <v>0</v>
      </c>
      <c r="V15" s="95">
        <f>'Match Data'!T15+'Match Data'!AS15+'Match Data'!BR15+'Match Data'!CQ15+'Match Data'!DP15+'Match Data'!EO15+'Match Data'!FN15+'Match Data'!GM15+'Match Data'!HL15+'Match Data'!IK15</f>
        <v>0</v>
      </c>
      <c r="W15" s="94">
        <f>'Match Data'!U15+'Match Data'!AT15+'Match Data'!BS15+'Match Data'!CR15+'Match Data'!DQ15+'Match Data'!EP15+'Match Data'!FO15+'Match Data'!GN15+'Match Data'!HM15+'Match Data'!IL15</f>
        <v>0</v>
      </c>
      <c r="X15" s="94">
        <f>'Match Data'!V15+'Match Data'!AU15+'Match Data'!BT15+'Match Data'!CS15+'Match Data'!DR15+'Match Data'!EQ15+'Match Data'!FP15+'Match Data'!GO15+'Match Data'!HN15+'Match Data'!IM15</f>
        <v>0</v>
      </c>
      <c r="Y15" s="94">
        <f>'Match Data'!W15+'Match Data'!AV15+'Match Data'!BU15+'Match Data'!CT15+'Match Data'!DS15+'Match Data'!ER15+'Match Data'!FQ15+'Match Data'!GP15+'Match Data'!HO15+'Match Data'!IN15</f>
        <v>0</v>
      </c>
      <c r="Z15" s="94">
        <f>'Match Data'!X15+'Match Data'!AW15+'Match Data'!BV15+'Match Data'!CU15+'Match Data'!DT15+'Match Data'!ES15+'Match Data'!FR15+'Match Data'!GQ15+'Match Data'!HP15+'Match Data'!IO15</f>
        <v>0</v>
      </c>
      <c r="AA15" s="94">
        <f>'Match Data'!Y15+'Match Data'!AX15+'Match Data'!BW15+'Match Data'!CV15+'Match Data'!DU15+'Match Data'!ET15+'Match Data'!FS15+'Match Data'!GR15+'Match Data'!HQ15+'Match Data'!IP15</f>
        <v>0</v>
      </c>
      <c r="AB15" s="117">
        <f>'Match Data'!Z15+'Match Data'!AY15+'Match Data'!BX15+'Match Data'!CW15+'Match Data'!DV15+'Match Data'!EU15+'Match Data'!FT15+'Match Data'!GS15+'Match Data'!HR15+'Match Data'!IQ15</f>
        <v>0</v>
      </c>
      <c r="AC15" s="99">
        <f>'Alliance Data'!B14+'Alliance Data'!L14+'Alliance Data'!V14+'Alliance Data'!AF14+'Alliance Data'!AP14+'Alliance Data'!AZ14+'Alliance Data'!BJ14+'Alliance Data'!BT14+'Alliance Data'!CD14+'Alliance Data'!CN14</f>
        <v>0</v>
      </c>
      <c r="AD15" s="118">
        <f>('Alliance Data'!C14+'Alliance Data'!M14+'Alliance Data'!W14+'Alliance Data'!AG14+'Alliance Data'!AQ14+'Alliance Data'!BA14+'Alliance Data'!BK14+'Alliance Data'!BU14+'Alliance Data'!CE14+'Alliance Data'!CO14)/Value!Q13</f>
        <v>0</v>
      </c>
      <c r="AE15" s="118">
        <f>('Alliance Data'!D14+'Alliance Data'!N14+'Alliance Data'!X14+'Alliance Data'!AH14+'Alliance Data'!AR14+'Alliance Data'!BB14+'Alliance Data'!BL14+'Alliance Data'!BV14+'Alliance Data'!CF14+'Alliance Data'!CP14)/Value!Q13</f>
        <v>0</v>
      </c>
      <c r="AF15" s="118">
        <f>('Alliance Data'!E14+'Alliance Data'!O14+'Alliance Data'!Y14+'Alliance Data'!AI14+'Alliance Data'!AS14+'Alliance Data'!BC14+'Alliance Data'!BM14+'Alliance Data'!BW14+'Alliance Data'!CG14+'Alliance Data'!CQ14)/Value!Q13</f>
        <v>0</v>
      </c>
      <c r="AG15" s="118">
        <f>('Alliance Data'!F14+'Alliance Data'!P14+'Alliance Data'!Z14+'Alliance Data'!AJ14+'Alliance Data'!AT14+'Alliance Data'!BD14+'Alliance Data'!BN14+'Alliance Data'!BX14+'Alliance Data'!CH14+'Alliance Data'!CR14)/Value!Q13</f>
        <v>0</v>
      </c>
      <c r="AH15" s="118">
        <f>('Alliance Data'!G14+'Alliance Data'!Q14+'Alliance Data'!AA14+'Alliance Data'!AK14+'Alliance Data'!AU14+'Alliance Data'!BE14+'Alliance Data'!BO14+'Alliance Data'!BY14+'Alliance Data'!CI14+'Alliance Data'!CS14)/Value!Q13</f>
        <v>0</v>
      </c>
      <c r="AI15" s="118">
        <f>('Alliance Data'!H14+'Alliance Data'!R14+'Alliance Data'!AB14+'Alliance Data'!AL14+'Alliance Data'!AV14+'Alliance Data'!BF14+'Alliance Data'!BP14+'Alliance Data'!BZ14+'Alliance Data'!CJ14+'Alliance Data'!CT14)/Value!Q13</f>
        <v>0</v>
      </c>
      <c r="AJ15" s="118">
        <f>('Alliance Data'!I14+'Alliance Data'!S14+'Alliance Data'!AC14+'Alliance Data'!AM14+'Alliance Data'!AW14+'Alliance Data'!BG14+'Alliance Data'!BQ14+'Alliance Data'!CA14+'Alliance Data'!CK14+'Alliance Data'!CU14)/Value!Q13</f>
        <v>0</v>
      </c>
      <c r="AK15" s="118">
        <f>'Alliance Data'!J14+'Alliance Data'!T14+'Alliance Data'!AD14+'Alliance Data'!AN14+'Alliance Data'!AX14+'Alliance Data'!BH14+'Alliance Data'!BR14+'Alliance Data'!CB14+'Alliance Data'!CL14+'Alliance Data'!CV14</f>
        <v>0</v>
      </c>
      <c r="AL15" s="119">
        <f>'Alliance Data'!K14+'Alliance Data'!U14+'Alliance Data'!AE14+'Alliance Data'!AO14+'Alliance Data'!AY14+'Alliance Data'!BI14+'Alliance Data'!BS14+'Alliance Data'!CC14+'Alliance Data'!CM14+'Alliance Data'!CW14</f>
        <v>0</v>
      </c>
    </row>
    <row r="16" spans="1:38" x14ac:dyDescent="0.25">
      <c r="A16" s="86">
        <v>2502</v>
      </c>
      <c r="B16" s="99">
        <f>'Match Data'!B16+'Match Data'!AA16+'Match Data'!AZ16+'Match Data'!BY16+'Match Data'!CX16+'Match Data'!DW16+'Match Data'!EV16+'Match Data'!FU16+'Match Data'!GT16+'Match Data'!HS16</f>
        <v>0</v>
      </c>
      <c r="C16" s="94">
        <f>'Match Data'!C16+'Match Data'!AB16+'Match Data'!BA16+'Match Data'!BZ16+'Match Data'!CY16+'Match Data'!DX16+'Match Data'!EW16+'Match Data'!FV16+'Match Data'!GU16+'Match Data'!HT16</f>
        <v>0</v>
      </c>
      <c r="D16" s="94">
        <f>'Match Data'!D16+'Match Data'!AC16+'Match Data'!BB16+'Match Data'!CA16+'Match Data'!CZ16+'Match Data'!DY16+'Match Data'!EX16+'Match Data'!FW16+'Match Data'!GV16+'Match Data'!HU16</f>
        <v>0</v>
      </c>
      <c r="E16" s="94">
        <f>'Match Data'!E16+'Match Data'!AD16+'Match Data'!BC16+'Match Data'!CB16+'Match Data'!DA16+'Match Data'!DZ16+'Match Data'!EY16+'Match Data'!FX16+'Match Data'!GW16+'Match Data'!HV16</f>
        <v>0</v>
      </c>
      <c r="F16" s="94">
        <f>'Match Data'!F16+'Match Data'!AE16+'Match Data'!BD16+'Match Data'!CC16+'Match Data'!DB16+'Match Data'!EA16+'Match Data'!EZ16+'Match Data'!FY16+'Match Data'!GX16+'Match Data'!HW16</f>
        <v>0</v>
      </c>
      <c r="G16" s="94">
        <f>'Match Data'!G16+'Match Data'!AF16+'Match Data'!BE16+'Match Data'!CD16+'Match Data'!DC16+'Match Data'!EB16+'Match Data'!FA16+'Match Data'!FZ16+'Match Data'!GY16+'Match Data'!HX16</f>
        <v>0</v>
      </c>
      <c r="H16" s="94">
        <f>'Match Data'!H16+'Match Data'!AG16+'Match Data'!BF16+'Match Data'!CE16+'Match Data'!DD16+'Match Data'!EC16+'Match Data'!FB16+'Match Data'!GA16+'Match Data'!GZ16+'Match Data'!HY16</f>
        <v>0</v>
      </c>
      <c r="I16" s="94">
        <f>'Match Data'!I16+'Match Data'!AH16+'Match Data'!BG16+'Match Data'!CF16+'Match Data'!DE16+'Match Data'!ED16+'Match Data'!FC16+'Match Data'!GB16+'Match Data'!HA16+'Match Data'!HZ16</f>
        <v>0</v>
      </c>
      <c r="J16" s="94" t="e">
        <f>(Table5[[#This Row],[High Made]]+Table5[[#This Row],[Low Made]])/(SUM(Table5[[#This Row],[High Made]:[Low Miss]]))</f>
        <v>#DIV/0!</v>
      </c>
      <c r="K16" s="94">
        <f>'Match Data'!J16+'Match Data'!AI16+'Match Data'!BH16+'Match Data'!CG16+'Match Data'!DF16+'Match Data'!EE16+'Match Data'!FD16+'Match Data'!GC16+'Match Data'!HB16+'Match Data'!IA16</f>
        <v>0</v>
      </c>
      <c r="L16" s="94">
        <f>'Match Data'!K16+'Match Data'!AJ16+'Match Data'!BI16+'Match Data'!CH16+'Match Data'!DG16+'Match Data'!EF16+'Match Data'!FE16+'Match Data'!GD16+'Match Data'!HC16+'Match Data'!IB16</f>
        <v>0</v>
      </c>
      <c r="M16" s="94">
        <f>'Match Data'!L16+'Match Data'!AK16+'Match Data'!BJ16+'Match Data'!CI16+'Match Data'!DH16+'Match Data'!EG16+'Match Data'!FF16+'Match Data'!GE16+'Match Data'!HD16+'Match Data'!IC16</f>
        <v>0</v>
      </c>
      <c r="N16" s="94">
        <f>'Match Data'!M16+'Match Data'!AL16+'Match Data'!BK16+'Match Data'!CJ16+'Match Data'!DI16+'Match Data'!EH16+'Match Data'!FG16+'Match Data'!GF16+'Match Data'!HE16+'Match Data'!ID16</f>
        <v>0</v>
      </c>
      <c r="O16" s="94">
        <f>'Match Data'!N16+'Match Data'!AM16+'Match Data'!BL16+'Match Data'!CK16+'Match Data'!DJ16+'Match Data'!EI16+'Match Data'!FH16+'Match Data'!GG16+'Match Data'!HF16+'Match Data'!IE16</f>
        <v>0</v>
      </c>
      <c r="P16" s="94">
        <f>'Match Data'!O16+'Match Data'!AN16+'Match Data'!BM16+'Match Data'!CL16+'Match Data'!DK16+'Match Data'!EJ16+'Match Data'!FI16+'Match Data'!GH16+'Match Data'!HG16+'Match Data'!IF16</f>
        <v>0</v>
      </c>
      <c r="Q16" s="94">
        <f>'Match Data'!P16+'Match Data'!AO16+'Match Data'!BN16+'Match Data'!CM16+'Match Data'!DL16+'Match Data'!EK16+'Match Data'!FJ16+'Match Data'!GI16+'Match Data'!HH16+'Match Data'!IG16</f>
        <v>0</v>
      </c>
      <c r="R16" s="94">
        <f>'Match Data'!Q16+'Match Data'!AP16+'Match Data'!BO16+'Match Data'!CN16+'Match Data'!DM16+'Match Data'!EL16+'Match Data'!FK16+'Match Data'!GJ16+'Match Data'!HI16+'Match Data'!IH16</f>
        <v>0</v>
      </c>
      <c r="S16" s="122">
        <v>0</v>
      </c>
      <c r="T16" s="122">
        <v>0</v>
      </c>
      <c r="U16" s="94">
        <f>'Match Data'!S16+'Match Data'!AR16+'Match Data'!BQ16+'Match Data'!CP16+'Match Data'!DO16+'Match Data'!EN16+'Match Data'!FM16+'Match Data'!GL16+'Match Data'!HK16+'Match Data'!IJ16</f>
        <v>0</v>
      </c>
      <c r="V16" s="95">
        <f>'Match Data'!T16+'Match Data'!AS16+'Match Data'!BR16+'Match Data'!CQ16+'Match Data'!DP16+'Match Data'!EO16+'Match Data'!FN16+'Match Data'!GM16+'Match Data'!HL16+'Match Data'!IK16</f>
        <v>0</v>
      </c>
      <c r="W16" s="94">
        <f>'Match Data'!U16+'Match Data'!AT16+'Match Data'!BS16+'Match Data'!CR16+'Match Data'!DQ16+'Match Data'!EP16+'Match Data'!FO16+'Match Data'!GN16+'Match Data'!HM16+'Match Data'!IL16</f>
        <v>0</v>
      </c>
      <c r="X16" s="94">
        <f>'Match Data'!V16+'Match Data'!AU16+'Match Data'!BT16+'Match Data'!CS16+'Match Data'!DR16+'Match Data'!EQ16+'Match Data'!FP16+'Match Data'!GO16+'Match Data'!HN16+'Match Data'!IM16</f>
        <v>0</v>
      </c>
      <c r="Y16" s="94">
        <f>'Match Data'!W16+'Match Data'!AV16+'Match Data'!BU16+'Match Data'!CT16+'Match Data'!DS16+'Match Data'!ER16+'Match Data'!FQ16+'Match Data'!GP16+'Match Data'!HO16+'Match Data'!IN16</f>
        <v>0</v>
      </c>
      <c r="Z16" s="94">
        <f>'Match Data'!X16+'Match Data'!AW16+'Match Data'!BV16+'Match Data'!CU16+'Match Data'!DT16+'Match Data'!ES16+'Match Data'!FR16+'Match Data'!GQ16+'Match Data'!HP16+'Match Data'!IO16</f>
        <v>0</v>
      </c>
      <c r="AA16" s="94">
        <f>'Match Data'!Y16+'Match Data'!AX16+'Match Data'!BW16+'Match Data'!CV16+'Match Data'!DU16+'Match Data'!ET16+'Match Data'!FS16+'Match Data'!GR16+'Match Data'!HQ16+'Match Data'!IP16</f>
        <v>0</v>
      </c>
      <c r="AB16" s="117">
        <f>'Match Data'!Z16+'Match Data'!AY16+'Match Data'!BX16+'Match Data'!CW16+'Match Data'!DV16+'Match Data'!EU16+'Match Data'!FT16+'Match Data'!GS16+'Match Data'!HR16+'Match Data'!IQ16</f>
        <v>0</v>
      </c>
      <c r="AC16" s="99">
        <f>'Alliance Data'!B15+'Alliance Data'!L15+'Alliance Data'!V15+'Alliance Data'!AF15+'Alliance Data'!AP15+'Alliance Data'!AZ15+'Alliance Data'!BJ15+'Alliance Data'!BT15+'Alliance Data'!CD15+'Alliance Data'!CN15</f>
        <v>0</v>
      </c>
      <c r="AD16" s="118">
        <f>('Alliance Data'!C15+'Alliance Data'!M15+'Alliance Data'!W15+'Alliance Data'!AG15+'Alliance Data'!AQ15+'Alliance Data'!BA15+'Alliance Data'!BK15+'Alliance Data'!BU15+'Alliance Data'!CE15+'Alliance Data'!CO15)/Value!Q14</f>
        <v>0</v>
      </c>
      <c r="AE16" s="118">
        <f>('Alliance Data'!D15+'Alliance Data'!N15+'Alliance Data'!X15+'Alliance Data'!AH15+'Alliance Data'!AR15+'Alliance Data'!BB15+'Alliance Data'!BL15+'Alliance Data'!BV15+'Alliance Data'!CF15+'Alliance Data'!CP15)/Value!Q14</f>
        <v>0</v>
      </c>
      <c r="AF16" s="118">
        <f>('Alliance Data'!E15+'Alliance Data'!O15+'Alliance Data'!Y15+'Alliance Data'!AI15+'Alliance Data'!AS15+'Alliance Data'!BC15+'Alliance Data'!BM15+'Alliance Data'!BW15+'Alliance Data'!CG15+'Alliance Data'!CQ15)/Value!Q14</f>
        <v>0</v>
      </c>
      <c r="AG16" s="118">
        <f>('Alliance Data'!F15+'Alliance Data'!P15+'Alliance Data'!Z15+'Alliance Data'!AJ15+'Alliance Data'!AT15+'Alliance Data'!BD15+'Alliance Data'!BN15+'Alliance Data'!BX15+'Alliance Data'!CH15+'Alliance Data'!CR15)/Value!Q14</f>
        <v>0</v>
      </c>
      <c r="AH16" s="118">
        <f>('Alliance Data'!G15+'Alliance Data'!Q15+'Alliance Data'!AA15+'Alliance Data'!AK15+'Alliance Data'!AU15+'Alliance Data'!BE15+'Alliance Data'!BO15+'Alliance Data'!BY15+'Alliance Data'!CI15+'Alliance Data'!CS15)/Value!Q14</f>
        <v>0</v>
      </c>
      <c r="AI16" s="118">
        <f>('Alliance Data'!H15+'Alliance Data'!R15+'Alliance Data'!AB15+'Alliance Data'!AL15+'Alliance Data'!AV15+'Alliance Data'!BF15+'Alliance Data'!BP15+'Alliance Data'!BZ15+'Alliance Data'!CJ15+'Alliance Data'!CT15)/Value!Q14</f>
        <v>0</v>
      </c>
      <c r="AJ16" s="118">
        <f>('Alliance Data'!I15+'Alliance Data'!S15+'Alliance Data'!AC15+'Alliance Data'!AM15+'Alliance Data'!AW15+'Alliance Data'!BG15+'Alliance Data'!BQ15+'Alliance Data'!CA15+'Alliance Data'!CK15+'Alliance Data'!CU15)/Value!Q14</f>
        <v>0</v>
      </c>
      <c r="AK16" s="118">
        <f>'Alliance Data'!J15+'Alliance Data'!T15+'Alliance Data'!AD15+'Alliance Data'!AN15+'Alliance Data'!AX15+'Alliance Data'!BH15+'Alliance Data'!BR15+'Alliance Data'!CB15+'Alliance Data'!CL15+'Alliance Data'!CV15</f>
        <v>0</v>
      </c>
      <c r="AL16" s="119">
        <f>'Alliance Data'!K15+'Alliance Data'!U15+'Alliance Data'!AE15+'Alliance Data'!AO15+'Alliance Data'!AY15+'Alliance Data'!BI15+'Alliance Data'!BS15+'Alliance Data'!CC15+'Alliance Data'!CM15+'Alliance Data'!CW15</f>
        <v>0</v>
      </c>
    </row>
    <row r="17" spans="1:38" x14ac:dyDescent="0.25">
      <c r="A17" s="86">
        <v>2506</v>
      </c>
      <c r="B17" s="99">
        <f>'Match Data'!B17+'Match Data'!AA17+'Match Data'!AZ17+'Match Data'!BY17+'Match Data'!CX17+'Match Data'!DW17+'Match Data'!EV17+'Match Data'!FU17+'Match Data'!GT17+'Match Data'!HS17</f>
        <v>0</v>
      </c>
      <c r="C17" s="94">
        <f>'Match Data'!C17+'Match Data'!AB17+'Match Data'!BA17+'Match Data'!BZ17+'Match Data'!CY17+'Match Data'!DX17+'Match Data'!EW17+'Match Data'!FV17+'Match Data'!GU17+'Match Data'!HT17</f>
        <v>0</v>
      </c>
      <c r="D17" s="94">
        <f>'Match Data'!D17+'Match Data'!AC17+'Match Data'!BB17+'Match Data'!CA17+'Match Data'!CZ17+'Match Data'!DY17+'Match Data'!EX17+'Match Data'!FW17+'Match Data'!GV17+'Match Data'!HU17</f>
        <v>0</v>
      </c>
      <c r="E17" s="94">
        <f>'Match Data'!E17+'Match Data'!AD17+'Match Data'!BC17+'Match Data'!CB17+'Match Data'!DA17+'Match Data'!DZ17+'Match Data'!EY17+'Match Data'!FX17+'Match Data'!GW17+'Match Data'!HV17</f>
        <v>0</v>
      </c>
      <c r="F17" s="94">
        <f>'Match Data'!F17+'Match Data'!AE17+'Match Data'!BD17+'Match Data'!CC17+'Match Data'!DB17+'Match Data'!EA17+'Match Data'!EZ17+'Match Data'!FY17+'Match Data'!GX17+'Match Data'!HW17</f>
        <v>0</v>
      </c>
      <c r="G17" s="94">
        <f>'Match Data'!G17+'Match Data'!AF17+'Match Data'!BE17+'Match Data'!CD17+'Match Data'!DC17+'Match Data'!EB17+'Match Data'!FA17+'Match Data'!FZ17+'Match Data'!GY17+'Match Data'!HX17</f>
        <v>0</v>
      </c>
      <c r="H17" s="94">
        <f>'Match Data'!H17+'Match Data'!AG17+'Match Data'!BF17+'Match Data'!CE17+'Match Data'!DD17+'Match Data'!EC17+'Match Data'!FB17+'Match Data'!GA17+'Match Data'!GZ17+'Match Data'!HY17</f>
        <v>0</v>
      </c>
      <c r="I17" s="94">
        <f>'Match Data'!I17+'Match Data'!AH17+'Match Data'!BG17+'Match Data'!CF17+'Match Data'!DE17+'Match Data'!ED17+'Match Data'!FC17+'Match Data'!GB17+'Match Data'!HA17+'Match Data'!HZ17</f>
        <v>0</v>
      </c>
      <c r="J17" s="94" t="e">
        <f>(Table5[[#This Row],[High Made]]+Table5[[#This Row],[Low Made]])/(SUM(Table5[[#This Row],[High Made]:[Low Miss]]))</f>
        <v>#DIV/0!</v>
      </c>
      <c r="K17" s="94">
        <f>'Match Data'!J17+'Match Data'!AI17+'Match Data'!BH17+'Match Data'!CG17+'Match Data'!DF17+'Match Data'!EE17+'Match Data'!FD17+'Match Data'!GC17+'Match Data'!HB17+'Match Data'!IA17</f>
        <v>0</v>
      </c>
      <c r="L17" s="94">
        <f>'Match Data'!K17+'Match Data'!AJ17+'Match Data'!BI17+'Match Data'!CH17+'Match Data'!DG17+'Match Data'!EF17+'Match Data'!FE17+'Match Data'!GD17+'Match Data'!HC17+'Match Data'!IB17</f>
        <v>0</v>
      </c>
      <c r="M17" s="94">
        <f>'Match Data'!L17+'Match Data'!AK17+'Match Data'!BJ17+'Match Data'!CI17+'Match Data'!DH17+'Match Data'!EG17+'Match Data'!FF17+'Match Data'!GE17+'Match Data'!HD17+'Match Data'!IC17</f>
        <v>0</v>
      </c>
      <c r="N17" s="94">
        <f>'Match Data'!M17+'Match Data'!AL17+'Match Data'!BK17+'Match Data'!CJ17+'Match Data'!DI17+'Match Data'!EH17+'Match Data'!FG17+'Match Data'!GF17+'Match Data'!HE17+'Match Data'!ID17</f>
        <v>0</v>
      </c>
      <c r="O17" s="94">
        <f>'Match Data'!N17+'Match Data'!AM17+'Match Data'!BL17+'Match Data'!CK17+'Match Data'!DJ17+'Match Data'!EI17+'Match Data'!FH17+'Match Data'!GG17+'Match Data'!HF17+'Match Data'!IE17</f>
        <v>0</v>
      </c>
      <c r="P17" s="94">
        <f>'Match Data'!O17+'Match Data'!AN17+'Match Data'!BM17+'Match Data'!CL17+'Match Data'!DK17+'Match Data'!EJ17+'Match Data'!FI17+'Match Data'!GH17+'Match Data'!HG17+'Match Data'!IF17</f>
        <v>0</v>
      </c>
      <c r="Q17" s="94">
        <f>'Match Data'!P17+'Match Data'!AO17+'Match Data'!BN17+'Match Data'!CM17+'Match Data'!DL17+'Match Data'!EK17+'Match Data'!FJ17+'Match Data'!GI17+'Match Data'!HH17+'Match Data'!IG17</f>
        <v>0</v>
      </c>
      <c r="R17" s="94">
        <f>'Match Data'!Q17+'Match Data'!AP17+'Match Data'!BO17+'Match Data'!CN17+'Match Data'!DM17+'Match Data'!EL17+'Match Data'!FK17+'Match Data'!GJ17+'Match Data'!HI17+'Match Data'!IH17</f>
        <v>0</v>
      </c>
      <c r="S17" s="122">
        <v>0</v>
      </c>
      <c r="T17" s="122">
        <v>0</v>
      </c>
      <c r="U17" s="94">
        <f>'Match Data'!S17+'Match Data'!AR17+'Match Data'!BQ17+'Match Data'!CP17+'Match Data'!DO17+'Match Data'!EN17+'Match Data'!FM17+'Match Data'!GL17+'Match Data'!HK17+'Match Data'!IJ17</f>
        <v>0</v>
      </c>
      <c r="V17" s="95">
        <f>'Match Data'!T17+'Match Data'!AS17+'Match Data'!BR17+'Match Data'!CQ17+'Match Data'!DP17+'Match Data'!EO17+'Match Data'!FN17+'Match Data'!GM17+'Match Data'!HL17+'Match Data'!IK17</f>
        <v>0</v>
      </c>
      <c r="W17" s="94">
        <f>'Match Data'!U17+'Match Data'!AT17+'Match Data'!BS17+'Match Data'!CR17+'Match Data'!DQ17+'Match Data'!EP17+'Match Data'!FO17+'Match Data'!GN17+'Match Data'!HM17+'Match Data'!IL17</f>
        <v>0</v>
      </c>
      <c r="X17" s="94">
        <f>'Match Data'!V17+'Match Data'!AU17+'Match Data'!BT17+'Match Data'!CS17+'Match Data'!DR17+'Match Data'!EQ17+'Match Data'!FP17+'Match Data'!GO17+'Match Data'!HN17+'Match Data'!IM17</f>
        <v>0</v>
      </c>
      <c r="Y17" s="94">
        <f>'Match Data'!W17+'Match Data'!AV17+'Match Data'!BU17+'Match Data'!CT17+'Match Data'!DS17+'Match Data'!ER17+'Match Data'!FQ17+'Match Data'!GP17+'Match Data'!HO17+'Match Data'!IN17</f>
        <v>0</v>
      </c>
      <c r="Z17" s="94">
        <f>'Match Data'!X17+'Match Data'!AW17+'Match Data'!BV17+'Match Data'!CU17+'Match Data'!DT17+'Match Data'!ES17+'Match Data'!FR17+'Match Data'!GQ17+'Match Data'!HP17+'Match Data'!IO17</f>
        <v>0</v>
      </c>
      <c r="AA17" s="94">
        <f>'Match Data'!Y17+'Match Data'!AX17+'Match Data'!BW17+'Match Data'!CV17+'Match Data'!DU17+'Match Data'!ET17+'Match Data'!FS17+'Match Data'!GR17+'Match Data'!HQ17+'Match Data'!IP17</f>
        <v>0</v>
      </c>
      <c r="AB17" s="117">
        <f>'Match Data'!Z17+'Match Data'!AY17+'Match Data'!BX17+'Match Data'!CW17+'Match Data'!DV17+'Match Data'!EU17+'Match Data'!FT17+'Match Data'!GS17+'Match Data'!HR17+'Match Data'!IQ17</f>
        <v>0</v>
      </c>
      <c r="AC17" s="99">
        <f>'Alliance Data'!B16+'Alliance Data'!L16+'Alliance Data'!V16+'Alliance Data'!AF16+'Alliance Data'!AP16+'Alliance Data'!AZ16+'Alliance Data'!BJ16+'Alliance Data'!BT16+'Alliance Data'!CD16+'Alliance Data'!CN16</f>
        <v>0</v>
      </c>
      <c r="AD17" s="118">
        <f>('Alliance Data'!C16+'Alliance Data'!M16+'Alliance Data'!W16+'Alliance Data'!AG16+'Alliance Data'!AQ16+'Alliance Data'!BA16+'Alliance Data'!BK16+'Alliance Data'!BU16+'Alliance Data'!CE16+'Alliance Data'!CO16)/Value!Q15</f>
        <v>0</v>
      </c>
      <c r="AE17" s="118">
        <f>('Alliance Data'!D16+'Alliance Data'!N16+'Alliance Data'!X16+'Alliance Data'!AH16+'Alliance Data'!AR16+'Alliance Data'!BB16+'Alliance Data'!BL16+'Alliance Data'!BV16+'Alliance Data'!CF16+'Alliance Data'!CP16)/Value!Q15</f>
        <v>0</v>
      </c>
      <c r="AF17" s="118">
        <f>('Alliance Data'!E16+'Alliance Data'!O16+'Alliance Data'!Y16+'Alliance Data'!AI16+'Alliance Data'!AS16+'Alliance Data'!BC16+'Alliance Data'!BM16+'Alliance Data'!BW16+'Alliance Data'!CG16+'Alliance Data'!CQ16)/Value!Q15</f>
        <v>0</v>
      </c>
      <c r="AG17" s="118">
        <f>('Alliance Data'!F16+'Alliance Data'!P16+'Alliance Data'!Z16+'Alliance Data'!AJ16+'Alliance Data'!AT16+'Alliance Data'!BD16+'Alliance Data'!BN16+'Alliance Data'!BX16+'Alliance Data'!CH16+'Alliance Data'!CR16)/Value!Q15</f>
        <v>0</v>
      </c>
      <c r="AH17" s="118">
        <f>('Alliance Data'!G16+'Alliance Data'!Q16+'Alliance Data'!AA16+'Alliance Data'!AK16+'Alliance Data'!AU16+'Alliance Data'!BE16+'Alliance Data'!BO16+'Alliance Data'!BY16+'Alliance Data'!CI16+'Alliance Data'!CS16)/Value!Q15</f>
        <v>0</v>
      </c>
      <c r="AI17" s="118">
        <f>('Alliance Data'!H16+'Alliance Data'!R16+'Alliance Data'!AB16+'Alliance Data'!AL16+'Alliance Data'!AV16+'Alliance Data'!BF16+'Alliance Data'!BP16+'Alliance Data'!BZ16+'Alliance Data'!CJ16+'Alliance Data'!CT16)/Value!Q15</f>
        <v>0</v>
      </c>
      <c r="AJ17" s="118">
        <f>('Alliance Data'!I16+'Alliance Data'!S16+'Alliance Data'!AC16+'Alliance Data'!AM16+'Alliance Data'!AW16+'Alliance Data'!BG16+'Alliance Data'!BQ16+'Alliance Data'!CA16+'Alliance Data'!CK16+'Alliance Data'!CU16)/Value!Q15</f>
        <v>0</v>
      </c>
      <c r="AK17" s="118">
        <f>'Alliance Data'!J16+'Alliance Data'!T16+'Alliance Data'!AD16+'Alliance Data'!AN16+'Alliance Data'!AX16+'Alliance Data'!BH16+'Alliance Data'!BR16+'Alliance Data'!CB16+'Alliance Data'!CL16+'Alliance Data'!CV16</f>
        <v>0</v>
      </c>
      <c r="AL17" s="119">
        <f>'Alliance Data'!K16+'Alliance Data'!U16+'Alliance Data'!AE16+'Alliance Data'!AO16+'Alliance Data'!AY16+'Alliance Data'!BI16+'Alliance Data'!BS16+'Alliance Data'!CC16+'Alliance Data'!CM16+'Alliance Data'!CW16</f>
        <v>0</v>
      </c>
    </row>
    <row r="18" spans="1:38" x14ac:dyDescent="0.25">
      <c r="A18" s="86">
        <v>2512</v>
      </c>
      <c r="B18" s="99">
        <f>'Match Data'!B18+'Match Data'!AA18+'Match Data'!AZ18+'Match Data'!BY18+'Match Data'!CX18+'Match Data'!DW18+'Match Data'!EV18+'Match Data'!FU18+'Match Data'!GT18+'Match Data'!HS18</f>
        <v>0</v>
      </c>
      <c r="C18" s="94">
        <f>'Match Data'!C18+'Match Data'!AB18+'Match Data'!BA18+'Match Data'!BZ18+'Match Data'!CY18+'Match Data'!DX18+'Match Data'!EW18+'Match Data'!FV18+'Match Data'!GU18+'Match Data'!HT18</f>
        <v>0</v>
      </c>
      <c r="D18" s="94">
        <f>'Match Data'!D18+'Match Data'!AC18+'Match Data'!BB18+'Match Data'!CA18+'Match Data'!CZ18+'Match Data'!DY18+'Match Data'!EX18+'Match Data'!FW18+'Match Data'!GV18+'Match Data'!HU18</f>
        <v>0</v>
      </c>
      <c r="E18" s="94">
        <f>'Match Data'!E18+'Match Data'!AD18+'Match Data'!BC18+'Match Data'!CB18+'Match Data'!DA18+'Match Data'!DZ18+'Match Data'!EY18+'Match Data'!FX18+'Match Data'!GW18+'Match Data'!HV18</f>
        <v>0</v>
      </c>
      <c r="F18" s="94">
        <f>'Match Data'!F18+'Match Data'!AE18+'Match Data'!BD18+'Match Data'!CC18+'Match Data'!DB18+'Match Data'!EA18+'Match Data'!EZ18+'Match Data'!FY18+'Match Data'!GX18+'Match Data'!HW18</f>
        <v>0</v>
      </c>
      <c r="G18" s="94">
        <f>'Match Data'!G18+'Match Data'!AF18+'Match Data'!BE18+'Match Data'!CD18+'Match Data'!DC18+'Match Data'!EB18+'Match Data'!FA18+'Match Data'!FZ18+'Match Data'!GY18+'Match Data'!HX18</f>
        <v>0</v>
      </c>
      <c r="H18" s="94">
        <f>'Match Data'!H18+'Match Data'!AG18+'Match Data'!BF18+'Match Data'!CE18+'Match Data'!DD18+'Match Data'!EC18+'Match Data'!FB18+'Match Data'!GA18+'Match Data'!GZ18+'Match Data'!HY18</f>
        <v>0</v>
      </c>
      <c r="I18" s="94">
        <f>'Match Data'!I18+'Match Data'!AH18+'Match Data'!BG18+'Match Data'!CF18+'Match Data'!DE18+'Match Data'!ED18+'Match Data'!FC18+'Match Data'!GB18+'Match Data'!HA18+'Match Data'!HZ18</f>
        <v>0</v>
      </c>
      <c r="J18" s="94" t="e">
        <f>(Table5[[#This Row],[High Made]]+Table5[[#This Row],[Low Made]])/(SUM(Table5[[#This Row],[High Made]:[Low Miss]]))</f>
        <v>#DIV/0!</v>
      </c>
      <c r="K18" s="94">
        <f>'Match Data'!J18+'Match Data'!AI18+'Match Data'!BH18+'Match Data'!CG18+'Match Data'!DF18+'Match Data'!EE18+'Match Data'!FD18+'Match Data'!GC18+'Match Data'!HB18+'Match Data'!IA18</f>
        <v>0</v>
      </c>
      <c r="L18" s="94">
        <f>'Match Data'!K18+'Match Data'!AJ18+'Match Data'!BI18+'Match Data'!CH18+'Match Data'!DG18+'Match Data'!EF18+'Match Data'!FE18+'Match Data'!GD18+'Match Data'!HC18+'Match Data'!IB18</f>
        <v>0</v>
      </c>
      <c r="M18" s="94">
        <f>'Match Data'!L18+'Match Data'!AK18+'Match Data'!BJ18+'Match Data'!CI18+'Match Data'!DH18+'Match Data'!EG18+'Match Data'!FF18+'Match Data'!GE18+'Match Data'!HD18+'Match Data'!IC18</f>
        <v>0</v>
      </c>
      <c r="N18" s="94">
        <f>'Match Data'!M18+'Match Data'!AL18+'Match Data'!BK18+'Match Data'!CJ18+'Match Data'!DI18+'Match Data'!EH18+'Match Data'!FG18+'Match Data'!GF18+'Match Data'!HE18+'Match Data'!ID18</f>
        <v>0</v>
      </c>
      <c r="O18" s="94">
        <f>'Match Data'!N18+'Match Data'!AM18+'Match Data'!BL18+'Match Data'!CK18+'Match Data'!DJ18+'Match Data'!EI18+'Match Data'!FH18+'Match Data'!GG18+'Match Data'!HF18+'Match Data'!IE18</f>
        <v>0</v>
      </c>
      <c r="P18" s="94">
        <f>'Match Data'!O18+'Match Data'!AN18+'Match Data'!BM18+'Match Data'!CL18+'Match Data'!DK18+'Match Data'!EJ18+'Match Data'!FI18+'Match Data'!GH18+'Match Data'!HG18+'Match Data'!IF18</f>
        <v>0</v>
      </c>
      <c r="Q18" s="94">
        <f>'Match Data'!P18+'Match Data'!AO18+'Match Data'!BN18+'Match Data'!CM18+'Match Data'!DL18+'Match Data'!EK18+'Match Data'!FJ18+'Match Data'!GI18+'Match Data'!HH18+'Match Data'!IG18</f>
        <v>0</v>
      </c>
      <c r="R18" s="94">
        <f>'Match Data'!Q18+'Match Data'!AP18+'Match Data'!BO18+'Match Data'!CN18+'Match Data'!DM18+'Match Data'!EL18+'Match Data'!FK18+'Match Data'!GJ18+'Match Data'!HI18+'Match Data'!IH18</f>
        <v>0</v>
      </c>
      <c r="S18" s="122">
        <v>0</v>
      </c>
      <c r="T18" s="122">
        <v>0</v>
      </c>
      <c r="U18" s="94">
        <f>'Match Data'!S18+'Match Data'!AR18+'Match Data'!BQ18+'Match Data'!CP18+'Match Data'!DO18+'Match Data'!EN18+'Match Data'!FM18+'Match Data'!GL18+'Match Data'!HK18+'Match Data'!IJ18</f>
        <v>0</v>
      </c>
      <c r="V18" s="95">
        <f>'Match Data'!T18+'Match Data'!AS18+'Match Data'!BR18+'Match Data'!CQ18+'Match Data'!DP18+'Match Data'!EO18+'Match Data'!FN18+'Match Data'!GM18+'Match Data'!HL18+'Match Data'!IK18</f>
        <v>0</v>
      </c>
      <c r="W18" s="94">
        <f>'Match Data'!U18+'Match Data'!AT18+'Match Data'!BS18+'Match Data'!CR18+'Match Data'!DQ18+'Match Data'!EP18+'Match Data'!FO18+'Match Data'!GN18+'Match Data'!HM18+'Match Data'!IL18</f>
        <v>0</v>
      </c>
      <c r="X18" s="94">
        <f>'Match Data'!V18+'Match Data'!AU18+'Match Data'!BT18+'Match Data'!CS18+'Match Data'!DR18+'Match Data'!EQ18+'Match Data'!FP18+'Match Data'!GO18+'Match Data'!HN18+'Match Data'!IM18</f>
        <v>0</v>
      </c>
      <c r="Y18" s="94">
        <f>'Match Data'!W18+'Match Data'!AV18+'Match Data'!BU18+'Match Data'!CT18+'Match Data'!DS18+'Match Data'!ER18+'Match Data'!FQ18+'Match Data'!GP18+'Match Data'!HO18+'Match Data'!IN18</f>
        <v>0</v>
      </c>
      <c r="Z18" s="94">
        <f>'Match Data'!X18+'Match Data'!AW18+'Match Data'!BV18+'Match Data'!CU18+'Match Data'!DT18+'Match Data'!ES18+'Match Data'!FR18+'Match Data'!GQ18+'Match Data'!HP18+'Match Data'!IO18</f>
        <v>0</v>
      </c>
      <c r="AA18" s="94">
        <f>'Match Data'!Y18+'Match Data'!AX18+'Match Data'!BW18+'Match Data'!CV18+'Match Data'!DU18+'Match Data'!ET18+'Match Data'!FS18+'Match Data'!GR18+'Match Data'!HQ18+'Match Data'!IP18</f>
        <v>0</v>
      </c>
      <c r="AB18" s="117">
        <f>'Match Data'!Z18+'Match Data'!AY18+'Match Data'!BX18+'Match Data'!CW18+'Match Data'!DV18+'Match Data'!EU18+'Match Data'!FT18+'Match Data'!GS18+'Match Data'!HR18+'Match Data'!IQ18</f>
        <v>0</v>
      </c>
      <c r="AC18" s="99">
        <f>'Alliance Data'!B17+'Alliance Data'!L17+'Alliance Data'!V17+'Alliance Data'!AF17+'Alliance Data'!AP17+'Alliance Data'!AZ17+'Alliance Data'!BJ17+'Alliance Data'!BT17+'Alliance Data'!CD17+'Alliance Data'!CN17</f>
        <v>0</v>
      </c>
      <c r="AD18" s="118">
        <f>('Alliance Data'!C17+'Alliance Data'!M17+'Alliance Data'!W17+'Alliance Data'!AG17+'Alliance Data'!AQ17+'Alliance Data'!BA17+'Alliance Data'!BK17+'Alliance Data'!BU17+'Alliance Data'!CE17+'Alliance Data'!CO17)/Value!Q16</f>
        <v>0</v>
      </c>
      <c r="AE18" s="118">
        <f>('Alliance Data'!D17+'Alliance Data'!N17+'Alliance Data'!X17+'Alliance Data'!AH17+'Alliance Data'!AR17+'Alliance Data'!BB17+'Alliance Data'!BL17+'Alliance Data'!BV17+'Alliance Data'!CF17+'Alliance Data'!CP17)/Value!Q16</f>
        <v>0</v>
      </c>
      <c r="AF18" s="118">
        <f>('Alliance Data'!E17+'Alliance Data'!O17+'Alliance Data'!Y17+'Alliance Data'!AI17+'Alliance Data'!AS17+'Alliance Data'!BC17+'Alliance Data'!BM17+'Alliance Data'!BW17+'Alliance Data'!CG17+'Alliance Data'!CQ17)/Value!Q16</f>
        <v>0</v>
      </c>
      <c r="AG18" s="118">
        <f>('Alliance Data'!F17+'Alliance Data'!P17+'Alliance Data'!Z17+'Alliance Data'!AJ17+'Alliance Data'!AT17+'Alliance Data'!BD17+'Alliance Data'!BN17+'Alliance Data'!BX17+'Alliance Data'!CH17+'Alliance Data'!CR17)/Value!Q16</f>
        <v>0</v>
      </c>
      <c r="AH18" s="118">
        <f>('Alliance Data'!G17+'Alliance Data'!Q17+'Alliance Data'!AA17+'Alliance Data'!AK17+'Alliance Data'!AU17+'Alliance Data'!BE17+'Alliance Data'!BO17+'Alliance Data'!BY17+'Alliance Data'!CI17+'Alliance Data'!CS17)/Value!Q16</f>
        <v>0</v>
      </c>
      <c r="AI18" s="118">
        <f>('Alliance Data'!H17+'Alliance Data'!R17+'Alliance Data'!AB17+'Alliance Data'!AL17+'Alliance Data'!AV17+'Alliance Data'!BF17+'Alliance Data'!BP17+'Alliance Data'!BZ17+'Alliance Data'!CJ17+'Alliance Data'!CT17)/Value!Q16</f>
        <v>0</v>
      </c>
      <c r="AJ18" s="118">
        <f>('Alliance Data'!I17+'Alliance Data'!S17+'Alliance Data'!AC17+'Alliance Data'!AM17+'Alliance Data'!AW17+'Alliance Data'!BG17+'Alliance Data'!BQ17+'Alliance Data'!CA17+'Alliance Data'!CK17+'Alliance Data'!CU17)/Value!Q16</f>
        <v>0</v>
      </c>
      <c r="AK18" s="118">
        <f>'Alliance Data'!J17+'Alliance Data'!T17+'Alliance Data'!AD17+'Alliance Data'!AN17+'Alliance Data'!AX17+'Alliance Data'!BH17+'Alliance Data'!BR17+'Alliance Data'!CB17+'Alliance Data'!CL17+'Alliance Data'!CV17</f>
        <v>0</v>
      </c>
      <c r="AL18" s="119">
        <f>'Alliance Data'!K17+'Alliance Data'!U17+'Alliance Data'!AE17+'Alliance Data'!AO17+'Alliance Data'!AY17+'Alliance Data'!BI17+'Alliance Data'!BS17+'Alliance Data'!CC17+'Alliance Data'!CM17+'Alliance Data'!CW17</f>
        <v>0</v>
      </c>
    </row>
    <row r="19" spans="1:38" x14ac:dyDescent="0.25">
      <c r="A19" s="86">
        <v>2518</v>
      </c>
      <c r="B19" s="99">
        <f>'Match Data'!B19+'Match Data'!AA19+'Match Data'!AZ19+'Match Data'!BY19+'Match Data'!CX19+'Match Data'!DW19+'Match Data'!EV19+'Match Data'!FU19+'Match Data'!GT19+'Match Data'!HS19</f>
        <v>0</v>
      </c>
      <c r="C19" s="94">
        <f>'Match Data'!C19+'Match Data'!AB19+'Match Data'!BA19+'Match Data'!BZ19+'Match Data'!CY19+'Match Data'!DX19+'Match Data'!EW19+'Match Data'!FV19+'Match Data'!GU19+'Match Data'!HT19</f>
        <v>0</v>
      </c>
      <c r="D19" s="94">
        <f>'Match Data'!D19+'Match Data'!AC19+'Match Data'!BB19+'Match Data'!CA19+'Match Data'!CZ19+'Match Data'!DY19+'Match Data'!EX19+'Match Data'!FW19+'Match Data'!GV19+'Match Data'!HU19</f>
        <v>0</v>
      </c>
      <c r="E19" s="94">
        <f>'Match Data'!E19+'Match Data'!AD19+'Match Data'!BC19+'Match Data'!CB19+'Match Data'!DA19+'Match Data'!DZ19+'Match Data'!EY19+'Match Data'!FX19+'Match Data'!GW19+'Match Data'!HV19</f>
        <v>0</v>
      </c>
      <c r="F19" s="94">
        <f>'Match Data'!F19+'Match Data'!AE19+'Match Data'!BD19+'Match Data'!CC19+'Match Data'!DB19+'Match Data'!EA19+'Match Data'!EZ19+'Match Data'!FY19+'Match Data'!GX19+'Match Data'!HW19</f>
        <v>0</v>
      </c>
      <c r="G19" s="94">
        <f>'Match Data'!G19+'Match Data'!AF19+'Match Data'!BE19+'Match Data'!CD19+'Match Data'!DC19+'Match Data'!EB19+'Match Data'!FA19+'Match Data'!FZ19+'Match Data'!GY19+'Match Data'!HX19</f>
        <v>0</v>
      </c>
      <c r="H19" s="94">
        <f>'Match Data'!H19+'Match Data'!AG19+'Match Data'!BF19+'Match Data'!CE19+'Match Data'!DD19+'Match Data'!EC19+'Match Data'!FB19+'Match Data'!GA19+'Match Data'!GZ19+'Match Data'!HY19</f>
        <v>0</v>
      </c>
      <c r="I19" s="94">
        <f>'Match Data'!I19+'Match Data'!AH19+'Match Data'!BG19+'Match Data'!CF19+'Match Data'!DE19+'Match Data'!ED19+'Match Data'!FC19+'Match Data'!GB19+'Match Data'!HA19+'Match Data'!HZ19</f>
        <v>0</v>
      </c>
      <c r="J19" s="94" t="e">
        <f>(Table5[[#This Row],[High Made]]+Table5[[#This Row],[Low Made]])/(SUM(Table5[[#This Row],[High Made]:[Low Miss]]))</f>
        <v>#DIV/0!</v>
      </c>
      <c r="K19" s="94">
        <f>'Match Data'!J19+'Match Data'!AI19+'Match Data'!BH19+'Match Data'!CG19+'Match Data'!DF19+'Match Data'!EE19+'Match Data'!FD19+'Match Data'!GC19+'Match Data'!HB19+'Match Data'!IA19</f>
        <v>0</v>
      </c>
      <c r="L19" s="94">
        <f>'Match Data'!K19+'Match Data'!AJ19+'Match Data'!BI19+'Match Data'!CH19+'Match Data'!DG19+'Match Data'!EF19+'Match Data'!FE19+'Match Data'!GD19+'Match Data'!HC19+'Match Data'!IB19</f>
        <v>0</v>
      </c>
      <c r="M19" s="94">
        <f>'Match Data'!L19+'Match Data'!AK19+'Match Data'!BJ19+'Match Data'!CI19+'Match Data'!DH19+'Match Data'!EG19+'Match Data'!FF19+'Match Data'!GE19+'Match Data'!HD19+'Match Data'!IC19</f>
        <v>0</v>
      </c>
      <c r="N19" s="94">
        <f>'Match Data'!M19+'Match Data'!AL19+'Match Data'!BK19+'Match Data'!CJ19+'Match Data'!DI19+'Match Data'!EH19+'Match Data'!FG19+'Match Data'!GF19+'Match Data'!HE19+'Match Data'!ID19</f>
        <v>0</v>
      </c>
      <c r="O19" s="94">
        <f>'Match Data'!N19+'Match Data'!AM19+'Match Data'!BL19+'Match Data'!CK19+'Match Data'!DJ19+'Match Data'!EI19+'Match Data'!FH19+'Match Data'!GG19+'Match Data'!HF19+'Match Data'!IE19</f>
        <v>0</v>
      </c>
      <c r="P19" s="94">
        <f>'Match Data'!O19+'Match Data'!AN19+'Match Data'!BM19+'Match Data'!CL19+'Match Data'!DK19+'Match Data'!EJ19+'Match Data'!FI19+'Match Data'!GH19+'Match Data'!HG19+'Match Data'!IF19</f>
        <v>0</v>
      </c>
      <c r="Q19" s="94">
        <f>'Match Data'!P19+'Match Data'!AO19+'Match Data'!BN19+'Match Data'!CM19+'Match Data'!DL19+'Match Data'!EK19+'Match Data'!FJ19+'Match Data'!GI19+'Match Data'!HH19+'Match Data'!IG19</f>
        <v>0</v>
      </c>
      <c r="R19" s="94">
        <f>'Match Data'!Q19+'Match Data'!AP19+'Match Data'!BO19+'Match Data'!CN19+'Match Data'!DM19+'Match Data'!EL19+'Match Data'!FK19+'Match Data'!GJ19+'Match Data'!HI19+'Match Data'!IH19</f>
        <v>0</v>
      </c>
      <c r="S19" s="122">
        <v>0</v>
      </c>
      <c r="T19" s="122">
        <v>0</v>
      </c>
      <c r="U19" s="94">
        <f>'Match Data'!S19+'Match Data'!AR19+'Match Data'!BQ19+'Match Data'!CP19+'Match Data'!DO19+'Match Data'!EN19+'Match Data'!FM19+'Match Data'!GL19+'Match Data'!HK19+'Match Data'!IJ19</f>
        <v>0</v>
      </c>
      <c r="V19" s="95">
        <f>'Match Data'!T19+'Match Data'!AS19+'Match Data'!BR19+'Match Data'!CQ19+'Match Data'!DP19+'Match Data'!EO19+'Match Data'!FN19+'Match Data'!GM19+'Match Data'!HL19+'Match Data'!IK19</f>
        <v>0</v>
      </c>
      <c r="W19" s="94">
        <f>'Match Data'!U19+'Match Data'!AT19+'Match Data'!BS19+'Match Data'!CR19+'Match Data'!DQ19+'Match Data'!EP19+'Match Data'!FO19+'Match Data'!GN19+'Match Data'!HM19+'Match Data'!IL19</f>
        <v>0</v>
      </c>
      <c r="X19" s="94">
        <f>'Match Data'!V19+'Match Data'!AU19+'Match Data'!BT19+'Match Data'!CS19+'Match Data'!DR19+'Match Data'!EQ19+'Match Data'!FP19+'Match Data'!GO19+'Match Data'!HN19+'Match Data'!IM19</f>
        <v>0</v>
      </c>
      <c r="Y19" s="94">
        <f>'Match Data'!W19+'Match Data'!AV19+'Match Data'!BU19+'Match Data'!CT19+'Match Data'!DS19+'Match Data'!ER19+'Match Data'!FQ19+'Match Data'!GP19+'Match Data'!HO19+'Match Data'!IN19</f>
        <v>0</v>
      </c>
      <c r="Z19" s="94">
        <f>'Match Data'!X19+'Match Data'!AW19+'Match Data'!BV19+'Match Data'!CU19+'Match Data'!DT19+'Match Data'!ES19+'Match Data'!FR19+'Match Data'!GQ19+'Match Data'!HP19+'Match Data'!IO19</f>
        <v>0</v>
      </c>
      <c r="AA19" s="94">
        <f>'Match Data'!Y19+'Match Data'!AX19+'Match Data'!BW19+'Match Data'!CV19+'Match Data'!DU19+'Match Data'!ET19+'Match Data'!FS19+'Match Data'!GR19+'Match Data'!HQ19+'Match Data'!IP19</f>
        <v>0</v>
      </c>
      <c r="AB19" s="117">
        <f>'Match Data'!Z19+'Match Data'!AY19+'Match Data'!BX19+'Match Data'!CW19+'Match Data'!DV19+'Match Data'!EU19+'Match Data'!FT19+'Match Data'!GS19+'Match Data'!HR19+'Match Data'!IQ19</f>
        <v>0</v>
      </c>
      <c r="AC19" s="99">
        <f>'Alliance Data'!B18+'Alliance Data'!L18+'Alliance Data'!V18+'Alliance Data'!AF18+'Alliance Data'!AP18+'Alliance Data'!AZ18+'Alliance Data'!BJ18+'Alliance Data'!BT18+'Alliance Data'!CD18+'Alliance Data'!CN18</f>
        <v>0</v>
      </c>
      <c r="AD19" s="118">
        <f>('Alliance Data'!C18+'Alliance Data'!M18+'Alliance Data'!W18+'Alliance Data'!AG18+'Alliance Data'!AQ18+'Alliance Data'!BA18+'Alliance Data'!BK18+'Alliance Data'!BU18+'Alliance Data'!CE18+'Alliance Data'!CO18)/Value!Q17</f>
        <v>0</v>
      </c>
      <c r="AE19" s="118">
        <f>('Alliance Data'!D18+'Alliance Data'!N18+'Alliance Data'!X18+'Alliance Data'!AH18+'Alliance Data'!AR18+'Alliance Data'!BB18+'Alliance Data'!BL18+'Alliance Data'!BV18+'Alliance Data'!CF18+'Alliance Data'!CP18)/Value!Q17</f>
        <v>0</v>
      </c>
      <c r="AF19" s="118">
        <f>('Alliance Data'!E18+'Alliance Data'!O18+'Alliance Data'!Y18+'Alliance Data'!AI18+'Alliance Data'!AS18+'Alliance Data'!BC18+'Alliance Data'!BM18+'Alliance Data'!BW18+'Alliance Data'!CG18+'Alliance Data'!CQ18)/Value!Q17</f>
        <v>0</v>
      </c>
      <c r="AG19" s="118">
        <f>('Alliance Data'!F18+'Alliance Data'!P18+'Alliance Data'!Z18+'Alliance Data'!AJ18+'Alliance Data'!AT18+'Alliance Data'!BD18+'Alliance Data'!BN18+'Alliance Data'!BX18+'Alliance Data'!CH18+'Alliance Data'!CR18)/Value!Q17</f>
        <v>0</v>
      </c>
      <c r="AH19" s="118">
        <f>('Alliance Data'!G18+'Alliance Data'!Q18+'Alliance Data'!AA18+'Alliance Data'!AK18+'Alliance Data'!AU18+'Alliance Data'!BE18+'Alliance Data'!BO18+'Alliance Data'!BY18+'Alliance Data'!CI18+'Alliance Data'!CS18)/Value!Q17</f>
        <v>0</v>
      </c>
      <c r="AI19" s="118">
        <f>('Alliance Data'!H18+'Alliance Data'!R18+'Alliance Data'!AB18+'Alliance Data'!AL18+'Alliance Data'!AV18+'Alliance Data'!BF18+'Alliance Data'!BP18+'Alliance Data'!BZ18+'Alliance Data'!CJ18+'Alliance Data'!CT18)/Value!Q17</f>
        <v>0</v>
      </c>
      <c r="AJ19" s="118">
        <f>('Alliance Data'!I18+'Alliance Data'!S18+'Alliance Data'!AC18+'Alliance Data'!AM18+'Alliance Data'!AW18+'Alliance Data'!BG18+'Alliance Data'!BQ18+'Alliance Data'!CA18+'Alliance Data'!CK18+'Alliance Data'!CU18)/Value!Q17</f>
        <v>0</v>
      </c>
      <c r="AK19" s="118">
        <f>'Alliance Data'!J18+'Alliance Data'!T18+'Alliance Data'!AD18+'Alliance Data'!AN18+'Alliance Data'!AX18+'Alliance Data'!BH18+'Alliance Data'!BR18+'Alliance Data'!CB18+'Alliance Data'!CL18+'Alliance Data'!CV18</f>
        <v>0</v>
      </c>
      <c r="AL19" s="119">
        <f>'Alliance Data'!K18+'Alliance Data'!U18+'Alliance Data'!AE18+'Alliance Data'!AO18+'Alliance Data'!AY18+'Alliance Data'!BI18+'Alliance Data'!BS18+'Alliance Data'!CC18+'Alliance Data'!CM18+'Alliance Data'!CW18</f>
        <v>0</v>
      </c>
    </row>
    <row r="20" spans="1:38" x14ac:dyDescent="0.25">
      <c r="A20" s="86">
        <v>2538</v>
      </c>
      <c r="B20" s="99">
        <f>'Match Data'!B20+'Match Data'!AA20+'Match Data'!AZ20+'Match Data'!BY20+'Match Data'!CX20+'Match Data'!DW20+'Match Data'!EV20+'Match Data'!FU20+'Match Data'!GT20+'Match Data'!HS20</f>
        <v>0</v>
      </c>
      <c r="C20" s="94">
        <f>'Match Data'!C20+'Match Data'!AB20+'Match Data'!BA20+'Match Data'!BZ20+'Match Data'!CY20+'Match Data'!DX20+'Match Data'!EW20+'Match Data'!FV20+'Match Data'!GU20+'Match Data'!HT20</f>
        <v>0</v>
      </c>
      <c r="D20" s="94">
        <f>'Match Data'!D20+'Match Data'!AC20+'Match Data'!BB20+'Match Data'!CA20+'Match Data'!CZ20+'Match Data'!DY20+'Match Data'!EX20+'Match Data'!FW20+'Match Data'!GV20+'Match Data'!HU20</f>
        <v>0</v>
      </c>
      <c r="E20" s="94">
        <f>'Match Data'!E20+'Match Data'!AD20+'Match Data'!BC20+'Match Data'!CB20+'Match Data'!DA20+'Match Data'!DZ20+'Match Data'!EY20+'Match Data'!FX20+'Match Data'!GW20+'Match Data'!HV20</f>
        <v>0</v>
      </c>
      <c r="F20" s="94">
        <f>'Match Data'!F20+'Match Data'!AE20+'Match Data'!BD20+'Match Data'!CC20+'Match Data'!DB20+'Match Data'!EA20+'Match Data'!EZ20+'Match Data'!FY20+'Match Data'!GX20+'Match Data'!HW20</f>
        <v>0</v>
      </c>
      <c r="G20" s="94">
        <f>'Match Data'!G20+'Match Data'!AF20+'Match Data'!BE20+'Match Data'!CD20+'Match Data'!DC20+'Match Data'!EB20+'Match Data'!FA20+'Match Data'!FZ20+'Match Data'!GY20+'Match Data'!HX20</f>
        <v>0</v>
      </c>
      <c r="H20" s="94">
        <f>'Match Data'!H20+'Match Data'!AG20+'Match Data'!BF20+'Match Data'!CE20+'Match Data'!DD20+'Match Data'!EC20+'Match Data'!FB20+'Match Data'!GA20+'Match Data'!GZ20+'Match Data'!HY20</f>
        <v>0</v>
      </c>
      <c r="I20" s="94">
        <f>'Match Data'!I20+'Match Data'!AH20+'Match Data'!BG20+'Match Data'!CF20+'Match Data'!DE20+'Match Data'!ED20+'Match Data'!FC20+'Match Data'!GB20+'Match Data'!HA20+'Match Data'!HZ20</f>
        <v>0</v>
      </c>
      <c r="J20" s="94" t="e">
        <f>(Table5[[#This Row],[High Made]]+Table5[[#This Row],[Low Made]])/(SUM(Table5[[#This Row],[High Made]:[Low Miss]]))</f>
        <v>#DIV/0!</v>
      </c>
      <c r="K20" s="94">
        <f>'Match Data'!J20+'Match Data'!AI20+'Match Data'!BH20+'Match Data'!CG20+'Match Data'!DF20+'Match Data'!EE20+'Match Data'!FD20+'Match Data'!GC20+'Match Data'!HB20+'Match Data'!IA20</f>
        <v>0</v>
      </c>
      <c r="L20" s="94">
        <f>'Match Data'!K20+'Match Data'!AJ20+'Match Data'!BI20+'Match Data'!CH20+'Match Data'!DG20+'Match Data'!EF20+'Match Data'!FE20+'Match Data'!GD20+'Match Data'!HC20+'Match Data'!IB20</f>
        <v>0</v>
      </c>
      <c r="M20" s="94">
        <f>'Match Data'!L20+'Match Data'!AK20+'Match Data'!BJ20+'Match Data'!CI20+'Match Data'!DH20+'Match Data'!EG20+'Match Data'!FF20+'Match Data'!GE20+'Match Data'!HD20+'Match Data'!IC20</f>
        <v>0</v>
      </c>
      <c r="N20" s="94">
        <f>'Match Data'!M20+'Match Data'!AL20+'Match Data'!BK20+'Match Data'!CJ20+'Match Data'!DI20+'Match Data'!EH20+'Match Data'!FG20+'Match Data'!GF20+'Match Data'!HE20+'Match Data'!ID20</f>
        <v>0</v>
      </c>
      <c r="O20" s="94">
        <f>'Match Data'!N20+'Match Data'!AM20+'Match Data'!BL20+'Match Data'!CK20+'Match Data'!DJ20+'Match Data'!EI20+'Match Data'!FH20+'Match Data'!GG20+'Match Data'!HF20+'Match Data'!IE20</f>
        <v>0</v>
      </c>
      <c r="P20" s="94">
        <f>'Match Data'!O20+'Match Data'!AN20+'Match Data'!BM20+'Match Data'!CL20+'Match Data'!DK20+'Match Data'!EJ20+'Match Data'!FI20+'Match Data'!GH20+'Match Data'!HG20+'Match Data'!IF20</f>
        <v>0</v>
      </c>
      <c r="Q20" s="94">
        <f>'Match Data'!P20+'Match Data'!AO20+'Match Data'!BN20+'Match Data'!CM20+'Match Data'!DL20+'Match Data'!EK20+'Match Data'!FJ20+'Match Data'!GI20+'Match Data'!HH20+'Match Data'!IG20</f>
        <v>0</v>
      </c>
      <c r="R20" s="94">
        <f>'Match Data'!Q20+'Match Data'!AP20+'Match Data'!BO20+'Match Data'!CN20+'Match Data'!DM20+'Match Data'!EL20+'Match Data'!FK20+'Match Data'!GJ20+'Match Data'!HI20+'Match Data'!IH20</f>
        <v>0</v>
      </c>
      <c r="S20" s="122">
        <v>0</v>
      </c>
      <c r="T20" s="122">
        <v>0</v>
      </c>
      <c r="U20" s="94">
        <f>'Match Data'!S20+'Match Data'!AR20+'Match Data'!BQ20+'Match Data'!CP20+'Match Data'!DO20+'Match Data'!EN20+'Match Data'!FM20+'Match Data'!GL20+'Match Data'!HK20+'Match Data'!IJ20</f>
        <v>0</v>
      </c>
      <c r="V20" s="95">
        <f>'Match Data'!T20+'Match Data'!AS20+'Match Data'!BR20+'Match Data'!CQ20+'Match Data'!DP20+'Match Data'!EO20+'Match Data'!FN20+'Match Data'!GM20+'Match Data'!HL20+'Match Data'!IK20</f>
        <v>0</v>
      </c>
      <c r="W20" s="94">
        <f>'Match Data'!U20+'Match Data'!AT20+'Match Data'!BS20+'Match Data'!CR20+'Match Data'!DQ20+'Match Data'!EP20+'Match Data'!FO20+'Match Data'!GN20+'Match Data'!HM20+'Match Data'!IL20</f>
        <v>0</v>
      </c>
      <c r="X20" s="94">
        <f>'Match Data'!V20+'Match Data'!AU20+'Match Data'!BT20+'Match Data'!CS20+'Match Data'!DR20+'Match Data'!EQ20+'Match Data'!FP20+'Match Data'!GO20+'Match Data'!HN20+'Match Data'!IM20</f>
        <v>0</v>
      </c>
      <c r="Y20" s="94">
        <f>'Match Data'!W20+'Match Data'!AV20+'Match Data'!BU20+'Match Data'!CT20+'Match Data'!DS20+'Match Data'!ER20+'Match Data'!FQ20+'Match Data'!GP20+'Match Data'!HO20+'Match Data'!IN20</f>
        <v>0</v>
      </c>
      <c r="Z20" s="94">
        <f>'Match Data'!X20+'Match Data'!AW20+'Match Data'!BV20+'Match Data'!CU20+'Match Data'!DT20+'Match Data'!ES20+'Match Data'!FR20+'Match Data'!GQ20+'Match Data'!HP20+'Match Data'!IO20</f>
        <v>0</v>
      </c>
      <c r="AA20" s="94">
        <f>'Match Data'!Y20+'Match Data'!AX20+'Match Data'!BW20+'Match Data'!CV20+'Match Data'!DU20+'Match Data'!ET20+'Match Data'!FS20+'Match Data'!GR20+'Match Data'!HQ20+'Match Data'!IP20</f>
        <v>0</v>
      </c>
      <c r="AB20" s="117">
        <f>'Match Data'!Z20+'Match Data'!AY20+'Match Data'!BX20+'Match Data'!CW20+'Match Data'!DV20+'Match Data'!EU20+'Match Data'!FT20+'Match Data'!GS20+'Match Data'!HR20+'Match Data'!IQ20</f>
        <v>0</v>
      </c>
      <c r="AC20" s="99">
        <f>'Alliance Data'!B19+'Alliance Data'!L19+'Alliance Data'!V19+'Alliance Data'!AF19+'Alliance Data'!AP19+'Alliance Data'!AZ19+'Alliance Data'!BJ19+'Alliance Data'!BT19+'Alliance Data'!CD19+'Alliance Data'!CN19</f>
        <v>0</v>
      </c>
      <c r="AD20" s="118">
        <f>('Alliance Data'!C19+'Alliance Data'!M19+'Alliance Data'!W19+'Alliance Data'!AG19+'Alliance Data'!AQ19+'Alliance Data'!BA19+'Alliance Data'!BK19+'Alliance Data'!BU19+'Alliance Data'!CE19+'Alliance Data'!CO19)/Value!Q18</f>
        <v>0</v>
      </c>
      <c r="AE20" s="118">
        <f>('Alliance Data'!D19+'Alliance Data'!N19+'Alliance Data'!X19+'Alliance Data'!AH19+'Alliance Data'!AR19+'Alliance Data'!BB19+'Alliance Data'!BL19+'Alliance Data'!BV19+'Alliance Data'!CF19+'Alliance Data'!CP19)/Value!Q18</f>
        <v>0</v>
      </c>
      <c r="AF20" s="118">
        <f>('Alliance Data'!E19+'Alliance Data'!O19+'Alliance Data'!Y19+'Alliance Data'!AI19+'Alliance Data'!AS19+'Alliance Data'!BC19+'Alliance Data'!BM19+'Alliance Data'!BW19+'Alliance Data'!CG19+'Alliance Data'!CQ19)/Value!Q18</f>
        <v>0</v>
      </c>
      <c r="AG20" s="118">
        <f>('Alliance Data'!F19+'Alliance Data'!P19+'Alliance Data'!Z19+'Alliance Data'!AJ19+'Alliance Data'!AT19+'Alliance Data'!BD19+'Alliance Data'!BN19+'Alliance Data'!BX19+'Alliance Data'!CH19+'Alliance Data'!CR19)/Value!Q18</f>
        <v>0</v>
      </c>
      <c r="AH20" s="118">
        <f>('Alliance Data'!G19+'Alliance Data'!Q19+'Alliance Data'!AA19+'Alliance Data'!AK19+'Alliance Data'!AU19+'Alliance Data'!BE19+'Alliance Data'!BO19+'Alliance Data'!BY19+'Alliance Data'!CI19+'Alliance Data'!CS19)/Value!Q18</f>
        <v>0</v>
      </c>
      <c r="AI20" s="118">
        <f>('Alliance Data'!H19+'Alliance Data'!R19+'Alliance Data'!AB19+'Alliance Data'!AL19+'Alliance Data'!AV19+'Alliance Data'!BF19+'Alliance Data'!BP19+'Alliance Data'!BZ19+'Alliance Data'!CJ19+'Alliance Data'!CT19)/Value!Q18</f>
        <v>0</v>
      </c>
      <c r="AJ20" s="118">
        <f>('Alliance Data'!I19+'Alliance Data'!S19+'Alliance Data'!AC19+'Alliance Data'!AM19+'Alliance Data'!AW19+'Alliance Data'!BG19+'Alliance Data'!BQ19+'Alliance Data'!CA19+'Alliance Data'!CK19+'Alliance Data'!CU19)/Value!Q18</f>
        <v>0</v>
      </c>
      <c r="AK20" s="118">
        <f>'Alliance Data'!J19+'Alliance Data'!T19+'Alliance Data'!AD19+'Alliance Data'!AN19+'Alliance Data'!AX19+'Alliance Data'!BH19+'Alliance Data'!BR19+'Alliance Data'!CB19+'Alliance Data'!CL19+'Alliance Data'!CV19</f>
        <v>0</v>
      </c>
      <c r="AL20" s="119">
        <f>'Alliance Data'!K19+'Alliance Data'!U19+'Alliance Data'!AE19+'Alliance Data'!AO19+'Alliance Data'!AY19+'Alliance Data'!BI19+'Alliance Data'!BS19+'Alliance Data'!CC19+'Alliance Data'!CM19+'Alliance Data'!CW19</f>
        <v>0</v>
      </c>
    </row>
    <row r="21" spans="1:38" x14ac:dyDescent="0.25">
      <c r="A21" s="86">
        <v>2574</v>
      </c>
      <c r="B21" s="99">
        <f>'Match Data'!B21+'Match Data'!AA21+'Match Data'!AZ21+'Match Data'!BY21+'Match Data'!CX21+'Match Data'!DW21+'Match Data'!EV21+'Match Data'!FU21+'Match Data'!GT21+'Match Data'!HS21</f>
        <v>0</v>
      </c>
      <c r="C21" s="94">
        <f>'Match Data'!C21+'Match Data'!AB21+'Match Data'!BA21+'Match Data'!BZ21+'Match Data'!CY21+'Match Data'!DX21+'Match Data'!EW21+'Match Data'!FV21+'Match Data'!GU21+'Match Data'!HT21</f>
        <v>0</v>
      </c>
      <c r="D21" s="94">
        <f>'Match Data'!D21+'Match Data'!AC21+'Match Data'!BB21+'Match Data'!CA21+'Match Data'!CZ21+'Match Data'!DY21+'Match Data'!EX21+'Match Data'!FW21+'Match Data'!GV21+'Match Data'!HU21</f>
        <v>0</v>
      </c>
      <c r="E21" s="94">
        <f>'Match Data'!E21+'Match Data'!AD21+'Match Data'!BC21+'Match Data'!CB21+'Match Data'!DA21+'Match Data'!DZ21+'Match Data'!EY21+'Match Data'!FX21+'Match Data'!GW21+'Match Data'!HV21</f>
        <v>0</v>
      </c>
      <c r="F21" s="94">
        <f>'Match Data'!F21+'Match Data'!AE21+'Match Data'!BD21+'Match Data'!CC21+'Match Data'!DB21+'Match Data'!EA21+'Match Data'!EZ21+'Match Data'!FY21+'Match Data'!GX21+'Match Data'!HW21</f>
        <v>0</v>
      </c>
      <c r="G21" s="94">
        <f>'Match Data'!G21+'Match Data'!AF21+'Match Data'!BE21+'Match Data'!CD21+'Match Data'!DC21+'Match Data'!EB21+'Match Data'!FA21+'Match Data'!FZ21+'Match Data'!GY21+'Match Data'!HX21</f>
        <v>0</v>
      </c>
      <c r="H21" s="94">
        <f>'Match Data'!H21+'Match Data'!AG21+'Match Data'!BF21+'Match Data'!CE21+'Match Data'!DD21+'Match Data'!EC21+'Match Data'!FB21+'Match Data'!GA21+'Match Data'!GZ21+'Match Data'!HY21</f>
        <v>0</v>
      </c>
      <c r="I21" s="94">
        <f>'Match Data'!I21+'Match Data'!AH21+'Match Data'!BG21+'Match Data'!CF21+'Match Data'!DE21+'Match Data'!ED21+'Match Data'!FC21+'Match Data'!GB21+'Match Data'!HA21+'Match Data'!HZ21</f>
        <v>0</v>
      </c>
      <c r="J21" s="94" t="e">
        <f>(Table5[[#This Row],[High Made]]+Table5[[#This Row],[Low Made]])/(SUM(Table5[[#This Row],[High Made]:[Low Miss]]))</f>
        <v>#DIV/0!</v>
      </c>
      <c r="K21" s="94">
        <f>'Match Data'!J21+'Match Data'!AI21+'Match Data'!BH21+'Match Data'!CG21+'Match Data'!DF21+'Match Data'!EE21+'Match Data'!FD21+'Match Data'!GC21+'Match Data'!HB21+'Match Data'!IA21</f>
        <v>0</v>
      </c>
      <c r="L21" s="94">
        <f>'Match Data'!K21+'Match Data'!AJ21+'Match Data'!BI21+'Match Data'!CH21+'Match Data'!DG21+'Match Data'!EF21+'Match Data'!FE21+'Match Data'!GD21+'Match Data'!HC21+'Match Data'!IB21</f>
        <v>0</v>
      </c>
      <c r="M21" s="94">
        <f>'Match Data'!L21+'Match Data'!AK21+'Match Data'!BJ21+'Match Data'!CI21+'Match Data'!DH21+'Match Data'!EG21+'Match Data'!FF21+'Match Data'!GE21+'Match Data'!HD21+'Match Data'!IC21</f>
        <v>0</v>
      </c>
      <c r="N21" s="94">
        <f>'Match Data'!M21+'Match Data'!AL21+'Match Data'!BK21+'Match Data'!CJ21+'Match Data'!DI21+'Match Data'!EH21+'Match Data'!FG21+'Match Data'!GF21+'Match Data'!HE21+'Match Data'!ID21</f>
        <v>0</v>
      </c>
      <c r="O21" s="94">
        <f>'Match Data'!N21+'Match Data'!AM21+'Match Data'!BL21+'Match Data'!CK21+'Match Data'!DJ21+'Match Data'!EI21+'Match Data'!FH21+'Match Data'!GG21+'Match Data'!HF21+'Match Data'!IE21</f>
        <v>0</v>
      </c>
      <c r="P21" s="94">
        <f>'Match Data'!O21+'Match Data'!AN21+'Match Data'!BM21+'Match Data'!CL21+'Match Data'!DK21+'Match Data'!EJ21+'Match Data'!FI21+'Match Data'!GH21+'Match Data'!HG21+'Match Data'!IF21</f>
        <v>0</v>
      </c>
      <c r="Q21" s="94">
        <f>'Match Data'!P21+'Match Data'!AO21+'Match Data'!BN21+'Match Data'!CM21+'Match Data'!DL21+'Match Data'!EK21+'Match Data'!FJ21+'Match Data'!GI21+'Match Data'!HH21+'Match Data'!IG21</f>
        <v>0</v>
      </c>
      <c r="R21" s="94">
        <f>'Match Data'!Q21+'Match Data'!AP21+'Match Data'!BO21+'Match Data'!CN21+'Match Data'!DM21+'Match Data'!EL21+'Match Data'!FK21+'Match Data'!GJ21+'Match Data'!HI21+'Match Data'!IH21</f>
        <v>0</v>
      </c>
      <c r="S21" s="122">
        <v>0</v>
      </c>
      <c r="T21" s="122">
        <v>0</v>
      </c>
      <c r="U21" s="94">
        <f>'Match Data'!S21+'Match Data'!AR21+'Match Data'!BQ21+'Match Data'!CP21+'Match Data'!DO21+'Match Data'!EN21+'Match Data'!FM21+'Match Data'!GL21+'Match Data'!HK21+'Match Data'!IJ21</f>
        <v>0</v>
      </c>
      <c r="V21" s="95">
        <f>'Match Data'!T21+'Match Data'!AS21+'Match Data'!BR21+'Match Data'!CQ21+'Match Data'!DP21+'Match Data'!EO21+'Match Data'!FN21+'Match Data'!GM21+'Match Data'!HL21+'Match Data'!IK21</f>
        <v>0</v>
      </c>
      <c r="W21" s="94">
        <f>'Match Data'!U21+'Match Data'!AT21+'Match Data'!BS21+'Match Data'!CR21+'Match Data'!DQ21+'Match Data'!EP21+'Match Data'!FO21+'Match Data'!GN21+'Match Data'!HM21+'Match Data'!IL21</f>
        <v>0</v>
      </c>
      <c r="X21" s="94">
        <f>'Match Data'!V21+'Match Data'!AU21+'Match Data'!BT21+'Match Data'!CS21+'Match Data'!DR21+'Match Data'!EQ21+'Match Data'!FP21+'Match Data'!GO21+'Match Data'!HN21+'Match Data'!IM21</f>
        <v>0</v>
      </c>
      <c r="Y21" s="94">
        <f>'Match Data'!W21+'Match Data'!AV21+'Match Data'!BU21+'Match Data'!CT21+'Match Data'!DS21+'Match Data'!ER21+'Match Data'!FQ21+'Match Data'!GP21+'Match Data'!HO21+'Match Data'!IN21</f>
        <v>0</v>
      </c>
      <c r="Z21" s="94">
        <f>'Match Data'!X21+'Match Data'!AW21+'Match Data'!BV21+'Match Data'!CU21+'Match Data'!DT21+'Match Data'!ES21+'Match Data'!FR21+'Match Data'!GQ21+'Match Data'!HP21+'Match Data'!IO21</f>
        <v>0</v>
      </c>
      <c r="AA21" s="94">
        <f>'Match Data'!Y21+'Match Data'!AX21+'Match Data'!BW21+'Match Data'!CV21+'Match Data'!DU21+'Match Data'!ET21+'Match Data'!FS21+'Match Data'!GR21+'Match Data'!HQ21+'Match Data'!IP21</f>
        <v>0</v>
      </c>
      <c r="AB21" s="117">
        <f>'Match Data'!Z21+'Match Data'!AY21+'Match Data'!BX21+'Match Data'!CW21+'Match Data'!DV21+'Match Data'!EU21+'Match Data'!FT21+'Match Data'!GS21+'Match Data'!HR21+'Match Data'!IQ21</f>
        <v>0</v>
      </c>
      <c r="AC21" s="99">
        <f>'Alliance Data'!B20+'Alliance Data'!L20+'Alliance Data'!V20+'Alliance Data'!AF20+'Alliance Data'!AP20+'Alliance Data'!AZ20+'Alliance Data'!BJ20+'Alliance Data'!BT20+'Alliance Data'!CD20+'Alliance Data'!CN20</f>
        <v>0</v>
      </c>
      <c r="AD21" s="118">
        <f>('Alliance Data'!C20+'Alliance Data'!M20+'Alliance Data'!W20+'Alliance Data'!AG20+'Alliance Data'!AQ20+'Alliance Data'!BA20+'Alliance Data'!BK20+'Alliance Data'!BU20+'Alliance Data'!CE20+'Alliance Data'!CO20)/Value!Q19</f>
        <v>0</v>
      </c>
      <c r="AE21" s="118">
        <f>('Alliance Data'!D20+'Alliance Data'!N20+'Alliance Data'!X20+'Alliance Data'!AH20+'Alliance Data'!AR20+'Alliance Data'!BB20+'Alliance Data'!BL20+'Alliance Data'!BV20+'Alliance Data'!CF20+'Alliance Data'!CP20)/Value!Q19</f>
        <v>0</v>
      </c>
      <c r="AF21" s="118">
        <f>('Alliance Data'!E20+'Alliance Data'!O20+'Alliance Data'!Y20+'Alliance Data'!AI20+'Alliance Data'!AS20+'Alliance Data'!BC20+'Alliance Data'!BM20+'Alliance Data'!BW20+'Alliance Data'!CG20+'Alliance Data'!CQ20)/Value!Q19</f>
        <v>0</v>
      </c>
      <c r="AG21" s="118">
        <f>('Alliance Data'!F20+'Alliance Data'!P20+'Alliance Data'!Z20+'Alliance Data'!AJ20+'Alliance Data'!AT20+'Alliance Data'!BD20+'Alliance Data'!BN20+'Alliance Data'!BX20+'Alliance Data'!CH20+'Alliance Data'!CR20)/Value!Q19</f>
        <v>0</v>
      </c>
      <c r="AH21" s="118">
        <f>('Alliance Data'!G20+'Alliance Data'!Q20+'Alliance Data'!AA20+'Alliance Data'!AK20+'Alliance Data'!AU20+'Alliance Data'!BE20+'Alliance Data'!BO20+'Alliance Data'!BY20+'Alliance Data'!CI20+'Alliance Data'!CS20)/Value!Q19</f>
        <v>0</v>
      </c>
      <c r="AI21" s="118">
        <f>('Alliance Data'!H20+'Alliance Data'!R20+'Alliance Data'!AB20+'Alliance Data'!AL20+'Alliance Data'!AV20+'Alliance Data'!BF20+'Alliance Data'!BP20+'Alliance Data'!BZ20+'Alliance Data'!CJ20+'Alliance Data'!CT20)/Value!Q19</f>
        <v>0</v>
      </c>
      <c r="AJ21" s="118">
        <f>('Alliance Data'!I20+'Alliance Data'!S20+'Alliance Data'!AC20+'Alliance Data'!AM20+'Alliance Data'!AW20+'Alliance Data'!BG20+'Alliance Data'!BQ20+'Alliance Data'!CA20+'Alliance Data'!CK20+'Alliance Data'!CU20)/Value!Q19</f>
        <v>0</v>
      </c>
      <c r="AK21" s="118">
        <f>'Alliance Data'!J20+'Alliance Data'!T20+'Alliance Data'!AD20+'Alliance Data'!AN20+'Alliance Data'!AX20+'Alliance Data'!BH20+'Alliance Data'!BR20+'Alliance Data'!CB20+'Alliance Data'!CL20+'Alliance Data'!CV20</f>
        <v>0</v>
      </c>
      <c r="AL21" s="119">
        <f>'Alliance Data'!K20+'Alliance Data'!U20+'Alliance Data'!AE20+'Alliance Data'!AO20+'Alliance Data'!AY20+'Alliance Data'!BI20+'Alliance Data'!BS20+'Alliance Data'!CC20+'Alliance Data'!CM20+'Alliance Data'!CW20</f>
        <v>0</v>
      </c>
    </row>
    <row r="22" spans="1:38" x14ac:dyDescent="0.25">
      <c r="A22" s="86">
        <v>2826</v>
      </c>
      <c r="B22" s="99">
        <f>'Match Data'!B22+'Match Data'!AA22+'Match Data'!AZ22+'Match Data'!BY22+'Match Data'!CX22+'Match Data'!DW22+'Match Data'!EV22+'Match Data'!FU22+'Match Data'!GT22+'Match Data'!HS22</f>
        <v>0</v>
      </c>
      <c r="C22" s="94">
        <f>'Match Data'!C22+'Match Data'!AB22+'Match Data'!BA22+'Match Data'!BZ22+'Match Data'!CY22+'Match Data'!DX22+'Match Data'!EW22+'Match Data'!FV22+'Match Data'!GU22+'Match Data'!HT22</f>
        <v>0</v>
      </c>
      <c r="D22" s="94">
        <f>'Match Data'!D22+'Match Data'!AC22+'Match Data'!BB22+'Match Data'!CA22+'Match Data'!CZ22+'Match Data'!DY22+'Match Data'!EX22+'Match Data'!FW22+'Match Data'!GV22+'Match Data'!HU22</f>
        <v>0</v>
      </c>
      <c r="E22" s="94">
        <f>'Match Data'!E22+'Match Data'!AD22+'Match Data'!BC22+'Match Data'!CB22+'Match Data'!DA22+'Match Data'!DZ22+'Match Data'!EY22+'Match Data'!FX22+'Match Data'!GW22+'Match Data'!HV22</f>
        <v>0</v>
      </c>
      <c r="F22" s="94">
        <f>'Match Data'!F22+'Match Data'!AE22+'Match Data'!BD22+'Match Data'!CC22+'Match Data'!DB22+'Match Data'!EA22+'Match Data'!EZ22+'Match Data'!FY22+'Match Data'!GX22+'Match Data'!HW22</f>
        <v>0</v>
      </c>
      <c r="G22" s="94">
        <f>'Match Data'!G22+'Match Data'!AF22+'Match Data'!BE22+'Match Data'!CD22+'Match Data'!DC22+'Match Data'!EB22+'Match Data'!FA22+'Match Data'!FZ22+'Match Data'!GY22+'Match Data'!HX22</f>
        <v>0</v>
      </c>
      <c r="H22" s="94">
        <f>'Match Data'!H22+'Match Data'!AG22+'Match Data'!BF22+'Match Data'!CE22+'Match Data'!DD22+'Match Data'!EC22+'Match Data'!FB22+'Match Data'!GA22+'Match Data'!GZ22+'Match Data'!HY22</f>
        <v>0</v>
      </c>
      <c r="I22" s="94">
        <f>'Match Data'!I22+'Match Data'!AH22+'Match Data'!BG22+'Match Data'!CF22+'Match Data'!DE22+'Match Data'!ED22+'Match Data'!FC22+'Match Data'!GB22+'Match Data'!HA22+'Match Data'!HZ22</f>
        <v>0</v>
      </c>
      <c r="J22" s="94" t="e">
        <f>(Table5[[#This Row],[High Made]]+Table5[[#This Row],[Low Made]])/(SUM(Table5[[#This Row],[High Made]:[Low Miss]]))</f>
        <v>#DIV/0!</v>
      </c>
      <c r="K22" s="94">
        <f>'Match Data'!J22+'Match Data'!AI22+'Match Data'!BH22+'Match Data'!CG22+'Match Data'!DF22+'Match Data'!EE22+'Match Data'!FD22+'Match Data'!GC22+'Match Data'!HB22+'Match Data'!IA22</f>
        <v>0</v>
      </c>
      <c r="L22" s="94">
        <f>'Match Data'!K22+'Match Data'!AJ22+'Match Data'!BI22+'Match Data'!CH22+'Match Data'!DG22+'Match Data'!EF22+'Match Data'!FE22+'Match Data'!GD22+'Match Data'!HC22+'Match Data'!IB22</f>
        <v>0</v>
      </c>
      <c r="M22" s="94">
        <f>'Match Data'!L22+'Match Data'!AK22+'Match Data'!BJ22+'Match Data'!CI22+'Match Data'!DH22+'Match Data'!EG22+'Match Data'!FF22+'Match Data'!GE22+'Match Data'!HD22+'Match Data'!IC22</f>
        <v>0</v>
      </c>
      <c r="N22" s="94">
        <f>'Match Data'!M22+'Match Data'!AL22+'Match Data'!BK22+'Match Data'!CJ22+'Match Data'!DI22+'Match Data'!EH22+'Match Data'!FG22+'Match Data'!GF22+'Match Data'!HE22+'Match Data'!ID22</f>
        <v>0</v>
      </c>
      <c r="O22" s="94">
        <f>'Match Data'!N22+'Match Data'!AM22+'Match Data'!BL22+'Match Data'!CK22+'Match Data'!DJ22+'Match Data'!EI22+'Match Data'!FH22+'Match Data'!GG22+'Match Data'!HF22+'Match Data'!IE22</f>
        <v>0</v>
      </c>
      <c r="P22" s="94">
        <f>'Match Data'!O22+'Match Data'!AN22+'Match Data'!BM22+'Match Data'!CL22+'Match Data'!DK22+'Match Data'!EJ22+'Match Data'!FI22+'Match Data'!GH22+'Match Data'!HG22+'Match Data'!IF22</f>
        <v>0</v>
      </c>
      <c r="Q22" s="94">
        <f>'Match Data'!P22+'Match Data'!AO22+'Match Data'!BN22+'Match Data'!CM22+'Match Data'!DL22+'Match Data'!EK22+'Match Data'!FJ22+'Match Data'!GI22+'Match Data'!HH22+'Match Data'!IG22</f>
        <v>0</v>
      </c>
      <c r="R22" s="94">
        <f>'Match Data'!Q22+'Match Data'!AP22+'Match Data'!BO22+'Match Data'!CN22+'Match Data'!DM22+'Match Data'!EL22+'Match Data'!FK22+'Match Data'!GJ22+'Match Data'!HI22+'Match Data'!IH22</f>
        <v>0</v>
      </c>
      <c r="S22" s="122">
        <v>0</v>
      </c>
      <c r="T22" s="122">
        <v>0</v>
      </c>
      <c r="U22" s="94">
        <f>'Match Data'!S22+'Match Data'!AR22+'Match Data'!BQ22+'Match Data'!CP22+'Match Data'!DO22+'Match Data'!EN22+'Match Data'!FM22+'Match Data'!GL22+'Match Data'!HK22+'Match Data'!IJ22</f>
        <v>0</v>
      </c>
      <c r="V22" s="95">
        <f>'Match Data'!T22+'Match Data'!AS22+'Match Data'!BR22+'Match Data'!CQ22+'Match Data'!DP22+'Match Data'!EO22+'Match Data'!FN22+'Match Data'!GM22+'Match Data'!HL22+'Match Data'!IK22</f>
        <v>0</v>
      </c>
      <c r="W22" s="94">
        <f>'Match Data'!U22+'Match Data'!AT22+'Match Data'!BS22+'Match Data'!CR22+'Match Data'!DQ22+'Match Data'!EP22+'Match Data'!FO22+'Match Data'!GN22+'Match Data'!HM22+'Match Data'!IL22</f>
        <v>0</v>
      </c>
      <c r="X22" s="94">
        <f>'Match Data'!V22+'Match Data'!AU22+'Match Data'!BT22+'Match Data'!CS22+'Match Data'!DR22+'Match Data'!EQ22+'Match Data'!FP22+'Match Data'!GO22+'Match Data'!HN22+'Match Data'!IM22</f>
        <v>0</v>
      </c>
      <c r="Y22" s="94">
        <f>'Match Data'!W22+'Match Data'!AV22+'Match Data'!BU22+'Match Data'!CT22+'Match Data'!DS22+'Match Data'!ER22+'Match Data'!FQ22+'Match Data'!GP22+'Match Data'!HO22+'Match Data'!IN22</f>
        <v>0</v>
      </c>
      <c r="Z22" s="94">
        <f>'Match Data'!X22+'Match Data'!AW22+'Match Data'!BV22+'Match Data'!CU22+'Match Data'!DT22+'Match Data'!ES22+'Match Data'!FR22+'Match Data'!GQ22+'Match Data'!HP22+'Match Data'!IO22</f>
        <v>0</v>
      </c>
      <c r="AA22" s="94">
        <f>'Match Data'!Y22+'Match Data'!AX22+'Match Data'!BW22+'Match Data'!CV22+'Match Data'!DU22+'Match Data'!ET22+'Match Data'!FS22+'Match Data'!GR22+'Match Data'!HQ22+'Match Data'!IP22</f>
        <v>0</v>
      </c>
      <c r="AB22" s="117">
        <f>'Match Data'!Z22+'Match Data'!AY22+'Match Data'!BX22+'Match Data'!CW22+'Match Data'!DV22+'Match Data'!EU22+'Match Data'!FT22+'Match Data'!GS22+'Match Data'!HR22+'Match Data'!IQ22</f>
        <v>0</v>
      </c>
      <c r="AC22" s="99">
        <f>'Alliance Data'!B21+'Alliance Data'!L21+'Alliance Data'!V21+'Alliance Data'!AF21+'Alliance Data'!AP21+'Alliance Data'!AZ21+'Alliance Data'!BJ21+'Alliance Data'!BT21+'Alliance Data'!CD21+'Alliance Data'!CN21</f>
        <v>0</v>
      </c>
      <c r="AD22" s="118">
        <f>('Alliance Data'!C21+'Alliance Data'!M21+'Alliance Data'!W21+'Alliance Data'!AG21+'Alliance Data'!AQ21+'Alliance Data'!BA21+'Alliance Data'!BK21+'Alliance Data'!BU21+'Alliance Data'!CE21+'Alliance Data'!CO21)/Value!Q20</f>
        <v>0</v>
      </c>
      <c r="AE22" s="118">
        <f>('Alliance Data'!D21+'Alliance Data'!N21+'Alliance Data'!X21+'Alliance Data'!AH21+'Alliance Data'!AR21+'Alliance Data'!BB21+'Alliance Data'!BL21+'Alliance Data'!BV21+'Alliance Data'!CF21+'Alliance Data'!CP21)/Value!Q20</f>
        <v>0</v>
      </c>
      <c r="AF22" s="118">
        <f>('Alliance Data'!E21+'Alliance Data'!O21+'Alliance Data'!Y21+'Alliance Data'!AI21+'Alliance Data'!AS21+'Alliance Data'!BC21+'Alliance Data'!BM21+'Alliance Data'!BW21+'Alliance Data'!CG21+'Alliance Data'!CQ21)/Value!Q20</f>
        <v>0</v>
      </c>
      <c r="AG22" s="118">
        <f>('Alliance Data'!F21+'Alliance Data'!P21+'Alliance Data'!Z21+'Alliance Data'!AJ21+'Alliance Data'!AT21+'Alliance Data'!BD21+'Alliance Data'!BN21+'Alliance Data'!BX21+'Alliance Data'!CH21+'Alliance Data'!CR21)/Value!Q20</f>
        <v>0</v>
      </c>
      <c r="AH22" s="118">
        <f>('Alliance Data'!G21+'Alliance Data'!Q21+'Alliance Data'!AA21+'Alliance Data'!AK21+'Alliance Data'!AU21+'Alliance Data'!BE21+'Alliance Data'!BO21+'Alliance Data'!BY21+'Alliance Data'!CI21+'Alliance Data'!CS21)/Value!Q20</f>
        <v>0</v>
      </c>
      <c r="AI22" s="118">
        <f>('Alliance Data'!H21+'Alliance Data'!R21+'Alliance Data'!AB21+'Alliance Data'!AL21+'Alliance Data'!AV21+'Alliance Data'!BF21+'Alliance Data'!BP21+'Alliance Data'!BZ21+'Alliance Data'!CJ21+'Alliance Data'!CT21)/Value!Q20</f>
        <v>0</v>
      </c>
      <c r="AJ22" s="118">
        <f>('Alliance Data'!I21+'Alliance Data'!S21+'Alliance Data'!AC21+'Alliance Data'!AM21+'Alliance Data'!AW21+'Alliance Data'!BG21+'Alliance Data'!BQ21+'Alliance Data'!CA21+'Alliance Data'!CK21+'Alliance Data'!CU21)/Value!Q20</f>
        <v>0</v>
      </c>
      <c r="AK22" s="118">
        <f>'Alliance Data'!J21+'Alliance Data'!T21+'Alliance Data'!AD21+'Alliance Data'!AN21+'Alliance Data'!AX21+'Alliance Data'!BH21+'Alliance Data'!BR21+'Alliance Data'!CB21+'Alliance Data'!CL21+'Alliance Data'!CV21</f>
        <v>0</v>
      </c>
      <c r="AL22" s="119">
        <f>'Alliance Data'!K21+'Alliance Data'!U21+'Alliance Data'!AE21+'Alliance Data'!AO21+'Alliance Data'!AY21+'Alliance Data'!BI21+'Alliance Data'!BS21+'Alliance Data'!CC21+'Alliance Data'!CM21+'Alliance Data'!CW21</f>
        <v>0</v>
      </c>
    </row>
    <row r="23" spans="1:38" x14ac:dyDescent="0.25">
      <c r="A23" s="86">
        <v>2846</v>
      </c>
      <c r="B23" s="99">
        <f>'Match Data'!B23+'Match Data'!AA23+'Match Data'!AZ23+'Match Data'!BY23+'Match Data'!CX23+'Match Data'!DW23+'Match Data'!EV23+'Match Data'!FU23+'Match Data'!GT23+'Match Data'!HS23</f>
        <v>0</v>
      </c>
      <c r="C23" s="94">
        <f>'Match Data'!C23+'Match Data'!AB23+'Match Data'!BA23+'Match Data'!BZ23+'Match Data'!CY23+'Match Data'!DX23+'Match Data'!EW23+'Match Data'!FV23+'Match Data'!GU23+'Match Data'!HT23</f>
        <v>0</v>
      </c>
      <c r="D23" s="94">
        <f>'Match Data'!D23+'Match Data'!AC23+'Match Data'!BB23+'Match Data'!CA23+'Match Data'!CZ23+'Match Data'!DY23+'Match Data'!EX23+'Match Data'!FW23+'Match Data'!GV23+'Match Data'!HU23</f>
        <v>0</v>
      </c>
      <c r="E23" s="94">
        <f>'Match Data'!E23+'Match Data'!AD23+'Match Data'!BC23+'Match Data'!CB23+'Match Data'!DA23+'Match Data'!DZ23+'Match Data'!EY23+'Match Data'!FX23+'Match Data'!GW23+'Match Data'!HV23</f>
        <v>0</v>
      </c>
      <c r="F23" s="94">
        <f>'Match Data'!F23+'Match Data'!AE23+'Match Data'!BD23+'Match Data'!CC23+'Match Data'!DB23+'Match Data'!EA23+'Match Data'!EZ23+'Match Data'!FY23+'Match Data'!GX23+'Match Data'!HW23</f>
        <v>0</v>
      </c>
      <c r="G23" s="94">
        <f>'Match Data'!G23+'Match Data'!AF23+'Match Data'!BE23+'Match Data'!CD23+'Match Data'!DC23+'Match Data'!EB23+'Match Data'!FA23+'Match Data'!FZ23+'Match Data'!GY23+'Match Data'!HX23</f>
        <v>0</v>
      </c>
      <c r="H23" s="94">
        <f>'Match Data'!H23+'Match Data'!AG23+'Match Data'!BF23+'Match Data'!CE23+'Match Data'!DD23+'Match Data'!EC23+'Match Data'!FB23+'Match Data'!GA23+'Match Data'!GZ23+'Match Data'!HY23</f>
        <v>0</v>
      </c>
      <c r="I23" s="94">
        <f>'Match Data'!I23+'Match Data'!AH23+'Match Data'!BG23+'Match Data'!CF23+'Match Data'!DE23+'Match Data'!ED23+'Match Data'!FC23+'Match Data'!GB23+'Match Data'!HA23+'Match Data'!HZ23</f>
        <v>0</v>
      </c>
      <c r="J23" s="94" t="e">
        <f>(Table5[[#This Row],[High Made]]+Table5[[#This Row],[Low Made]])/(SUM(Table5[[#This Row],[High Made]:[Low Miss]]))</f>
        <v>#DIV/0!</v>
      </c>
      <c r="K23" s="94">
        <f>'Match Data'!J23+'Match Data'!AI23+'Match Data'!BH23+'Match Data'!CG23+'Match Data'!DF23+'Match Data'!EE23+'Match Data'!FD23+'Match Data'!GC23+'Match Data'!HB23+'Match Data'!IA23</f>
        <v>0</v>
      </c>
      <c r="L23" s="94">
        <f>'Match Data'!K23+'Match Data'!AJ23+'Match Data'!BI23+'Match Data'!CH23+'Match Data'!DG23+'Match Data'!EF23+'Match Data'!FE23+'Match Data'!GD23+'Match Data'!HC23+'Match Data'!IB23</f>
        <v>0</v>
      </c>
      <c r="M23" s="94">
        <f>'Match Data'!L23+'Match Data'!AK23+'Match Data'!BJ23+'Match Data'!CI23+'Match Data'!DH23+'Match Data'!EG23+'Match Data'!FF23+'Match Data'!GE23+'Match Data'!HD23+'Match Data'!IC23</f>
        <v>0</v>
      </c>
      <c r="N23" s="94">
        <f>'Match Data'!M23+'Match Data'!AL23+'Match Data'!BK23+'Match Data'!CJ23+'Match Data'!DI23+'Match Data'!EH23+'Match Data'!FG23+'Match Data'!GF23+'Match Data'!HE23+'Match Data'!ID23</f>
        <v>0</v>
      </c>
      <c r="O23" s="94">
        <f>'Match Data'!N23+'Match Data'!AM23+'Match Data'!BL23+'Match Data'!CK23+'Match Data'!DJ23+'Match Data'!EI23+'Match Data'!FH23+'Match Data'!GG23+'Match Data'!HF23+'Match Data'!IE23</f>
        <v>0</v>
      </c>
      <c r="P23" s="94">
        <f>'Match Data'!O23+'Match Data'!AN23+'Match Data'!BM23+'Match Data'!CL23+'Match Data'!DK23+'Match Data'!EJ23+'Match Data'!FI23+'Match Data'!GH23+'Match Data'!HG23+'Match Data'!IF23</f>
        <v>0</v>
      </c>
      <c r="Q23" s="94">
        <f>'Match Data'!P23+'Match Data'!AO23+'Match Data'!BN23+'Match Data'!CM23+'Match Data'!DL23+'Match Data'!EK23+'Match Data'!FJ23+'Match Data'!GI23+'Match Data'!HH23+'Match Data'!IG23</f>
        <v>0</v>
      </c>
      <c r="R23" s="94">
        <f>'Match Data'!Q23+'Match Data'!AP23+'Match Data'!BO23+'Match Data'!CN23+'Match Data'!DM23+'Match Data'!EL23+'Match Data'!FK23+'Match Data'!GJ23+'Match Data'!HI23+'Match Data'!IH23</f>
        <v>0</v>
      </c>
      <c r="S23" s="122">
        <v>0</v>
      </c>
      <c r="T23" s="122">
        <v>0</v>
      </c>
      <c r="U23" s="94">
        <f>'Match Data'!S23+'Match Data'!AR23+'Match Data'!BQ23+'Match Data'!CP23+'Match Data'!DO23+'Match Data'!EN23+'Match Data'!FM23+'Match Data'!GL23+'Match Data'!HK23+'Match Data'!IJ23</f>
        <v>0</v>
      </c>
      <c r="V23" s="95">
        <f>'Match Data'!T23+'Match Data'!AS23+'Match Data'!BR23+'Match Data'!CQ23+'Match Data'!DP23+'Match Data'!EO23+'Match Data'!FN23+'Match Data'!GM23+'Match Data'!HL23+'Match Data'!IK23</f>
        <v>0</v>
      </c>
      <c r="W23" s="94">
        <f>'Match Data'!U23+'Match Data'!AT23+'Match Data'!BS23+'Match Data'!CR23+'Match Data'!DQ23+'Match Data'!EP23+'Match Data'!FO23+'Match Data'!GN23+'Match Data'!HM23+'Match Data'!IL23</f>
        <v>0</v>
      </c>
      <c r="X23" s="94">
        <f>'Match Data'!V23+'Match Data'!AU23+'Match Data'!BT23+'Match Data'!CS23+'Match Data'!DR23+'Match Data'!EQ23+'Match Data'!FP23+'Match Data'!GO23+'Match Data'!HN23+'Match Data'!IM23</f>
        <v>0</v>
      </c>
      <c r="Y23" s="94">
        <f>'Match Data'!W23+'Match Data'!AV23+'Match Data'!BU23+'Match Data'!CT23+'Match Data'!DS23+'Match Data'!ER23+'Match Data'!FQ23+'Match Data'!GP23+'Match Data'!HO23+'Match Data'!IN23</f>
        <v>0</v>
      </c>
      <c r="Z23" s="94">
        <f>'Match Data'!X23+'Match Data'!AW23+'Match Data'!BV23+'Match Data'!CU23+'Match Data'!DT23+'Match Data'!ES23+'Match Data'!FR23+'Match Data'!GQ23+'Match Data'!HP23+'Match Data'!IO23</f>
        <v>0</v>
      </c>
      <c r="AA23" s="94">
        <f>'Match Data'!Y23+'Match Data'!AX23+'Match Data'!BW23+'Match Data'!CV23+'Match Data'!DU23+'Match Data'!ET23+'Match Data'!FS23+'Match Data'!GR23+'Match Data'!HQ23+'Match Data'!IP23</f>
        <v>0</v>
      </c>
      <c r="AB23" s="117">
        <f>'Match Data'!Z23+'Match Data'!AY23+'Match Data'!BX23+'Match Data'!CW23+'Match Data'!DV23+'Match Data'!EU23+'Match Data'!FT23+'Match Data'!GS23+'Match Data'!HR23+'Match Data'!IQ23</f>
        <v>0</v>
      </c>
      <c r="AC23" s="99">
        <f>'Alliance Data'!B22+'Alliance Data'!L22+'Alliance Data'!V22+'Alliance Data'!AF22+'Alliance Data'!AP22+'Alliance Data'!AZ22+'Alliance Data'!BJ22+'Alliance Data'!BT22+'Alliance Data'!CD22+'Alliance Data'!CN22</f>
        <v>0</v>
      </c>
      <c r="AD23" s="118">
        <f>('Alliance Data'!C22+'Alliance Data'!M22+'Alliance Data'!W22+'Alliance Data'!AG22+'Alliance Data'!AQ22+'Alliance Data'!BA22+'Alliance Data'!BK22+'Alliance Data'!BU22+'Alliance Data'!CE22+'Alliance Data'!CO22)/Value!Q21</f>
        <v>0</v>
      </c>
      <c r="AE23" s="118">
        <f>('Alliance Data'!D22+'Alliance Data'!N22+'Alliance Data'!X22+'Alliance Data'!AH22+'Alliance Data'!AR22+'Alliance Data'!BB22+'Alliance Data'!BL22+'Alliance Data'!BV22+'Alliance Data'!CF22+'Alliance Data'!CP22)/Value!Q21</f>
        <v>0</v>
      </c>
      <c r="AF23" s="118">
        <f>('Alliance Data'!E22+'Alliance Data'!O22+'Alliance Data'!Y22+'Alliance Data'!AI22+'Alliance Data'!AS22+'Alliance Data'!BC22+'Alliance Data'!BM22+'Alliance Data'!BW22+'Alliance Data'!CG22+'Alliance Data'!CQ22)/Value!Q21</f>
        <v>0</v>
      </c>
      <c r="AG23" s="118">
        <f>('Alliance Data'!F22+'Alliance Data'!P22+'Alliance Data'!Z22+'Alliance Data'!AJ22+'Alliance Data'!AT22+'Alliance Data'!BD22+'Alliance Data'!BN22+'Alliance Data'!BX22+'Alliance Data'!CH22+'Alliance Data'!CR22)/Value!Q21</f>
        <v>0</v>
      </c>
      <c r="AH23" s="118">
        <f>('Alliance Data'!G22+'Alliance Data'!Q22+'Alliance Data'!AA22+'Alliance Data'!AK22+'Alliance Data'!AU22+'Alliance Data'!BE22+'Alliance Data'!BO22+'Alliance Data'!BY22+'Alliance Data'!CI22+'Alliance Data'!CS22)/Value!Q21</f>
        <v>0</v>
      </c>
      <c r="AI23" s="118">
        <f>('Alliance Data'!H22+'Alliance Data'!R22+'Alliance Data'!AB22+'Alliance Data'!AL22+'Alliance Data'!AV22+'Alliance Data'!BF22+'Alliance Data'!BP22+'Alliance Data'!BZ22+'Alliance Data'!CJ22+'Alliance Data'!CT22)/Value!Q21</f>
        <v>0</v>
      </c>
      <c r="AJ23" s="118">
        <f>('Alliance Data'!I22+'Alliance Data'!S22+'Alliance Data'!AC22+'Alliance Data'!AM22+'Alliance Data'!AW22+'Alliance Data'!BG22+'Alliance Data'!BQ22+'Alliance Data'!CA22+'Alliance Data'!CK22+'Alliance Data'!CU22)/Value!Q21</f>
        <v>0</v>
      </c>
      <c r="AK23" s="118">
        <f>'Alliance Data'!J22+'Alliance Data'!T22+'Alliance Data'!AD22+'Alliance Data'!AN22+'Alliance Data'!AX22+'Alliance Data'!BH22+'Alliance Data'!BR22+'Alliance Data'!CB22+'Alliance Data'!CL22+'Alliance Data'!CV22</f>
        <v>0</v>
      </c>
      <c r="AL23" s="119">
        <f>'Alliance Data'!K22+'Alliance Data'!U22+'Alliance Data'!AE22+'Alliance Data'!AO22+'Alliance Data'!AY22+'Alliance Data'!BI22+'Alliance Data'!BS22+'Alliance Data'!CC22+'Alliance Data'!CM22+'Alliance Data'!CW22</f>
        <v>0</v>
      </c>
    </row>
    <row r="24" spans="1:38" x14ac:dyDescent="0.25">
      <c r="A24" s="86">
        <v>2883</v>
      </c>
      <c r="B24" s="99">
        <f>'Match Data'!B24+'Match Data'!AA24+'Match Data'!AZ24+'Match Data'!BY24+'Match Data'!CX24+'Match Data'!DW24+'Match Data'!EV24+'Match Data'!FU24+'Match Data'!GT24+'Match Data'!HS24</f>
        <v>0</v>
      </c>
      <c r="C24" s="94">
        <f>'Match Data'!C24+'Match Data'!AB24+'Match Data'!BA24+'Match Data'!BZ24+'Match Data'!CY24+'Match Data'!DX24+'Match Data'!EW24+'Match Data'!FV24+'Match Data'!GU24+'Match Data'!HT24</f>
        <v>0</v>
      </c>
      <c r="D24" s="94">
        <f>'Match Data'!D24+'Match Data'!AC24+'Match Data'!BB24+'Match Data'!CA24+'Match Data'!CZ24+'Match Data'!DY24+'Match Data'!EX24+'Match Data'!FW24+'Match Data'!GV24+'Match Data'!HU24</f>
        <v>0</v>
      </c>
      <c r="E24" s="94">
        <f>'Match Data'!E24+'Match Data'!AD24+'Match Data'!BC24+'Match Data'!CB24+'Match Data'!DA24+'Match Data'!DZ24+'Match Data'!EY24+'Match Data'!FX24+'Match Data'!GW24+'Match Data'!HV24</f>
        <v>0</v>
      </c>
      <c r="F24" s="94">
        <f>'Match Data'!F24+'Match Data'!AE24+'Match Data'!BD24+'Match Data'!CC24+'Match Data'!DB24+'Match Data'!EA24+'Match Data'!EZ24+'Match Data'!FY24+'Match Data'!GX24+'Match Data'!HW24</f>
        <v>0</v>
      </c>
      <c r="G24" s="94">
        <f>'Match Data'!G24+'Match Data'!AF24+'Match Data'!BE24+'Match Data'!CD24+'Match Data'!DC24+'Match Data'!EB24+'Match Data'!FA24+'Match Data'!FZ24+'Match Data'!GY24+'Match Data'!HX24</f>
        <v>0</v>
      </c>
      <c r="H24" s="94">
        <f>'Match Data'!H24+'Match Data'!AG24+'Match Data'!BF24+'Match Data'!CE24+'Match Data'!DD24+'Match Data'!EC24+'Match Data'!FB24+'Match Data'!GA24+'Match Data'!GZ24+'Match Data'!HY24</f>
        <v>0</v>
      </c>
      <c r="I24" s="94">
        <f>'Match Data'!I24+'Match Data'!AH24+'Match Data'!BG24+'Match Data'!CF24+'Match Data'!DE24+'Match Data'!ED24+'Match Data'!FC24+'Match Data'!GB24+'Match Data'!HA24+'Match Data'!HZ24</f>
        <v>0</v>
      </c>
      <c r="J24" s="94" t="e">
        <f>(Table5[[#This Row],[High Made]]+Table5[[#This Row],[Low Made]])/(SUM(Table5[[#This Row],[High Made]:[Low Miss]]))</f>
        <v>#DIV/0!</v>
      </c>
      <c r="K24" s="94">
        <f>'Match Data'!J24+'Match Data'!AI24+'Match Data'!BH24+'Match Data'!CG24+'Match Data'!DF24+'Match Data'!EE24+'Match Data'!FD24+'Match Data'!GC24+'Match Data'!HB24+'Match Data'!IA24</f>
        <v>0</v>
      </c>
      <c r="L24" s="94">
        <f>'Match Data'!K24+'Match Data'!AJ24+'Match Data'!BI24+'Match Data'!CH24+'Match Data'!DG24+'Match Data'!EF24+'Match Data'!FE24+'Match Data'!GD24+'Match Data'!HC24+'Match Data'!IB24</f>
        <v>0</v>
      </c>
      <c r="M24" s="94">
        <f>'Match Data'!L24+'Match Data'!AK24+'Match Data'!BJ24+'Match Data'!CI24+'Match Data'!DH24+'Match Data'!EG24+'Match Data'!FF24+'Match Data'!GE24+'Match Data'!HD24+'Match Data'!IC24</f>
        <v>0</v>
      </c>
      <c r="N24" s="94">
        <f>'Match Data'!M24+'Match Data'!AL24+'Match Data'!BK24+'Match Data'!CJ24+'Match Data'!DI24+'Match Data'!EH24+'Match Data'!FG24+'Match Data'!GF24+'Match Data'!HE24+'Match Data'!ID24</f>
        <v>0</v>
      </c>
      <c r="O24" s="94">
        <f>'Match Data'!N24+'Match Data'!AM24+'Match Data'!BL24+'Match Data'!CK24+'Match Data'!DJ24+'Match Data'!EI24+'Match Data'!FH24+'Match Data'!GG24+'Match Data'!HF24+'Match Data'!IE24</f>
        <v>0</v>
      </c>
      <c r="P24" s="94">
        <f>'Match Data'!O24+'Match Data'!AN24+'Match Data'!BM24+'Match Data'!CL24+'Match Data'!DK24+'Match Data'!EJ24+'Match Data'!FI24+'Match Data'!GH24+'Match Data'!HG24+'Match Data'!IF24</f>
        <v>0</v>
      </c>
      <c r="Q24" s="94">
        <f>'Match Data'!P24+'Match Data'!AO24+'Match Data'!BN24+'Match Data'!CM24+'Match Data'!DL24+'Match Data'!EK24+'Match Data'!FJ24+'Match Data'!GI24+'Match Data'!HH24+'Match Data'!IG24</f>
        <v>0</v>
      </c>
      <c r="R24" s="94">
        <f>'Match Data'!Q24+'Match Data'!AP24+'Match Data'!BO24+'Match Data'!CN24+'Match Data'!DM24+'Match Data'!EL24+'Match Data'!FK24+'Match Data'!GJ24+'Match Data'!HI24+'Match Data'!IH24</f>
        <v>0</v>
      </c>
      <c r="S24" s="122">
        <v>0</v>
      </c>
      <c r="T24" s="122">
        <v>0</v>
      </c>
      <c r="U24" s="94">
        <f>'Match Data'!S24+'Match Data'!AR24+'Match Data'!BQ24+'Match Data'!CP24+'Match Data'!DO24+'Match Data'!EN24+'Match Data'!FM24+'Match Data'!GL24+'Match Data'!HK24+'Match Data'!IJ24</f>
        <v>0</v>
      </c>
      <c r="V24" s="95">
        <f>'Match Data'!T24+'Match Data'!AS24+'Match Data'!BR24+'Match Data'!CQ24+'Match Data'!DP24+'Match Data'!EO24+'Match Data'!FN24+'Match Data'!GM24+'Match Data'!HL24+'Match Data'!IK24</f>
        <v>0</v>
      </c>
      <c r="W24" s="94">
        <f>'Match Data'!U24+'Match Data'!AT24+'Match Data'!BS24+'Match Data'!CR24+'Match Data'!DQ24+'Match Data'!EP24+'Match Data'!FO24+'Match Data'!GN24+'Match Data'!HM24+'Match Data'!IL24</f>
        <v>0</v>
      </c>
      <c r="X24" s="94">
        <f>'Match Data'!V24+'Match Data'!AU24+'Match Data'!BT24+'Match Data'!CS24+'Match Data'!DR24+'Match Data'!EQ24+'Match Data'!FP24+'Match Data'!GO24+'Match Data'!HN24+'Match Data'!IM24</f>
        <v>0</v>
      </c>
      <c r="Y24" s="94">
        <f>'Match Data'!W24+'Match Data'!AV24+'Match Data'!BU24+'Match Data'!CT24+'Match Data'!DS24+'Match Data'!ER24+'Match Data'!FQ24+'Match Data'!GP24+'Match Data'!HO24+'Match Data'!IN24</f>
        <v>0</v>
      </c>
      <c r="Z24" s="94">
        <f>'Match Data'!X24+'Match Data'!AW24+'Match Data'!BV24+'Match Data'!CU24+'Match Data'!DT24+'Match Data'!ES24+'Match Data'!FR24+'Match Data'!GQ24+'Match Data'!HP24+'Match Data'!IO24</f>
        <v>0</v>
      </c>
      <c r="AA24" s="94">
        <f>'Match Data'!Y24+'Match Data'!AX24+'Match Data'!BW24+'Match Data'!CV24+'Match Data'!DU24+'Match Data'!ET24+'Match Data'!FS24+'Match Data'!GR24+'Match Data'!HQ24+'Match Data'!IP24</f>
        <v>0</v>
      </c>
      <c r="AB24" s="117">
        <f>'Match Data'!Z24+'Match Data'!AY24+'Match Data'!BX24+'Match Data'!CW24+'Match Data'!DV24+'Match Data'!EU24+'Match Data'!FT24+'Match Data'!GS24+'Match Data'!HR24+'Match Data'!IQ24</f>
        <v>0</v>
      </c>
      <c r="AC24" s="99">
        <f>'Alliance Data'!B23+'Alliance Data'!L23+'Alliance Data'!V23+'Alliance Data'!AF23+'Alliance Data'!AP23+'Alliance Data'!AZ23+'Alliance Data'!BJ23+'Alliance Data'!BT23+'Alliance Data'!CD23+'Alliance Data'!CN23</f>
        <v>0</v>
      </c>
      <c r="AD24" s="118">
        <f>('Alliance Data'!C23+'Alliance Data'!M23+'Alliance Data'!W23+'Alliance Data'!AG23+'Alliance Data'!AQ23+'Alliance Data'!BA23+'Alliance Data'!BK23+'Alliance Data'!BU23+'Alliance Data'!CE23+'Alliance Data'!CO23)/Value!Q22</f>
        <v>0</v>
      </c>
      <c r="AE24" s="118">
        <f>('Alliance Data'!D23+'Alliance Data'!N23+'Alliance Data'!X23+'Alliance Data'!AH23+'Alliance Data'!AR23+'Alliance Data'!BB23+'Alliance Data'!BL23+'Alliance Data'!BV23+'Alliance Data'!CF23+'Alliance Data'!CP23)/Value!Q22</f>
        <v>0</v>
      </c>
      <c r="AF24" s="118">
        <f>('Alliance Data'!E23+'Alliance Data'!O23+'Alliance Data'!Y23+'Alliance Data'!AI23+'Alliance Data'!AS23+'Alliance Data'!BC23+'Alliance Data'!BM23+'Alliance Data'!BW23+'Alliance Data'!CG23+'Alliance Data'!CQ23)/Value!Q22</f>
        <v>0</v>
      </c>
      <c r="AG24" s="118">
        <f>('Alliance Data'!F23+'Alliance Data'!P23+'Alliance Data'!Z23+'Alliance Data'!AJ23+'Alliance Data'!AT23+'Alliance Data'!BD23+'Alliance Data'!BN23+'Alliance Data'!BX23+'Alliance Data'!CH23+'Alliance Data'!CR23)/Value!Q22</f>
        <v>0</v>
      </c>
      <c r="AH24" s="118">
        <f>('Alliance Data'!G23+'Alliance Data'!Q23+'Alliance Data'!AA23+'Alliance Data'!AK23+'Alliance Data'!AU23+'Alliance Data'!BE23+'Alliance Data'!BO23+'Alliance Data'!BY23+'Alliance Data'!CI23+'Alliance Data'!CS23)/Value!Q22</f>
        <v>0</v>
      </c>
      <c r="AI24" s="118">
        <f>('Alliance Data'!H23+'Alliance Data'!R23+'Alliance Data'!AB23+'Alliance Data'!AL23+'Alliance Data'!AV23+'Alliance Data'!BF23+'Alliance Data'!BP23+'Alliance Data'!BZ23+'Alliance Data'!CJ23+'Alliance Data'!CT23)/Value!Q22</f>
        <v>0</v>
      </c>
      <c r="AJ24" s="118">
        <f>('Alliance Data'!I23+'Alliance Data'!S23+'Alliance Data'!AC23+'Alliance Data'!AM23+'Alliance Data'!AW23+'Alliance Data'!BG23+'Alliance Data'!BQ23+'Alliance Data'!CA23+'Alliance Data'!CK23+'Alliance Data'!CU23)/Value!Q22</f>
        <v>0</v>
      </c>
      <c r="AK24" s="118">
        <f>'Alliance Data'!J23+'Alliance Data'!T23+'Alliance Data'!AD23+'Alliance Data'!AN23+'Alliance Data'!AX23+'Alliance Data'!BH23+'Alliance Data'!BR23+'Alliance Data'!CB23+'Alliance Data'!CL23+'Alliance Data'!CV23</f>
        <v>0</v>
      </c>
      <c r="AL24" s="119">
        <f>'Alliance Data'!K23+'Alliance Data'!U23+'Alliance Data'!AE23+'Alliance Data'!AO23+'Alliance Data'!AY23+'Alliance Data'!BI23+'Alliance Data'!BS23+'Alliance Data'!CC23+'Alliance Data'!CM23+'Alliance Data'!CW23</f>
        <v>0</v>
      </c>
    </row>
    <row r="25" spans="1:38" x14ac:dyDescent="0.25">
      <c r="A25" s="86">
        <v>2957</v>
      </c>
      <c r="B25" s="99">
        <f>'Match Data'!B25+'Match Data'!AA25+'Match Data'!AZ25+'Match Data'!BY25+'Match Data'!CX25+'Match Data'!DW25+'Match Data'!EV25+'Match Data'!FU25+'Match Data'!GT25+'Match Data'!HS25</f>
        <v>0</v>
      </c>
      <c r="C25" s="94">
        <f>'Match Data'!C25+'Match Data'!AB25+'Match Data'!BA25+'Match Data'!BZ25+'Match Data'!CY25+'Match Data'!DX25+'Match Data'!EW25+'Match Data'!FV25+'Match Data'!GU25+'Match Data'!HT25</f>
        <v>0</v>
      </c>
      <c r="D25" s="94">
        <f>'Match Data'!D25+'Match Data'!AC25+'Match Data'!BB25+'Match Data'!CA25+'Match Data'!CZ25+'Match Data'!DY25+'Match Data'!EX25+'Match Data'!FW25+'Match Data'!GV25+'Match Data'!HU25</f>
        <v>0</v>
      </c>
      <c r="E25" s="94">
        <f>'Match Data'!E25+'Match Data'!AD25+'Match Data'!BC25+'Match Data'!CB25+'Match Data'!DA25+'Match Data'!DZ25+'Match Data'!EY25+'Match Data'!FX25+'Match Data'!GW25+'Match Data'!HV25</f>
        <v>0</v>
      </c>
      <c r="F25" s="94">
        <f>'Match Data'!F25+'Match Data'!AE25+'Match Data'!BD25+'Match Data'!CC25+'Match Data'!DB25+'Match Data'!EA25+'Match Data'!EZ25+'Match Data'!FY25+'Match Data'!GX25+'Match Data'!HW25</f>
        <v>0</v>
      </c>
      <c r="G25" s="94">
        <f>'Match Data'!G25+'Match Data'!AF25+'Match Data'!BE25+'Match Data'!CD25+'Match Data'!DC25+'Match Data'!EB25+'Match Data'!FA25+'Match Data'!FZ25+'Match Data'!GY25+'Match Data'!HX25</f>
        <v>0</v>
      </c>
      <c r="H25" s="94">
        <f>'Match Data'!H25+'Match Data'!AG25+'Match Data'!BF25+'Match Data'!CE25+'Match Data'!DD25+'Match Data'!EC25+'Match Data'!FB25+'Match Data'!GA25+'Match Data'!GZ25+'Match Data'!HY25</f>
        <v>0</v>
      </c>
      <c r="I25" s="94">
        <f>'Match Data'!I25+'Match Data'!AH25+'Match Data'!BG25+'Match Data'!CF25+'Match Data'!DE25+'Match Data'!ED25+'Match Data'!FC25+'Match Data'!GB25+'Match Data'!HA25+'Match Data'!HZ25</f>
        <v>0</v>
      </c>
      <c r="J25" s="94" t="e">
        <f>(Table5[[#This Row],[High Made]]+Table5[[#This Row],[Low Made]])/(SUM(Table5[[#This Row],[High Made]:[Low Miss]]))</f>
        <v>#DIV/0!</v>
      </c>
      <c r="K25" s="94">
        <f>'Match Data'!J25+'Match Data'!AI25+'Match Data'!BH25+'Match Data'!CG25+'Match Data'!DF25+'Match Data'!EE25+'Match Data'!FD25+'Match Data'!GC25+'Match Data'!HB25+'Match Data'!IA25</f>
        <v>0</v>
      </c>
      <c r="L25" s="94">
        <f>'Match Data'!K25+'Match Data'!AJ25+'Match Data'!BI25+'Match Data'!CH25+'Match Data'!DG25+'Match Data'!EF25+'Match Data'!FE25+'Match Data'!GD25+'Match Data'!HC25+'Match Data'!IB25</f>
        <v>0</v>
      </c>
      <c r="M25" s="94">
        <f>'Match Data'!L25+'Match Data'!AK25+'Match Data'!BJ25+'Match Data'!CI25+'Match Data'!DH25+'Match Data'!EG25+'Match Data'!FF25+'Match Data'!GE25+'Match Data'!HD25+'Match Data'!IC25</f>
        <v>0</v>
      </c>
      <c r="N25" s="94">
        <f>'Match Data'!M25+'Match Data'!AL25+'Match Data'!BK25+'Match Data'!CJ25+'Match Data'!DI25+'Match Data'!EH25+'Match Data'!FG25+'Match Data'!GF25+'Match Data'!HE25+'Match Data'!ID25</f>
        <v>0</v>
      </c>
      <c r="O25" s="94">
        <f>'Match Data'!N25+'Match Data'!AM25+'Match Data'!BL25+'Match Data'!CK25+'Match Data'!DJ25+'Match Data'!EI25+'Match Data'!FH25+'Match Data'!GG25+'Match Data'!HF25+'Match Data'!IE25</f>
        <v>0</v>
      </c>
      <c r="P25" s="94">
        <f>'Match Data'!O25+'Match Data'!AN25+'Match Data'!BM25+'Match Data'!CL25+'Match Data'!DK25+'Match Data'!EJ25+'Match Data'!FI25+'Match Data'!GH25+'Match Data'!HG25+'Match Data'!IF25</f>
        <v>0</v>
      </c>
      <c r="Q25" s="94">
        <f>'Match Data'!P25+'Match Data'!AO25+'Match Data'!BN25+'Match Data'!CM25+'Match Data'!DL25+'Match Data'!EK25+'Match Data'!FJ25+'Match Data'!GI25+'Match Data'!HH25+'Match Data'!IG25</f>
        <v>0</v>
      </c>
      <c r="R25" s="94">
        <f>'Match Data'!Q25+'Match Data'!AP25+'Match Data'!BO25+'Match Data'!CN25+'Match Data'!DM25+'Match Data'!EL25+'Match Data'!FK25+'Match Data'!GJ25+'Match Data'!HI25+'Match Data'!IH25</f>
        <v>0</v>
      </c>
      <c r="S25" s="122">
        <v>0</v>
      </c>
      <c r="T25" s="122">
        <v>0</v>
      </c>
      <c r="U25" s="94">
        <f>'Match Data'!S25+'Match Data'!AR25+'Match Data'!BQ25+'Match Data'!CP25+'Match Data'!DO25+'Match Data'!EN25+'Match Data'!FM25+'Match Data'!GL25+'Match Data'!HK25+'Match Data'!IJ25</f>
        <v>0</v>
      </c>
      <c r="V25" s="95">
        <f>'Match Data'!T25+'Match Data'!AS25+'Match Data'!BR25+'Match Data'!CQ25+'Match Data'!DP25+'Match Data'!EO25+'Match Data'!FN25+'Match Data'!GM25+'Match Data'!HL25+'Match Data'!IK25</f>
        <v>0</v>
      </c>
      <c r="W25" s="94">
        <f>'Match Data'!U25+'Match Data'!AT25+'Match Data'!BS25+'Match Data'!CR25+'Match Data'!DQ25+'Match Data'!EP25+'Match Data'!FO25+'Match Data'!GN25+'Match Data'!HM25+'Match Data'!IL25</f>
        <v>0</v>
      </c>
      <c r="X25" s="94">
        <f>'Match Data'!V25+'Match Data'!AU25+'Match Data'!BT25+'Match Data'!CS25+'Match Data'!DR25+'Match Data'!EQ25+'Match Data'!FP25+'Match Data'!GO25+'Match Data'!HN25+'Match Data'!IM25</f>
        <v>0</v>
      </c>
      <c r="Y25" s="94">
        <f>'Match Data'!W25+'Match Data'!AV25+'Match Data'!BU25+'Match Data'!CT25+'Match Data'!DS25+'Match Data'!ER25+'Match Data'!FQ25+'Match Data'!GP25+'Match Data'!HO25+'Match Data'!IN25</f>
        <v>0</v>
      </c>
      <c r="Z25" s="94">
        <f>'Match Data'!X25+'Match Data'!AW25+'Match Data'!BV25+'Match Data'!CU25+'Match Data'!DT25+'Match Data'!ES25+'Match Data'!FR25+'Match Data'!GQ25+'Match Data'!HP25+'Match Data'!IO25</f>
        <v>0</v>
      </c>
      <c r="AA25" s="94">
        <f>'Match Data'!Y25+'Match Data'!AX25+'Match Data'!BW25+'Match Data'!CV25+'Match Data'!DU25+'Match Data'!ET25+'Match Data'!FS25+'Match Data'!GR25+'Match Data'!HQ25+'Match Data'!IP25</f>
        <v>0</v>
      </c>
      <c r="AB25" s="117">
        <f>'Match Data'!Z25+'Match Data'!AY25+'Match Data'!BX25+'Match Data'!CW25+'Match Data'!DV25+'Match Data'!EU25+'Match Data'!FT25+'Match Data'!GS25+'Match Data'!HR25+'Match Data'!IQ25</f>
        <v>0</v>
      </c>
      <c r="AC25" s="99">
        <f>'Alliance Data'!B24+'Alliance Data'!L24+'Alliance Data'!V24+'Alliance Data'!AF24+'Alliance Data'!AP24+'Alliance Data'!AZ24+'Alliance Data'!BJ24+'Alliance Data'!BT24+'Alliance Data'!CD24+'Alliance Data'!CN24</f>
        <v>0</v>
      </c>
      <c r="AD25" s="118">
        <f>('Alliance Data'!C24+'Alliance Data'!M24+'Alliance Data'!W24+'Alliance Data'!AG24+'Alliance Data'!AQ24+'Alliance Data'!BA24+'Alliance Data'!BK24+'Alliance Data'!BU24+'Alliance Data'!CE24+'Alliance Data'!CO24)/Value!Q23</f>
        <v>0</v>
      </c>
      <c r="AE25" s="118">
        <f>('Alliance Data'!D24+'Alliance Data'!N24+'Alliance Data'!X24+'Alliance Data'!AH24+'Alliance Data'!AR24+'Alliance Data'!BB24+'Alliance Data'!BL24+'Alliance Data'!BV24+'Alliance Data'!CF24+'Alliance Data'!CP24)/Value!Q23</f>
        <v>0</v>
      </c>
      <c r="AF25" s="118">
        <f>('Alliance Data'!E24+'Alliance Data'!O24+'Alliance Data'!Y24+'Alliance Data'!AI24+'Alliance Data'!AS24+'Alliance Data'!BC24+'Alliance Data'!BM24+'Alliance Data'!BW24+'Alliance Data'!CG24+'Alliance Data'!CQ24)/Value!Q23</f>
        <v>0</v>
      </c>
      <c r="AG25" s="118">
        <f>('Alliance Data'!F24+'Alliance Data'!P24+'Alliance Data'!Z24+'Alliance Data'!AJ24+'Alliance Data'!AT24+'Alliance Data'!BD24+'Alliance Data'!BN24+'Alliance Data'!BX24+'Alliance Data'!CH24+'Alliance Data'!CR24)/Value!Q23</f>
        <v>0</v>
      </c>
      <c r="AH25" s="118">
        <f>('Alliance Data'!G24+'Alliance Data'!Q24+'Alliance Data'!AA24+'Alliance Data'!AK24+'Alliance Data'!AU24+'Alliance Data'!BE24+'Alliance Data'!BO24+'Alliance Data'!BY24+'Alliance Data'!CI24+'Alliance Data'!CS24)/Value!Q23</f>
        <v>0</v>
      </c>
      <c r="AI25" s="118">
        <f>('Alliance Data'!H24+'Alliance Data'!R24+'Alliance Data'!AB24+'Alliance Data'!AL24+'Alliance Data'!AV24+'Alliance Data'!BF24+'Alliance Data'!BP24+'Alliance Data'!BZ24+'Alliance Data'!CJ24+'Alliance Data'!CT24)/Value!Q23</f>
        <v>0</v>
      </c>
      <c r="AJ25" s="118">
        <f>('Alliance Data'!I24+'Alliance Data'!S24+'Alliance Data'!AC24+'Alliance Data'!AM24+'Alliance Data'!AW24+'Alliance Data'!BG24+'Alliance Data'!BQ24+'Alliance Data'!CA24+'Alliance Data'!CK24+'Alliance Data'!CU24)/Value!Q23</f>
        <v>0</v>
      </c>
      <c r="AK25" s="118">
        <f>'Alliance Data'!J24+'Alliance Data'!T24+'Alliance Data'!AD24+'Alliance Data'!AN24+'Alliance Data'!AX24+'Alliance Data'!BH24+'Alliance Data'!BR24+'Alliance Data'!CB24+'Alliance Data'!CL24+'Alliance Data'!CV24</f>
        <v>0</v>
      </c>
      <c r="AL25" s="119">
        <f>'Alliance Data'!K24+'Alliance Data'!U24+'Alliance Data'!AE24+'Alliance Data'!AO24+'Alliance Data'!AY24+'Alliance Data'!BI24+'Alliance Data'!BS24+'Alliance Data'!CC24+'Alliance Data'!CM24+'Alliance Data'!CW24</f>
        <v>0</v>
      </c>
    </row>
    <row r="26" spans="1:38" x14ac:dyDescent="0.25">
      <c r="A26" s="86">
        <v>3036</v>
      </c>
      <c r="B26" s="99">
        <f>'Match Data'!B26+'Match Data'!AA26+'Match Data'!AZ26+'Match Data'!BY26+'Match Data'!CX26+'Match Data'!DW26+'Match Data'!EV26+'Match Data'!FU26+'Match Data'!GT26+'Match Data'!HS26</f>
        <v>0</v>
      </c>
      <c r="C26" s="94">
        <f>'Match Data'!C26+'Match Data'!AB26+'Match Data'!BA26+'Match Data'!BZ26+'Match Data'!CY26+'Match Data'!DX26+'Match Data'!EW26+'Match Data'!FV26+'Match Data'!GU26+'Match Data'!HT26</f>
        <v>0</v>
      </c>
      <c r="D26" s="94">
        <f>'Match Data'!D26+'Match Data'!AC26+'Match Data'!BB26+'Match Data'!CA26+'Match Data'!CZ26+'Match Data'!DY26+'Match Data'!EX26+'Match Data'!FW26+'Match Data'!GV26+'Match Data'!HU26</f>
        <v>0</v>
      </c>
      <c r="E26" s="94">
        <f>'Match Data'!E26+'Match Data'!AD26+'Match Data'!BC26+'Match Data'!CB26+'Match Data'!DA26+'Match Data'!DZ26+'Match Data'!EY26+'Match Data'!FX26+'Match Data'!GW26+'Match Data'!HV26</f>
        <v>0</v>
      </c>
      <c r="F26" s="94">
        <f>'Match Data'!F26+'Match Data'!AE26+'Match Data'!BD26+'Match Data'!CC26+'Match Data'!DB26+'Match Data'!EA26+'Match Data'!EZ26+'Match Data'!FY26+'Match Data'!GX26+'Match Data'!HW26</f>
        <v>0</v>
      </c>
      <c r="G26" s="94">
        <f>'Match Data'!G26+'Match Data'!AF26+'Match Data'!BE26+'Match Data'!CD26+'Match Data'!DC26+'Match Data'!EB26+'Match Data'!FA26+'Match Data'!FZ26+'Match Data'!GY26+'Match Data'!HX26</f>
        <v>0</v>
      </c>
      <c r="H26" s="94">
        <f>'Match Data'!H26+'Match Data'!AG26+'Match Data'!BF26+'Match Data'!CE26+'Match Data'!DD26+'Match Data'!EC26+'Match Data'!FB26+'Match Data'!GA26+'Match Data'!GZ26+'Match Data'!HY26</f>
        <v>0</v>
      </c>
      <c r="I26" s="94">
        <f>'Match Data'!I26+'Match Data'!AH26+'Match Data'!BG26+'Match Data'!CF26+'Match Data'!DE26+'Match Data'!ED26+'Match Data'!FC26+'Match Data'!GB26+'Match Data'!HA26+'Match Data'!HZ26</f>
        <v>0</v>
      </c>
      <c r="J26" s="94" t="e">
        <f>(Table5[[#This Row],[High Made]]+Table5[[#This Row],[Low Made]])/(SUM(Table5[[#This Row],[High Made]:[Low Miss]]))</f>
        <v>#DIV/0!</v>
      </c>
      <c r="K26" s="94">
        <f>'Match Data'!J26+'Match Data'!AI26+'Match Data'!BH26+'Match Data'!CG26+'Match Data'!DF26+'Match Data'!EE26+'Match Data'!FD26+'Match Data'!GC26+'Match Data'!HB26+'Match Data'!IA26</f>
        <v>0</v>
      </c>
      <c r="L26" s="94">
        <f>'Match Data'!K26+'Match Data'!AJ26+'Match Data'!BI26+'Match Data'!CH26+'Match Data'!DG26+'Match Data'!EF26+'Match Data'!FE26+'Match Data'!GD26+'Match Data'!HC26+'Match Data'!IB26</f>
        <v>0</v>
      </c>
      <c r="M26" s="94">
        <f>'Match Data'!L26+'Match Data'!AK26+'Match Data'!BJ26+'Match Data'!CI26+'Match Data'!DH26+'Match Data'!EG26+'Match Data'!FF26+'Match Data'!GE26+'Match Data'!HD26+'Match Data'!IC26</f>
        <v>0</v>
      </c>
      <c r="N26" s="94">
        <f>'Match Data'!M26+'Match Data'!AL26+'Match Data'!BK26+'Match Data'!CJ26+'Match Data'!DI26+'Match Data'!EH26+'Match Data'!FG26+'Match Data'!GF26+'Match Data'!HE26+'Match Data'!ID26</f>
        <v>0</v>
      </c>
      <c r="O26" s="94">
        <f>'Match Data'!N26+'Match Data'!AM26+'Match Data'!BL26+'Match Data'!CK26+'Match Data'!DJ26+'Match Data'!EI26+'Match Data'!FH26+'Match Data'!GG26+'Match Data'!HF26+'Match Data'!IE26</f>
        <v>0</v>
      </c>
      <c r="P26" s="94">
        <f>'Match Data'!O26+'Match Data'!AN26+'Match Data'!BM26+'Match Data'!CL26+'Match Data'!DK26+'Match Data'!EJ26+'Match Data'!FI26+'Match Data'!GH26+'Match Data'!HG26+'Match Data'!IF26</f>
        <v>0</v>
      </c>
      <c r="Q26" s="94">
        <f>'Match Data'!P26+'Match Data'!AO26+'Match Data'!BN26+'Match Data'!CM26+'Match Data'!DL26+'Match Data'!EK26+'Match Data'!FJ26+'Match Data'!GI26+'Match Data'!HH26+'Match Data'!IG26</f>
        <v>0</v>
      </c>
      <c r="R26" s="94">
        <f>'Match Data'!Q26+'Match Data'!AP26+'Match Data'!BO26+'Match Data'!CN26+'Match Data'!DM26+'Match Data'!EL26+'Match Data'!FK26+'Match Data'!GJ26+'Match Data'!HI26+'Match Data'!IH26</f>
        <v>0</v>
      </c>
      <c r="S26" s="122">
        <v>0</v>
      </c>
      <c r="T26" s="122">
        <v>0</v>
      </c>
      <c r="U26" s="94">
        <f>'Match Data'!S26+'Match Data'!AR26+'Match Data'!BQ26+'Match Data'!CP26+'Match Data'!DO26+'Match Data'!EN26+'Match Data'!FM26+'Match Data'!GL26+'Match Data'!HK26+'Match Data'!IJ26</f>
        <v>0</v>
      </c>
      <c r="V26" s="95">
        <f>'Match Data'!T26+'Match Data'!AS26+'Match Data'!BR26+'Match Data'!CQ26+'Match Data'!DP26+'Match Data'!EO26+'Match Data'!FN26+'Match Data'!GM26+'Match Data'!HL26+'Match Data'!IK26</f>
        <v>0</v>
      </c>
      <c r="W26" s="94">
        <f>'Match Data'!U26+'Match Data'!AT26+'Match Data'!BS26+'Match Data'!CR26+'Match Data'!DQ26+'Match Data'!EP26+'Match Data'!FO26+'Match Data'!GN26+'Match Data'!HM26+'Match Data'!IL26</f>
        <v>0</v>
      </c>
      <c r="X26" s="94">
        <f>'Match Data'!V26+'Match Data'!AU26+'Match Data'!BT26+'Match Data'!CS26+'Match Data'!DR26+'Match Data'!EQ26+'Match Data'!FP26+'Match Data'!GO26+'Match Data'!HN26+'Match Data'!IM26</f>
        <v>0</v>
      </c>
      <c r="Y26" s="94">
        <f>'Match Data'!W26+'Match Data'!AV26+'Match Data'!BU26+'Match Data'!CT26+'Match Data'!DS26+'Match Data'!ER26+'Match Data'!FQ26+'Match Data'!GP26+'Match Data'!HO26+'Match Data'!IN26</f>
        <v>0</v>
      </c>
      <c r="Z26" s="94">
        <f>'Match Data'!X26+'Match Data'!AW26+'Match Data'!BV26+'Match Data'!CU26+'Match Data'!DT26+'Match Data'!ES26+'Match Data'!FR26+'Match Data'!GQ26+'Match Data'!HP26+'Match Data'!IO26</f>
        <v>0</v>
      </c>
      <c r="AA26" s="94">
        <f>'Match Data'!Y26+'Match Data'!AX26+'Match Data'!BW26+'Match Data'!CV26+'Match Data'!DU26+'Match Data'!ET26+'Match Data'!FS26+'Match Data'!GR26+'Match Data'!HQ26+'Match Data'!IP26</f>
        <v>0</v>
      </c>
      <c r="AB26" s="117">
        <f>'Match Data'!Z26+'Match Data'!AY26+'Match Data'!BX26+'Match Data'!CW26+'Match Data'!DV26+'Match Data'!EU26+'Match Data'!FT26+'Match Data'!GS26+'Match Data'!HR26+'Match Data'!IQ26</f>
        <v>0</v>
      </c>
      <c r="AC26" s="99">
        <f>'Alliance Data'!B25+'Alliance Data'!L25+'Alliance Data'!V25+'Alliance Data'!AF25+'Alliance Data'!AP25+'Alliance Data'!AZ25+'Alliance Data'!BJ25+'Alliance Data'!BT25+'Alliance Data'!CD25+'Alliance Data'!CN25</f>
        <v>0</v>
      </c>
      <c r="AD26" s="118">
        <f>('Alliance Data'!C25+'Alliance Data'!M25+'Alliance Data'!W25+'Alliance Data'!AG25+'Alliance Data'!AQ25+'Alliance Data'!BA25+'Alliance Data'!BK25+'Alliance Data'!BU25+'Alliance Data'!CE25+'Alliance Data'!CO25)/Value!Q24</f>
        <v>0</v>
      </c>
      <c r="AE26" s="118">
        <f>('Alliance Data'!D25+'Alliance Data'!N25+'Alliance Data'!X25+'Alliance Data'!AH25+'Alliance Data'!AR25+'Alliance Data'!BB25+'Alliance Data'!BL25+'Alliance Data'!BV25+'Alliance Data'!CF25+'Alliance Data'!CP25)/Value!Q24</f>
        <v>0</v>
      </c>
      <c r="AF26" s="118">
        <f>('Alliance Data'!E25+'Alliance Data'!O25+'Alliance Data'!Y25+'Alliance Data'!AI25+'Alliance Data'!AS25+'Alliance Data'!BC25+'Alliance Data'!BM25+'Alliance Data'!BW25+'Alliance Data'!CG25+'Alliance Data'!CQ25)/Value!Q24</f>
        <v>0</v>
      </c>
      <c r="AG26" s="118">
        <f>('Alliance Data'!F25+'Alliance Data'!P25+'Alliance Data'!Z25+'Alliance Data'!AJ25+'Alliance Data'!AT25+'Alliance Data'!BD25+'Alliance Data'!BN25+'Alliance Data'!BX25+'Alliance Data'!CH25+'Alliance Data'!CR25)/Value!Q24</f>
        <v>0</v>
      </c>
      <c r="AH26" s="118">
        <f>('Alliance Data'!G25+'Alliance Data'!Q25+'Alliance Data'!AA25+'Alliance Data'!AK25+'Alliance Data'!AU25+'Alliance Data'!BE25+'Alliance Data'!BO25+'Alliance Data'!BY25+'Alliance Data'!CI25+'Alliance Data'!CS25)/Value!Q24</f>
        <v>0</v>
      </c>
      <c r="AI26" s="118">
        <f>('Alliance Data'!H25+'Alliance Data'!R25+'Alliance Data'!AB25+'Alliance Data'!AL25+'Alliance Data'!AV25+'Alliance Data'!BF25+'Alliance Data'!BP25+'Alliance Data'!BZ25+'Alliance Data'!CJ25+'Alliance Data'!CT25)/Value!Q24</f>
        <v>0</v>
      </c>
      <c r="AJ26" s="118">
        <f>('Alliance Data'!I25+'Alliance Data'!S25+'Alliance Data'!AC25+'Alliance Data'!AM25+'Alliance Data'!AW25+'Alliance Data'!BG25+'Alliance Data'!BQ25+'Alliance Data'!CA25+'Alliance Data'!CK25+'Alliance Data'!CU25)/Value!Q24</f>
        <v>0</v>
      </c>
      <c r="AK26" s="118">
        <f>'Alliance Data'!J25+'Alliance Data'!T25+'Alliance Data'!AD25+'Alliance Data'!AN25+'Alliance Data'!AX25+'Alliance Data'!BH25+'Alliance Data'!BR25+'Alliance Data'!CB25+'Alliance Data'!CL25+'Alliance Data'!CV25</f>
        <v>0</v>
      </c>
      <c r="AL26" s="119">
        <f>'Alliance Data'!K25+'Alliance Data'!U25+'Alliance Data'!AE25+'Alliance Data'!AO25+'Alliance Data'!AY25+'Alliance Data'!BI25+'Alliance Data'!BS25+'Alliance Data'!CC25+'Alliance Data'!CM25+'Alliance Data'!CW25</f>
        <v>0</v>
      </c>
    </row>
    <row r="27" spans="1:38" x14ac:dyDescent="0.25">
      <c r="A27" s="86">
        <v>3055</v>
      </c>
      <c r="B27" s="99">
        <f>'Match Data'!B27+'Match Data'!AA27+'Match Data'!AZ27+'Match Data'!BY27+'Match Data'!CX27+'Match Data'!DW27+'Match Data'!EV27+'Match Data'!FU27+'Match Data'!GT27+'Match Data'!HS27</f>
        <v>0</v>
      </c>
      <c r="C27" s="94">
        <f>'Match Data'!C27+'Match Data'!AB27+'Match Data'!BA27+'Match Data'!BZ27+'Match Data'!CY27+'Match Data'!DX27+'Match Data'!EW27+'Match Data'!FV27+'Match Data'!GU27+'Match Data'!HT27</f>
        <v>0</v>
      </c>
      <c r="D27" s="94">
        <f>'Match Data'!D27+'Match Data'!AC27+'Match Data'!BB27+'Match Data'!CA27+'Match Data'!CZ27+'Match Data'!DY27+'Match Data'!EX27+'Match Data'!FW27+'Match Data'!GV27+'Match Data'!HU27</f>
        <v>0</v>
      </c>
      <c r="E27" s="94">
        <f>'Match Data'!E27+'Match Data'!AD27+'Match Data'!BC27+'Match Data'!CB27+'Match Data'!DA27+'Match Data'!DZ27+'Match Data'!EY27+'Match Data'!FX27+'Match Data'!GW27+'Match Data'!HV27</f>
        <v>0</v>
      </c>
      <c r="F27" s="94">
        <f>'Match Data'!F27+'Match Data'!AE27+'Match Data'!BD27+'Match Data'!CC27+'Match Data'!DB27+'Match Data'!EA27+'Match Data'!EZ27+'Match Data'!FY27+'Match Data'!GX27+'Match Data'!HW27</f>
        <v>0</v>
      </c>
      <c r="G27" s="94">
        <f>'Match Data'!G27+'Match Data'!AF27+'Match Data'!BE27+'Match Data'!CD27+'Match Data'!DC27+'Match Data'!EB27+'Match Data'!FA27+'Match Data'!FZ27+'Match Data'!GY27+'Match Data'!HX27</f>
        <v>0</v>
      </c>
      <c r="H27" s="94">
        <f>'Match Data'!H27+'Match Data'!AG27+'Match Data'!BF27+'Match Data'!CE27+'Match Data'!DD27+'Match Data'!EC27+'Match Data'!FB27+'Match Data'!GA27+'Match Data'!GZ27+'Match Data'!HY27</f>
        <v>0</v>
      </c>
      <c r="I27" s="94">
        <f>'Match Data'!I27+'Match Data'!AH27+'Match Data'!BG27+'Match Data'!CF27+'Match Data'!DE27+'Match Data'!ED27+'Match Data'!FC27+'Match Data'!GB27+'Match Data'!HA27+'Match Data'!HZ27</f>
        <v>0</v>
      </c>
      <c r="J27" s="94" t="e">
        <f>(Table5[[#This Row],[High Made]]+Table5[[#This Row],[Low Made]])/(SUM(Table5[[#This Row],[High Made]:[Low Miss]]))</f>
        <v>#DIV/0!</v>
      </c>
      <c r="K27" s="94">
        <f>'Match Data'!J27+'Match Data'!AI27+'Match Data'!BH27+'Match Data'!CG27+'Match Data'!DF27+'Match Data'!EE27+'Match Data'!FD27+'Match Data'!GC27+'Match Data'!HB27+'Match Data'!IA27</f>
        <v>0</v>
      </c>
      <c r="L27" s="94">
        <f>'Match Data'!K27+'Match Data'!AJ27+'Match Data'!BI27+'Match Data'!CH27+'Match Data'!DG27+'Match Data'!EF27+'Match Data'!FE27+'Match Data'!GD27+'Match Data'!HC27+'Match Data'!IB27</f>
        <v>0</v>
      </c>
      <c r="M27" s="94">
        <f>'Match Data'!L27+'Match Data'!AK27+'Match Data'!BJ27+'Match Data'!CI27+'Match Data'!DH27+'Match Data'!EG27+'Match Data'!FF27+'Match Data'!GE27+'Match Data'!HD27+'Match Data'!IC27</f>
        <v>0</v>
      </c>
      <c r="N27" s="94">
        <f>'Match Data'!M27+'Match Data'!AL27+'Match Data'!BK27+'Match Data'!CJ27+'Match Data'!DI27+'Match Data'!EH27+'Match Data'!FG27+'Match Data'!GF27+'Match Data'!HE27+'Match Data'!ID27</f>
        <v>0</v>
      </c>
      <c r="O27" s="94">
        <f>'Match Data'!N27+'Match Data'!AM27+'Match Data'!BL27+'Match Data'!CK27+'Match Data'!DJ27+'Match Data'!EI27+'Match Data'!FH27+'Match Data'!GG27+'Match Data'!HF27+'Match Data'!IE27</f>
        <v>0</v>
      </c>
      <c r="P27" s="94">
        <f>'Match Data'!O27+'Match Data'!AN27+'Match Data'!BM27+'Match Data'!CL27+'Match Data'!DK27+'Match Data'!EJ27+'Match Data'!FI27+'Match Data'!GH27+'Match Data'!HG27+'Match Data'!IF27</f>
        <v>0</v>
      </c>
      <c r="Q27" s="94">
        <f>'Match Data'!P27+'Match Data'!AO27+'Match Data'!BN27+'Match Data'!CM27+'Match Data'!DL27+'Match Data'!EK27+'Match Data'!FJ27+'Match Data'!GI27+'Match Data'!HH27+'Match Data'!IG27</f>
        <v>0</v>
      </c>
      <c r="R27" s="94">
        <f>'Match Data'!Q27+'Match Data'!AP27+'Match Data'!BO27+'Match Data'!CN27+'Match Data'!DM27+'Match Data'!EL27+'Match Data'!FK27+'Match Data'!GJ27+'Match Data'!HI27+'Match Data'!IH27</f>
        <v>0</v>
      </c>
      <c r="S27" s="122">
        <v>0</v>
      </c>
      <c r="T27" s="122">
        <v>0</v>
      </c>
      <c r="U27" s="94">
        <f>'Match Data'!S27+'Match Data'!AR27+'Match Data'!BQ27+'Match Data'!CP27+'Match Data'!DO27+'Match Data'!EN27+'Match Data'!FM27+'Match Data'!GL27+'Match Data'!HK27+'Match Data'!IJ27</f>
        <v>0</v>
      </c>
      <c r="V27" s="95">
        <f>'Match Data'!T27+'Match Data'!AS27+'Match Data'!BR27+'Match Data'!CQ27+'Match Data'!DP27+'Match Data'!EO27+'Match Data'!FN27+'Match Data'!GM27+'Match Data'!HL27+'Match Data'!IK27</f>
        <v>0</v>
      </c>
      <c r="W27" s="94">
        <f>'Match Data'!U27+'Match Data'!AT27+'Match Data'!BS27+'Match Data'!CR27+'Match Data'!DQ27+'Match Data'!EP27+'Match Data'!FO27+'Match Data'!GN27+'Match Data'!HM27+'Match Data'!IL27</f>
        <v>0</v>
      </c>
      <c r="X27" s="94">
        <f>'Match Data'!V27+'Match Data'!AU27+'Match Data'!BT27+'Match Data'!CS27+'Match Data'!DR27+'Match Data'!EQ27+'Match Data'!FP27+'Match Data'!GO27+'Match Data'!HN27+'Match Data'!IM27</f>
        <v>0</v>
      </c>
      <c r="Y27" s="94">
        <f>'Match Data'!W27+'Match Data'!AV27+'Match Data'!BU27+'Match Data'!CT27+'Match Data'!DS27+'Match Data'!ER27+'Match Data'!FQ27+'Match Data'!GP27+'Match Data'!HO27+'Match Data'!IN27</f>
        <v>0</v>
      </c>
      <c r="Z27" s="94">
        <f>'Match Data'!X27+'Match Data'!AW27+'Match Data'!BV27+'Match Data'!CU27+'Match Data'!DT27+'Match Data'!ES27+'Match Data'!FR27+'Match Data'!GQ27+'Match Data'!HP27+'Match Data'!IO27</f>
        <v>0</v>
      </c>
      <c r="AA27" s="94">
        <f>'Match Data'!Y27+'Match Data'!AX27+'Match Data'!BW27+'Match Data'!CV27+'Match Data'!DU27+'Match Data'!ET27+'Match Data'!FS27+'Match Data'!GR27+'Match Data'!HQ27+'Match Data'!IP27</f>
        <v>0</v>
      </c>
      <c r="AB27" s="117">
        <f>'Match Data'!Z27+'Match Data'!AY27+'Match Data'!BX27+'Match Data'!CW27+'Match Data'!DV27+'Match Data'!EU27+'Match Data'!FT27+'Match Data'!GS27+'Match Data'!HR27+'Match Data'!IQ27</f>
        <v>0</v>
      </c>
      <c r="AC27" s="99">
        <f>'Alliance Data'!B26+'Alliance Data'!L26+'Alliance Data'!V26+'Alliance Data'!AF26+'Alliance Data'!AP26+'Alliance Data'!AZ26+'Alliance Data'!BJ26+'Alliance Data'!BT26+'Alliance Data'!CD26+'Alliance Data'!CN26</f>
        <v>0</v>
      </c>
      <c r="AD27" s="118">
        <f>('Alliance Data'!C26+'Alliance Data'!M26+'Alliance Data'!W26+'Alliance Data'!AG26+'Alliance Data'!AQ26+'Alliance Data'!BA26+'Alliance Data'!BK26+'Alliance Data'!BU26+'Alliance Data'!CE26+'Alliance Data'!CO26)/Value!Q25</f>
        <v>0</v>
      </c>
      <c r="AE27" s="118">
        <f>('Alliance Data'!D26+'Alliance Data'!N26+'Alliance Data'!X26+'Alliance Data'!AH26+'Alliance Data'!AR26+'Alliance Data'!BB26+'Alliance Data'!BL26+'Alliance Data'!BV26+'Alliance Data'!CF26+'Alliance Data'!CP26)/Value!Q25</f>
        <v>0</v>
      </c>
      <c r="AF27" s="118">
        <f>('Alliance Data'!E26+'Alliance Data'!O26+'Alliance Data'!Y26+'Alliance Data'!AI26+'Alliance Data'!AS26+'Alliance Data'!BC26+'Alliance Data'!BM26+'Alliance Data'!BW26+'Alliance Data'!CG26+'Alliance Data'!CQ26)/Value!Q25</f>
        <v>0</v>
      </c>
      <c r="AG27" s="118">
        <f>('Alliance Data'!F26+'Alliance Data'!P26+'Alliance Data'!Z26+'Alliance Data'!AJ26+'Alliance Data'!AT26+'Alliance Data'!BD26+'Alliance Data'!BN26+'Alliance Data'!BX26+'Alliance Data'!CH26+'Alliance Data'!CR26)/Value!Q25</f>
        <v>0</v>
      </c>
      <c r="AH27" s="118">
        <f>('Alliance Data'!G26+'Alliance Data'!Q26+'Alliance Data'!AA26+'Alliance Data'!AK26+'Alliance Data'!AU26+'Alliance Data'!BE26+'Alliance Data'!BO26+'Alliance Data'!BY26+'Alliance Data'!CI26+'Alliance Data'!CS26)/Value!Q25</f>
        <v>0</v>
      </c>
      <c r="AI27" s="118">
        <f>('Alliance Data'!H26+'Alliance Data'!R26+'Alliance Data'!AB26+'Alliance Data'!AL26+'Alliance Data'!AV26+'Alliance Data'!BF26+'Alliance Data'!BP26+'Alliance Data'!BZ26+'Alliance Data'!CJ26+'Alliance Data'!CT26)/Value!Q25</f>
        <v>0</v>
      </c>
      <c r="AJ27" s="118">
        <f>('Alliance Data'!I26+'Alliance Data'!S26+'Alliance Data'!AC26+'Alliance Data'!AM26+'Alliance Data'!AW26+'Alliance Data'!BG26+'Alliance Data'!BQ26+'Alliance Data'!CA26+'Alliance Data'!CK26+'Alliance Data'!CU26)/Value!Q25</f>
        <v>0</v>
      </c>
      <c r="AK27" s="118">
        <f>'Alliance Data'!J26+'Alliance Data'!T26+'Alliance Data'!AD26+'Alliance Data'!AN26+'Alliance Data'!AX26+'Alliance Data'!BH26+'Alliance Data'!BR26+'Alliance Data'!CB26+'Alliance Data'!CL26+'Alliance Data'!CV26</f>
        <v>0</v>
      </c>
      <c r="AL27" s="119">
        <f>'Alliance Data'!K26+'Alliance Data'!U26+'Alliance Data'!AE26+'Alliance Data'!AO26+'Alliance Data'!AY26+'Alliance Data'!BI26+'Alliance Data'!BS26+'Alliance Data'!CC26+'Alliance Data'!CM26+'Alliance Data'!CW26</f>
        <v>0</v>
      </c>
    </row>
    <row r="28" spans="1:38" x14ac:dyDescent="0.25">
      <c r="A28" s="86">
        <v>3056</v>
      </c>
      <c r="B28" s="99">
        <f>'Match Data'!B28+'Match Data'!AA28+'Match Data'!AZ28+'Match Data'!BY28+'Match Data'!CX28+'Match Data'!DW28+'Match Data'!EV28+'Match Data'!FU28+'Match Data'!GT28+'Match Data'!HS28</f>
        <v>0</v>
      </c>
      <c r="C28" s="94">
        <f>'Match Data'!C28+'Match Data'!AB28+'Match Data'!BA28+'Match Data'!BZ28+'Match Data'!CY28+'Match Data'!DX28+'Match Data'!EW28+'Match Data'!FV28+'Match Data'!GU28+'Match Data'!HT28</f>
        <v>0</v>
      </c>
      <c r="D28" s="94">
        <f>'Match Data'!D28+'Match Data'!AC28+'Match Data'!BB28+'Match Data'!CA28+'Match Data'!CZ28+'Match Data'!DY28+'Match Data'!EX28+'Match Data'!FW28+'Match Data'!GV28+'Match Data'!HU28</f>
        <v>0</v>
      </c>
      <c r="E28" s="94">
        <f>'Match Data'!E28+'Match Data'!AD28+'Match Data'!BC28+'Match Data'!CB28+'Match Data'!DA28+'Match Data'!DZ28+'Match Data'!EY28+'Match Data'!FX28+'Match Data'!GW28+'Match Data'!HV28</f>
        <v>0</v>
      </c>
      <c r="F28" s="94">
        <f>'Match Data'!F28+'Match Data'!AE28+'Match Data'!BD28+'Match Data'!CC28+'Match Data'!DB28+'Match Data'!EA28+'Match Data'!EZ28+'Match Data'!FY28+'Match Data'!GX28+'Match Data'!HW28</f>
        <v>0</v>
      </c>
      <c r="G28" s="94">
        <f>'Match Data'!G28+'Match Data'!AF28+'Match Data'!BE28+'Match Data'!CD28+'Match Data'!DC28+'Match Data'!EB28+'Match Data'!FA28+'Match Data'!FZ28+'Match Data'!GY28+'Match Data'!HX28</f>
        <v>0</v>
      </c>
      <c r="H28" s="94">
        <f>'Match Data'!H28+'Match Data'!AG28+'Match Data'!BF28+'Match Data'!CE28+'Match Data'!DD28+'Match Data'!EC28+'Match Data'!FB28+'Match Data'!GA28+'Match Data'!GZ28+'Match Data'!HY28</f>
        <v>0</v>
      </c>
      <c r="I28" s="94">
        <f>'Match Data'!I28+'Match Data'!AH28+'Match Data'!BG28+'Match Data'!CF28+'Match Data'!DE28+'Match Data'!ED28+'Match Data'!FC28+'Match Data'!GB28+'Match Data'!HA28+'Match Data'!HZ28</f>
        <v>0</v>
      </c>
      <c r="J28" s="94" t="e">
        <f>(Table5[[#This Row],[High Made]]+Table5[[#This Row],[Low Made]])/(SUM(Table5[[#This Row],[High Made]:[Low Miss]]))</f>
        <v>#DIV/0!</v>
      </c>
      <c r="K28" s="94">
        <f>'Match Data'!J28+'Match Data'!AI28+'Match Data'!BH28+'Match Data'!CG28+'Match Data'!DF28+'Match Data'!EE28+'Match Data'!FD28+'Match Data'!GC28+'Match Data'!HB28+'Match Data'!IA28</f>
        <v>0</v>
      </c>
      <c r="L28" s="94">
        <f>'Match Data'!K28+'Match Data'!AJ28+'Match Data'!BI28+'Match Data'!CH28+'Match Data'!DG28+'Match Data'!EF28+'Match Data'!FE28+'Match Data'!GD28+'Match Data'!HC28+'Match Data'!IB28</f>
        <v>0</v>
      </c>
      <c r="M28" s="94">
        <f>'Match Data'!L28+'Match Data'!AK28+'Match Data'!BJ28+'Match Data'!CI28+'Match Data'!DH28+'Match Data'!EG28+'Match Data'!FF28+'Match Data'!GE28+'Match Data'!HD28+'Match Data'!IC28</f>
        <v>0</v>
      </c>
      <c r="N28" s="94">
        <f>'Match Data'!M28+'Match Data'!AL28+'Match Data'!BK28+'Match Data'!CJ28+'Match Data'!DI28+'Match Data'!EH28+'Match Data'!FG28+'Match Data'!GF28+'Match Data'!HE28+'Match Data'!ID28</f>
        <v>0</v>
      </c>
      <c r="O28" s="94">
        <f>'Match Data'!N28+'Match Data'!AM28+'Match Data'!BL28+'Match Data'!CK28+'Match Data'!DJ28+'Match Data'!EI28+'Match Data'!FH28+'Match Data'!GG28+'Match Data'!HF28+'Match Data'!IE28</f>
        <v>0</v>
      </c>
      <c r="P28" s="94">
        <f>'Match Data'!O28+'Match Data'!AN28+'Match Data'!BM28+'Match Data'!CL28+'Match Data'!DK28+'Match Data'!EJ28+'Match Data'!FI28+'Match Data'!GH28+'Match Data'!HG28+'Match Data'!IF28</f>
        <v>0</v>
      </c>
      <c r="Q28" s="94">
        <f>'Match Data'!P28+'Match Data'!AO28+'Match Data'!BN28+'Match Data'!CM28+'Match Data'!DL28+'Match Data'!EK28+'Match Data'!FJ28+'Match Data'!GI28+'Match Data'!HH28+'Match Data'!IG28</f>
        <v>0</v>
      </c>
      <c r="R28" s="94">
        <f>'Match Data'!Q28+'Match Data'!AP28+'Match Data'!BO28+'Match Data'!CN28+'Match Data'!DM28+'Match Data'!EL28+'Match Data'!FK28+'Match Data'!GJ28+'Match Data'!HI28+'Match Data'!IH28</f>
        <v>0</v>
      </c>
      <c r="S28" s="122">
        <v>0</v>
      </c>
      <c r="T28" s="122">
        <v>0</v>
      </c>
      <c r="U28" s="94">
        <f>'Match Data'!S28+'Match Data'!AR28+'Match Data'!BQ28+'Match Data'!CP28+'Match Data'!DO28+'Match Data'!EN28+'Match Data'!FM28+'Match Data'!GL28+'Match Data'!HK28+'Match Data'!IJ28</f>
        <v>0</v>
      </c>
      <c r="V28" s="95">
        <f>'Match Data'!T28+'Match Data'!AS28+'Match Data'!BR28+'Match Data'!CQ28+'Match Data'!DP28+'Match Data'!EO28+'Match Data'!FN28+'Match Data'!GM28+'Match Data'!HL28+'Match Data'!IK28</f>
        <v>0</v>
      </c>
      <c r="W28" s="94">
        <f>'Match Data'!U28+'Match Data'!AT28+'Match Data'!BS28+'Match Data'!CR28+'Match Data'!DQ28+'Match Data'!EP28+'Match Data'!FO28+'Match Data'!GN28+'Match Data'!HM28+'Match Data'!IL28</f>
        <v>0</v>
      </c>
      <c r="X28" s="94">
        <f>'Match Data'!V28+'Match Data'!AU28+'Match Data'!BT28+'Match Data'!CS28+'Match Data'!DR28+'Match Data'!EQ28+'Match Data'!FP28+'Match Data'!GO28+'Match Data'!HN28+'Match Data'!IM28</f>
        <v>0</v>
      </c>
      <c r="Y28" s="94">
        <f>'Match Data'!W28+'Match Data'!AV28+'Match Data'!BU28+'Match Data'!CT28+'Match Data'!DS28+'Match Data'!ER28+'Match Data'!FQ28+'Match Data'!GP28+'Match Data'!HO28+'Match Data'!IN28</f>
        <v>0</v>
      </c>
      <c r="Z28" s="94">
        <f>'Match Data'!X28+'Match Data'!AW28+'Match Data'!BV28+'Match Data'!CU28+'Match Data'!DT28+'Match Data'!ES28+'Match Data'!FR28+'Match Data'!GQ28+'Match Data'!HP28+'Match Data'!IO28</f>
        <v>0</v>
      </c>
      <c r="AA28" s="94">
        <f>'Match Data'!Y28+'Match Data'!AX28+'Match Data'!BW28+'Match Data'!CV28+'Match Data'!DU28+'Match Data'!ET28+'Match Data'!FS28+'Match Data'!GR28+'Match Data'!HQ28+'Match Data'!IP28</f>
        <v>0</v>
      </c>
      <c r="AB28" s="117">
        <f>'Match Data'!Z28+'Match Data'!AY28+'Match Data'!BX28+'Match Data'!CW28+'Match Data'!DV28+'Match Data'!EU28+'Match Data'!FT28+'Match Data'!GS28+'Match Data'!HR28+'Match Data'!IQ28</f>
        <v>0</v>
      </c>
      <c r="AC28" s="99">
        <f>'Alliance Data'!B27+'Alliance Data'!L27+'Alliance Data'!V27+'Alliance Data'!AF27+'Alliance Data'!AP27+'Alliance Data'!AZ27+'Alliance Data'!BJ27+'Alliance Data'!BT27+'Alliance Data'!CD27+'Alliance Data'!CN27</f>
        <v>0</v>
      </c>
      <c r="AD28" s="118">
        <f>('Alliance Data'!C27+'Alliance Data'!M27+'Alliance Data'!W27+'Alliance Data'!AG27+'Alliance Data'!AQ27+'Alliance Data'!BA27+'Alliance Data'!BK27+'Alliance Data'!BU27+'Alliance Data'!CE27+'Alliance Data'!CO27)/Value!Q26</f>
        <v>0</v>
      </c>
      <c r="AE28" s="118">
        <f>('Alliance Data'!D27+'Alliance Data'!N27+'Alliance Data'!X27+'Alliance Data'!AH27+'Alliance Data'!AR27+'Alliance Data'!BB27+'Alliance Data'!BL27+'Alliance Data'!BV27+'Alliance Data'!CF27+'Alliance Data'!CP27)/Value!Q26</f>
        <v>0</v>
      </c>
      <c r="AF28" s="118">
        <f>('Alliance Data'!E27+'Alliance Data'!O27+'Alliance Data'!Y27+'Alliance Data'!AI27+'Alliance Data'!AS27+'Alliance Data'!BC27+'Alliance Data'!BM27+'Alliance Data'!BW27+'Alliance Data'!CG27+'Alliance Data'!CQ27)/Value!Q26</f>
        <v>0</v>
      </c>
      <c r="AG28" s="118">
        <f>('Alliance Data'!F27+'Alliance Data'!P27+'Alliance Data'!Z27+'Alliance Data'!AJ27+'Alliance Data'!AT27+'Alliance Data'!BD27+'Alliance Data'!BN27+'Alliance Data'!BX27+'Alliance Data'!CH27+'Alliance Data'!CR27)/Value!Q26</f>
        <v>0</v>
      </c>
      <c r="AH28" s="118">
        <f>('Alliance Data'!G27+'Alliance Data'!Q27+'Alliance Data'!AA27+'Alliance Data'!AK27+'Alliance Data'!AU27+'Alliance Data'!BE27+'Alliance Data'!BO27+'Alliance Data'!BY27+'Alliance Data'!CI27+'Alliance Data'!CS27)/Value!Q26</f>
        <v>0</v>
      </c>
      <c r="AI28" s="118">
        <f>('Alliance Data'!H27+'Alliance Data'!R27+'Alliance Data'!AB27+'Alliance Data'!AL27+'Alliance Data'!AV27+'Alliance Data'!BF27+'Alliance Data'!BP27+'Alliance Data'!BZ27+'Alliance Data'!CJ27+'Alliance Data'!CT27)/Value!Q26</f>
        <v>0</v>
      </c>
      <c r="AJ28" s="118">
        <f>('Alliance Data'!I27+'Alliance Data'!S27+'Alliance Data'!AC27+'Alliance Data'!AM27+'Alliance Data'!AW27+'Alliance Data'!BG27+'Alliance Data'!BQ27+'Alliance Data'!CA27+'Alliance Data'!CK27+'Alliance Data'!CU27)/Value!Q26</f>
        <v>0</v>
      </c>
      <c r="AK28" s="118">
        <f>'Alliance Data'!J27+'Alliance Data'!T27+'Alliance Data'!AD27+'Alliance Data'!AN27+'Alliance Data'!AX27+'Alliance Data'!BH27+'Alliance Data'!BR27+'Alliance Data'!CB27+'Alliance Data'!CL27+'Alliance Data'!CV27</f>
        <v>0</v>
      </c>
      <c r="AL28" s="119">
        <f>'Alliance Data'!K27+'Alliance Data'!U27+'Alliance Data'!AE27+'Alliance Data'!AO27+'Alliance Data'!AY27+'Alliance Data'!BI27+'Alliance Data'!BS27+'Alliance Data'!CC27+'Alliance Data'!CM27+'Alliance Data'!CW27</f>
        <v>0</v>
      </c>
    </row>
    <row r="29" spans="1:38" x14ac:dyDescent="0.25">
      <c r="A29" s="86">
        <v>3130</v>
      </c>
      <c r="B29" s="99">
        <f>'Match Data'!B29+'Match Data'!AA29+'Match Data'!AZ29+'Match Data'!BY29+'Match Data'!CX29+'Match Data'!DW29+'Match Data'!EV29+'Match Data'!FU29+'Match Data'!GT29+'Match Data'!HS29</f>
        <v>0</v>
      </c>
      <c r="C29" s="94">
        <f>'Match Data'!C29+'Match Data'!AB29+'Match Data'!BA29+'Match Data'!BZ29+'Match Data'!CY29+'Match Data'!DX29+'Match Data'!EW29+'Match Data'!FV29+'Match Data'!GU29+'Match Data'!HT29</f>
        <v>0</v>
      </c>
      <c r="D29" s="94">
        <f>'Match Data'!D29+'Match Data'!AC29+'Match Data'!BB29+'Match Data'!CA29+'Match Data'!CZ29+'Match Data'!DY29+'Match Data'!EX29+'Match Data'!FW29+'Match Data'!GV29+'Match Data'!HU29</f>
        <v>0</v>
      </c>
      <c r="E29" s="94">
        <f>'Match Data'!E29+'Match Data'!AD29+'Match Data'!BC29+'Match Data'!CB29+'Match Data'!DA29+'Match Data'!DZ29+'Match Data'!EY29+'Match Data'!FX29+'Match Data'!GW29+'Match Data'!HV29</f>
        <v>0</v>
      </c>
      <c r="F29" s="94">
        <f>'Match Data'!F29+'Match Data'!AE29+'Match Data'!BD29+'Match Data'!CC29+'Match Data'!DB29+'Match Data'!EA29+'Match Data'!EZ29+'Match Data'!FY29+'Match Data'!GX29+'Match Data'!HW29</f>
        <v>0</v>
      </c>
      <c r="G29" s="94">
        <f>'Match Data'!G29+'Match Data'!AF29+'Match Data'!BE29+'Match Data'!CD29+'Match Data'!DC29+'Match Data'!EB29+'Match Data'!FA29+'Match Data'!FZ29+'Match Data'!GY29+'Match Data'!HX29</f>
        <v>0</v>
      </c>
      <c r="H29" s="94">
        <f>'Match Data'!H29+'Match Data'!AG29+'Match Data'!BF29+'Match Data'!CE29+'Match Data'!DD29+'Match Data'!EC29+'Match Data'!FB29+'Match Data'!GA29+'Match Data'!GZ29+'Match Data'!HY29</f>
        <v>0</v>
      </c>
      <c r="I29" s="94">
        <f>'Match Data'!I29+'Match Data'!AH29+'Match Data'!BG29+'Match Data'!CF29+'Match Data'!DE29+'Match Data'!ED29+'Match Data'!FC29+'Match Data'!GB29+'Match Data'!HA29+'Match Data'!HZ29</f>
        <v>0</v>
      </c>
      <c r="J29" s="94" t="e">
        <f>(Table5[[#This Row],[High Made]]+Table5[[#This Row],[Low Made]])/(SUM(Table5[[#This Row],[High Made]:[Low Miss]]))</f>
        <v>#DIV/0!</v>
      </c>
      <c r="K29" s="94">
        <f>'Match Data'!J29+'Match Data'!AI29+'Match Data'!BH29+'Match Data'!CG29+'Match Data'!DF29+'Match Data'!EE29+'Match Data'!FD29+'Match Data'!GC29+'Match Data'!HB29+'Match Data'!IA29</f>
        <v>0</v>
      </c>
      <c r="L29" s="94">
        <f>'Match Data'!K29+'Match Data'!AJ29+'Match Data'!BI29+'Match Data'!CH29+'Match Data'!DG29+'Match Data'!EF29+'Match Data'!FE29+'Match Data'!GD29+'Match Data'!HC29+'Match Data'!IB29</f>
        <v>0</v>
      </c>
      <c r="M29" s="94">
        <f>'Match Data'!L29+'Match Data'!AK29+'Match Data'!BJ29+'Match Data'!CI29+'Match Data'!DH29+'Match Data'!EG29+'Match Data'!FF29+'Match Data'!GE29+'Match Data'!HD29+'Match Data'!IC29</f>
        <v>0</v>
      </c>
      <c r="N29" s="94">
        <f>'Match Data'!M29+'Match Data'!AL29+'Match Data'!BK29+'Match Data'!CJ29+'Match Data'!DI29+'Match Data'!EH29+'Match Data'!FG29+'Match Data'!GF29+'Match Data'!HE29+'Match Data'!ID29</f>
        <v>0</v>
      </c>
      <c r="O29" s="94">
        <f>'Match Data'!N29+'Match Data'!AM29+'Match Data'!BL29+'Match Data'!CK29+'Match Data'!DJ29+'Match Data'!EI29+'Match Data'!FH29+'Match Data'!GG29+'Match Data'!HF29+'Match Data'!IE29</f>
        <v>0</v>
      </c>
      <c r="P29" s="94">
        <f>'Match Data'!O29+'Match Data'!AN29+'Match Data'!BM29+'Match Data'!CL29+'Match Data'!DK29+'Match Data'!EJ29+'Match Data'!FI29+'Match Data'!GH29+'Match Data'!HG29+'Match Data'!IF29</f>
        <v>0</v>
      </c>
      <c r="Q29" s="94">
        <f>'Match Data'!P29+'Match Data'!AO29+'Match Data'!BN29+'Match Data'!CM29+'Match Data'!DL29+'Match Data'!EK29+'Match Data'!FJ29+'Match Data'!GI29+'Match Data'!HH29+'Match Data'!IG29</f>
        <v>0</v>
      </c>
      <c r="R29" s="94">
        <f>'Match Data'!Q29+'Match Data'!AP29+'Match Data'!BO29+'Match Data'!CN29+'Match Data'!DM29+'Match Data'!EL29+'Match Data'!FK29+'Match Data'!GJ29+'Match Data'!HI29+'Match Data'!IH29</f>
        <v>0</v>
      </c>
      <c r="S29" s="122">
        <v>0</v>
      </c>
      <c r="T29" s="122">
        <v>0</v>
      </c>
      <c r="U29" s="94">
        <f>'Match Data'!S29+'Match Data'!AR29+'Match Data'!BQ29+'Match Data'!CP29+'Match Data'!DO29+'Match Data'!EN29+'Match Data'!FM29+'Match Data'!GL29+'Match Data'!HK29+'Match Data'!IJ29</f>
        <v>0</v>
      </c>
      <c r="V29" s="95">
        <f>'Match Data'!T29+'Match Data'!AS29+'Match Data'!BR29+'Match Data'!CQ29+'Match Data'!DP29+'Match Data'!EO29+'Match Data'!FN29+'Match Data'!GM29+'Match Data'!HL29+'Match Data'!IK29</f>
        <v>0</v>
      </c>
      <c r="W29" s="94">
        <f>'Match Data'!U29+'Match Data'!AT29+'Match Data'!BS29+'Match Data'!CR29+'Match Data'!DQ29+'Match Data'!EP29+'Match Data'!FO29+'Match Data'!GN29+'Match Data'!HM29+'Match Data'!IL29</f>
        <v>0</v>
      </c>
      <c r="X29" s="94">
        <f>'Match Data'!V29+'Match Data'!AU29+'Match Data'!BT29+'Match Data'!CS29+'Match Data'!DR29+'Match Data'!EQ29+'Match Data'!FP29+'Match Data'!GO29+'Match Data'!HN29+'Match Data'!IM29</f>
        <v>0</v>
      </c>
      <c r="Y29" s="94">
        <f>'Match Data'!W29+'Match Data'!AV29+'Match Data'!BU29+'Match Data'!CT29+'Match Data'!DS29+'Match Data'!ER29+'Match Data'!FQ29+'Match Data'!GP29+'Match Data'!HO29+'Match Data'!IN29</f>
        <v>0</v>
      </c>
      <c r="Z29" s="94">
        <f>'Match Data'!X29+'Match Data'!AW29+'Match Data'!BV29+'Match Data'!CU29+'Match Data'!DT29+'Match Data'!ES29+'Match Data'!FR29+'Match Data'!GQ29+'Match Data'!HP29+'Match Data'!IO29</f>
        <v>0</v>
      </c>
      <c r="AA29" s="94">
        <f>'Match Data'!Y29+'Match Data'!AX29+'Match Data'!BW29+'Match Data'!CV29+'Match Data'!DU29+'Match Data'!ET29+'Match Data'!FS29+'Match Data'!GR29+'Match Data'!HQ29+'Match Data'!IP29</f>
        <v>0</v>
      </c>
      <c r="AB29" s="117">
        <f>'Match Data'!Z29+'Match Data'!AY29+'Match Data'!BX29+'Match Data'!CW29+'Match Data'!DV29+'Match Data'!EU29+'Match Data'!FT29+'Match Data'!GS29+'Match Data'!HR29+'Match Data'!IQ29</f>
        <v>0</v>
      </c>
      <c r="AC29" s="99">
        <f>'Alliance Data'!B28+'Alliance Data'!L28+'Alliance Data'!V28+'Alliance Data'!AF28+'Alliance Data'!AP28+'Alliance Data'!AZ28+'Alliance Data'!BJ28+'Alliance Data'!BT28+'Alliance Data'!CD28+'Alliance Data'!CN28</f>
        <v>0</v>
      </c>
      <c r="AD29" s="118">
        <f>('Alliance Data'!C28+'Alliance Data'!M28+'Alliance Data'!W28+'Alliance Data'!AG28+'Alliance Data'!AQ28+'Alliance Data'!BA28+'Alliance Data'!BK28+'Alliance Data'!BU28+'Alliance Data'!CE28+'Alliance Data'!CO28)/Value!Q27</f>
        <v>0</v>
      </c>
      <c r="AE29" s="118">
        <f>('Alliance Data'!D28+'Alliance Data'!N28+'Alliance Data'!X28+'Alliance Data'!AH28+'Alliance Data'!AR28+'Alliance Data'!BB28+'Alliance Data'!BL28+'Alliance Data'!BV28+'Alliance Data'!CF28+'Alliance Data'!CP28)/Value!Q27</f>
        <v>0</v>
      </c>
      <c r="AF29" s="118">
        <f>('Alliance Data'!E28+'Alliance Data'!O28+'Alliance Data'!Y28+'Alliance Data'!AI28+'Alliance Data'!AS28+'Alliance Data'!BC28+'Alliance Data'!BM28+'Alliance Data'!BW28+'Alliance Data'!CG28+'Alliance Data'!CQ28)/Value!Q27</f>
        <v>0</v>
      </c>
      <c r="AG29" s="118">
        <f>('Alliance Data'!F28+'Alliance Data'!P28+'Alliance Data'!Z28+'Alliance Data'!AJ28+'Alliance Data'!AT28+'Alliance Data'!BD28+'Alliance Data'!BN28+'Alliance Data'!BX28+'Alliance Data'!CH28+'Alliance Data'!CR28)/Value!Q27</f>
        <v>0</v>
      </c>
      <c r="AH29" s="118">
        <f>('Alliance Data'!G28+'Alliance Data'!Q28+'Alliance Data'!AA28+'Alliance Data'!AK28+'Alliance Data'!AU28+'Alliance Data'!BE28+'Alliance Data'!BO28+'Alliance Data'!BY28+'Alliance Data'!CI28+'Alliance Data'!CS28)/Value!Q27</f>
        <v>0</v>
      </c>
      <c r="AI29" s="118">
        <f>('Alliance Data'!H28+'Alliance Data'!R28+'Alliance Data'!AB28+'Alliance Data'!AL28+'Alliance Data'!AV28+'Alliance Data'!BF28+'Alliance Data'!BP28+'Alliance Data'!BZ28+'Alliance Data'!CJ28+'Alliance Data'!CT28)/Value!Q27</f>
        <v>0</v>
      </c>
      <c r="AJ29" s="118">
        <f>('Alliance Data'!I28+'Alliance Data'!S28+'Alliance Data'!AC28+'Alliance Data'!AM28+'Alliance Data'!AW28+'Alliance Data'!BG28+'Alliance Data'!BQ28+'Alliance Data'!CA28+'Alliance Data'!CK28+'Alliance Data'!CU28)/Value!Q27</f>
        <v>0</v>
      </c>
      <c r="AK29" s="118">
        <f>'Alliance Data'!J28+'Alliance Data'!T28+'Alliance Data'!AD28+'Alliance Data'!AN28+'Alliance Data'!AX28+'Alliance Data'!BH28+'Alliance Data'!BR28+'Alliance Data'!CB28+'Alliance Data'!CL28+'Alliance Data'!CV28</f>
        <v>0</v>
      </c>
      <c r="AL29" s="119">
        <f>'Alliance Data'!K28+'Alliance Data'!U28+'Alliance Data'!AE28+'Alliance Data'!AO28+'Alliance Data'!AY28+'Alliance Data'!BI28+'Alliance Data'!BS28+'Alliance Data'!CC28+'Alliance Data'!CM28+'Alliance Data'!CW28</f>
        <v>0</v>
      </c>
    </row>
    <row r="30" spans="1:38" x14ac:dyDescent="0.25">
      <c r="A30" s="86">
        <v>3197</v>
      </c>
      <c r="B30" s="99">
        <f>'Match Data'!B30+'Match Data'!AA30+'Match Data'!AZ30+'Match Data'!BY30+'Match Data'!CX30+'Match Data'!DW30+'Match Data'!EV30+'Match Data'!FU30+'Match Data'!GT30+'Match Data'!HS30</f>
        <v>0</v>
      </c>
      <c r="C30" s="94">
        <f>'Match Data'!C30+'Match Data'!AB30+'Match Data'!BA30+'Match Data'!BZ30+'Match Data'!CY30+'Match Data'!DX30+'Match Data'!EW30+'Match Data'!FV30+'Match Data'!GU30+'Match Data'!HT30</f>
        <v>0</v>
      </c>
      <c r="D30" s="94">
        <f>'Match Data'!D30+'Match Data'!AC30+'Match Data'!BB30+'Match Data'!CA30+'Match Data'!CZ30+'Match Data'!DY30+'Match Data'!EX30+'Match Data'!FW30+'Match Data'!GV30+'Match Data'!HU30</f>
        <v>0</v>
      </c>
      <c r="E30" s="94">
        <f>'Match Data'!E30+'Match Data'!AD30+'Match Data'!BC30+'Match Data'!CB30+'Match Data'!DA30+'Match Data'!DZ30+'Match Data'!EY30+'Match Data'!FX30+'Match Data'!GW30+'Match Data'!HV30</f>
        <v>0</v>
      </c>
      <c r="F30" s="94">
        <f>'Match Data'!F30+'Match Data'!AE30+'Match Data'!BD30+'Match Data'!CC30+'Match Data'!DB30+'Match Data'!EA30+'Match Data'!EZ30+'Match Data'!FY30+'Match Data'!GX30+'Match Data'!HW30</f>
        <v>0</v>
      </c>
      <c r="G30" s="94">
        <f>'Match Data'!G30+'Match Data'!AF30+'Match Data'!BE30+'Match Data'!CD30+'Match Data'!DC30+'Match Data'!EB30+'Match Data'!FA30+'Match Data'!FZ30+'Match Data'!GY30+'Match Data'!HX30</f>
        <v>0</v>
      </c>
      <c r="H30" s="94">
        <f>'Match Data'!H30+'Match Data'!AG30+'Match Data'!BF30+'Match Data'!CE30+'Match Data'!DD30+'Match Data'!EC30+'Match Data'!FB30+'Match Data'!GA30+'Match Data'!GZ30+'Match Data'!HY30</f>
        <v>0</v>
      </c>
      <c r="I30" s="94">
        <f>'Match Data'!I30+'Match Data'!AH30+'Match Data'!BG30+'Match Data'!CF30+'Match Data'!DE30+'Match Data'!ED30+'Match Data'!FC30+'Match Data'!GB30+'Match Data'!HA30+'Match Data'!HZ30</f>
        <v>0</v>
      </c>
      <c r="J30" s="94" t="e">
        <f>(Table5[[#This Row],[High Made]]+Table5[[#This Row],[Low Made]])/(SUM(Table5[[#This Row],[High Made]:[Low Miss]]))</f>
        <v>#DIV/0!</v>
      </c>
      <c r="K30" s="94">
        <f>'Match Data'!J30+'Match Data'!AI30+'Match Data'!BH30+'Match Data'!CG30+'Match Data'!DF30+'Match Data'!EE30+'Match Data'!FD30+'Match Data'!GC30+'Match Data'!HB30+'Match Data'!IA30</f>
        <v>0</v>
      </c>
      <c r="L30" s="94">
        <f>'Match Data'!K30+'Match Data'!AJ30+'Match Data'!BI30+'Match Data'!CH30+'Match Data'!DG30+'Match Data'!EF30+'Match Data'!FE30+'Match Data'!GD30+'Match Data'!HC30+'Match Data'!IB30</f>
        <v>0</v>
      </c>
      <c r="M30" s="94">
        <f>'Match Data'!L30+'Match Data'!AK30+'Match Data'!BJ30+'Match Data'!CI30+'Match Data'!DH30+'Match Data'!EG30+'Match Data'!FF30+'Match Data'!GE30+'Match Data'!HD30+'Match Data'!IC30</f>
        <v>0</v>
      </c>
      <c r="N30" s="94">
        <f>'Match Data'!M30+'Match Data'!AL30+'Match Data'!BK30+'Match Data'!CJ30+'Match Data'!DI30+'Match Data'!EH30+'Match Data'!FG30+'Match Data'!GF30+'Match Data'!HE30+'Match Data'!ID30</f>
        <v>0</v>
      </c>
      <c r="O30" s="94">
        <f>'Match Data'!N30+'Match Data'!AM30+'Match Data'!BL30+'Match Data'!CK30+'Match Data'!DJ30+'Match Data'!EI30+'Match Data'!FH30+'Match Data'!GG30+'Match Data'!HF30+'Match Data'!IE30</f>
        <v>0</v>
      </c>
      <c r="P30" s="94">
        <f>'Match Data'!O30+'Match Data'!AN30+'Match Data'!BM30+'Match Data'!CL30+'Match Data'!DK30+'Match Data'!EJ30+'Match Data'!FI30+'Match Data'!GH30+'Match Data'!HG30+'Match Data'!IF30</f>
        <v>0</v>
      </c>
      <c r="Q30" s="94">
        <f>'Match Data'!P30+'Match Data'!AO30+'Match Data'!BN30+'Match Data'!CM30+'Match Data'!DL30+'Match Data'!EK30+'Match Data'!FJ30+'Match Data'!GI30+'Match Data'!HH30+'Match Data'!IG30</f>
        <v>0</v>
      </c>
      <c r="R30" s="94">
        <f>'Match Data'!Q30+'Match Data'!AP30+'Match Data'!BO30+'Match Data'!CN30+'Match Data'!DM30+'Match Data'!EL30+'Match Data'!FK30+'Match Data'!GJ30+'Match Data'!HI30+'Match Data'!IH30</f>
        <v>0</v>
      </c>
      <c r="S30" s="122">
        <v>0</v>
      </c>
      <c r="T30" s="122">
        <v>0</v>
      </c>
      <c r="U30" s="94">
        <f>'Match Data'!S30+'Match Data'!AR30+'Match Data'!BQ30+'Match Data'!CP30+'Match Data'!DO30+'Match Data'!EN30+'Match Data'!FM30+'Match Data'!GL30+'Match Data'!HK30+'Match Data'!IJ30</f>
        <v>0</v>
      </c>
      <c r="V30" s="95">
        <f>'Match Data'!T30+'Match Data'!AS30+'Match Data'!BR30+'Match Data'!CQ30+'Match Data'!DP30+'Match Data'!EO30+'Match Data'!FN30+'Match Data'!GM30+'Match Data'!HL30+'Match Data'!IK30</f>
        <v>0</v>
      </c>
      <c r="W30" s="94">
        <f>'Match Data'!U30+'Match Data'!AT30+'Match Data'!BS30+'Match Data'!CR30+'Match Data'!DQ30+'Match Data'!EP30+'Match Data'!FO30+'Match Data'!GN30+'Match Data'!HM30+'Match Data'!IL30</f>
        <v>0</v>
      </c>
      <c r="X30" s="94">
        <f>'Match Data'!V30+'Match Data'!AU30+'Match Data'!BT30+'Match Data'!CS30+'Match Data'!DR30+'Match Data'!EQ30+'Match Data'!FP30+'Match Data'!GO30+'Match Data'!HN30+'Match Data'!IM30</f>
        <v>0</v>
      </c>
      <c r="Y30" s="94">
        <f>'Match Data'!W30+'Match Data'!AV30+'Match Data'!BU30+'Match Data'!CT30+'Match Data'!DS30+'Match Data'!ER30+'Match Data'!FQ30+'Match Data'!GP30+'Match Data'!HO30+'Match Data'!IN30</f>
        <v>0</v>
      </c>
      <c r="Z30" s="94">
        <f>'Match Data'!X30+'Match Data'!AW30+'Match Data'!BV30+'Match Data'!CU30+'Match Data'!DT30+'Match Data'!ES30+'Match Data'!FR30+'Match Data'!GQ30+'Match Data'!HP30+'Match Data'!IO30</f>
        <v>0</v>
      </c>
      <c r="AA30" s="94">
        <f>'Match Data'!Y30+'Match Data'!AX30+'Match Data'!BW30+'Match Data'!CV30+'Match Data'!DU30+'Match Data'!ET30+'Match Data'!FS30+'Match Data'!GR30+'Match Data'!HQ30+'Match Data'!IP30</f>
        <v>0</v>
      </c>
      <c r="AB30" s="117">
        <f>'Match Data'!Z30+'Match Data'!AY30+'Match Data'!BX30+'Match Data'!CW30+'Match Data'!DV30+'Match Data'!EU30+'Match Data'!FT30+'Match Data'!GS30+'Match Data'!HR30+'Match Data'!IQ30</f>
        <v>0</v>
      </c>
      <c r="AC30" s="99">
        <f>'Alliance Data'!B29+'Alliance Data'!L29+'Alliance Data'!V29+'Alliance Data'!AF29+'Alliance Data'!AP29+'Alliance Data'!AZ29+'Alliance Data'!BJ29+'Alliance Data'!BT29+'Alliance Data'!CD29+'Alliance Data'!CN29</f>
        <v>0</v>
      </c>
      <c r="AD30" s="118">
        <f>('Alliance Data'!C29+'Alliance Data'!M29+'Alliance Data'!W29+'Alliance Data'!AG29+'Alliance Data'!AQ29+'Alliance Data'!BA29+'Alliance Data'!BK29+'Alliance Data'!BU29+'Alliance Data'!CE29+'Alliance Data'!CO29)/Value!Q28</f>
        <v>0</v>
      </c>
      <c r="AE30" s="118">
        <f>('Alliance Data'!D29+'Alliance Data'!N29+'Alliance Data'!X29+'Alliance Data'!AH29+'Alliance Data'!AR29+'Alliance Data'!BB29+'Alliance Data'!BL29+'Alliance Data'!BV29+'Alliance Data'!CF29+'Alliance Data'!CP29)/Value!Q28</f>
        <v>0</v>
      </c>
      <c r="AF30" s="118">
        <f>('Alliance Data'!E29+'Alliance Data'!O29+'Alliance Data'!Y29+'Alliance Data'!AI29+'Alliance Data'!AS29+'Alliance Data'!BC29+'Alliance Data'!BM29+'Alliance Data'!BW29+'Alliance Data'!CG29+'Alliance Data'!CQ29)/Value!Q28</f>
        <v>0</v>
      </c>
      <c r="AG30" s="118">
        <f>('Alliance Data'!F29+'Alliance Data'!P29+'Alliance Data'!Z29+'Alliance Data'!AJ29+'Alliance Data'!AT29+'Alliance Data'!BD29+'Alliance Data'!BN29+'Alliance Data'!BX29+'Alliance Data'!CH29+'Alliance Data'!CR29)/Value!Q28</f>
        <v>0</v>
      </c>
      <c r="AH30" s="118">
        <f>('Alliance Data'!G29+'Alliance Data'!Q29+'Alliance Data'!AA29+'Alliance Data'!AK29+'Alliance Data'!AU29+'Alliance Data'!BE29+'Alliance Data'!BO29+'Alliance Data'!BY29+'Alliance Data'!CI29+'Alliance Data'!CS29)/Value!Q28</f>
        <v>0</v>
      </c>
      <c r="AI30" s="118">
        <f>('Alliance Data'!H29+'Alliance Data'!R29+'Alliance Data'!AB29+'Alliance Data'!AL29+'Alliance Data'!AV29+'Alliance Data'!BF29+'Alliance Data'!BP29+'Alliance Data'!BZ29+'Alliance Data'!CJ29+'Alliance Data'!CT29)/Value!Q28</f>
        <v>0</v>
      </c>
      <c r="AJ30" s="118">
        <f>('Alliance Data'!I29+'Alliance Data'!S29+'Alliance Data'!AC29+'Alliance Data'!AM29+'Alliance Data'!AW29+'Alliance Data'!BG29+'Alliance Data'!BQ29+'Alliance Data'!CA29+'Alliance Data'!CK29+'Alliance Data'!CU29)/Value!Q28</f>
        <v>0</v>
      </c>
      <c r="AK30" s="118">
        <f>'Alliance Data'!J29+'Alliance Data'!T29+'Alliance Data'!AD29+'Alliance Data'!AN29+'Alliance Data'!AX29+'Alliance Data'!BH29+'Alliance Data'!BR29+'Alliance Data'!CB29+'Alliance Data'!CL29+'Alliance Data'!CV29</f>
        <v>0</v>
      </c>
      <c r="AL30" s="119">
        <f>'Alliance Data'!K29+'Alliance Data'!U29+'Alliance Data'!AE29+'Alliance Data'!AO29+'Alliance Data'!AY29+'Alliance Data'!BI29+'Alliance Data'!BS29+'Alliance Data'!CC29+'Alliance Data'!CM29+'Alliance Data'!CW29</f>
        <v>0</v>
      </c>
    </row>
    <row r="31" spans="1:38" x14ac:dyDescent="0.25">
      <c r="A31" s="86">
        <v>3206</v>
      </c>
      <c r="B31" s="99">
        <f>'Match Data'!B31+'Match Data'!AA31+'Match Data'!AZ31+'Match Data'!BY31+'Match Data'!CX31+'Match Data'!DW31+'Match Data'!EV31+'Match Data'!FU31+'Match Data'!GT31+'Match Data'!HS31</f>
        <v>0</v>
      </c>
      <c r="C31" s="94">
        <f>'Match Data'!C31+'Match Data'!AB31+'Match Data'!BA31+'Match Data'!BZ31+'Match Data'!CY31+'Match Data'!DX31+'Match Data'!EW31+'Match Data'!FV31+'Match Data'!GU31+'Match Data'!HT31</f>
        <v>0</v>
      </c>
      <c r="D31" s="94">
        <f>'Match Data'!D31+'Match Data'!AC31+'Match Data'!BB31+'Match Data'!CA31+'Match Data'!CZ31+'Match Data'!DY31+'Match Data'!EX31+'Match Data'!FW31+'Match Data'!GV31+'Match Data'!HU31</f>
        <v>0</v>
      </c>
      <c r="E31" s="94">
        <f>'Match Data'!E31+'Match Data'!AD31+'Match Data'!BC31+'Match Data'!CB31+'Match Data'!DA31+'Match Data'!DZ31+'Match Data'!EY31+'Match Data'!FX31+'Match Data'!GW31+'Match Data'!HV31</f>
        <v>0</v>
      </c>
      <c r="F31" s="94">
        <f>'Match Data'!F31+'Match Data'!AE31+'Match Data'!BD31+'Match Data'!CC31+'Match Data'!DB31+'Match Data'!EA31+'Match Data'!EZ31+'Match Data'!FY31+'Match Data'!GX31+'Match Data'!HW31</f>
        <v>0</v>
      </c>
      <c r="G31" s="94">
        <f>'Match Data'!G31+'Match Data'!AF31+'Match Data'!BE31+'Match Data'!CD31+'Match Data'!DC31+'Match Data'!EB31+'Match Data'!FA31+'Match Data'!FZ31+'Match Data'!GY31+'Match Data'!HX31</f>
        <v>0</v>
      </c>
      <c r="H31" s="94">
        <f>'Match Data'!H31+'Match Data'!AG31+'Match Data'!BF31+'Match Data'!CE31+'Match Data'!DD31+'Match Data'!EC31+'Match Data'!FB31+'Match Data'!GA31+'Match Data'!GZ31+'Match Data'!HY31</f>
        <v>0</v>
      </c>
      <c r="I31" s="94">
        <f>'Match Data'!I31+'Match Data'!AH31+'Match Data'!BG31+'Match Data'!CF31+'Match Data'!DE31+'Match Data'!ED31+'Match Data'!FC31+'Match Data'!GB31+'Match Data'!HA31+'Match Data'!HZ31</f>
        <v>0</v>
      </c>
      <c r="J31" s="94" t="e">
        <f>(Table5[[#This Row],[High Made]]+Table5[[#This Row],[Low Made]])/(SUM(Table5[[#This Row],[High Made]:[Low Miss]]))</f>
        <v>#DIV/0!</v>
      </c>
      <c r="K31" s="94">
        <f>'Match Data'!J31+'Match Data'!AI31+'Match Data'!BH31+'Match Data'!CG31+'Match Data'!DF31+'Match Data'!EE31+'Match Data'!FD31+'Match Data'!GC31+'Match Data'!HB31+'Match Data'!IA31</f>
        <v>0</v>
      </c>
      <c r="L31" s="94">
        <f>'Match Data'!K31+'Match Data'!AJ31+'Match Data'!BI31+'Match Data'!CH31+'Match Data'!DG31+'Match Data'!EF31+'Match Data'!FE31+'Match Data'!GD31+'Match Data'!HC31+'Match Data'!IB31</f>
        <v>0</v>
      </c>
      <c r="M31" s="94">
        <f>'Match Data'!L31+'Match Data'!AK31+'Match Data'!BJ31+'Match Data'!CI31+'Match Data'!DH31+'Match Data'!EG31+'Match Data'!FF31+'Match Data'!GE31+'Match Data'!HD31+'Match Data'!IC31</f>
        <v>0</v>
      </c>
      <c r="N31" s="94">
        <f>'Match Data'!M31+'Match Data'!AL31+'Match Data'!BK31+'Match Data'!CJ31+'Match Data'!DI31+'Match Data'!EH31+'Match Data'!FG31+'Match Data'!GF31+'Match Data'!HE31+'Match Data'!ID31</f>
        <v>0</v>
      </c>
      <c r="O31" s="94">
        <f>'Match Data'!N31+'Match Data'!AM31+'Match Data'!BL31+'Match Data'!CK31+'Match Data'!DJ31+'Match Data'!EI31+'Match Data'!FH31+'Match Data'!GG31+'Match Data'!HF31+'Match Data'!IE31</f>
        <v>0</v>
      </c>
      <c r="P31" s="94">
        <f>'Match Data'!O31+'Match Data'!AN31+'Match Data'!BM31+'Match Data'!CL31+'Match Data'!DK31+'Match Data'!EJ31+'Match Data'!FI31+'Match Data'!GH31+'Match Data'!HG31+'Match Data'!IF31</f>
        <v>0</v>
      </c>
      <c r="Q31" s="94">
        <f>'Match Data'!P31+'Match Data'!AO31+'Match Data'!BN31+'Match Data'!CM31+'Match Data'!DL31+'Match Data'!EK31+'Match Data'!FJ31+'Match Data'!GI31+'Match Data'!HH31+'Match Data'!IG31</f>
        <v>0</v>
      </c>
      <c r="R31" s="94">
        <f>'Match Data'!Q31+'Match Data'!AP31+'Match Data'!BO31+'Match Data'!CN31+'Match Data'!DM31+'Match Data'!EL31+'Match Data'!FK31+'Match Data'!GJ31+'Match Data'!HI31+'Match Data'!IH31</f>
        <v>0</v>
      </c>
      <c r="S31" s="122">
        <v>0</v>
      </c>
      <c r="T31" s="122">
        <v>0</v>
      </c>
      <c r="U31" s="94">
        <f>'Match Data'!S31+'Match Data'!AR31+'Match Data'!BQ31+'Match Data'!CP31+'Match Data'!DO31+'Match Data'!EN31+'Match Data'!FM31+'Match Data'!GL31+'Match Data'!HK31+'Match Data'!IJ31</f>
        <v>0</v>
      </c>
      <c r="V31" s="95">
        <f>'Match Data'!T31+'Match Data'!AS31+'Match Data'!BR31+'Match Data'!CQ31+'Match Data'!DP31+'Match Data'!EO31+'Match Data'!FN31+'Match Data'!GM31+'Match Data'!HL31+'Match Data'!IK31</f>
        <v>0</v>
      </c>
      <c r="W31" s="94">
        <f>'Match Data'!U31+'Match Data'!AT31+'Match Data'!BS31+'Match Data'!CR31+'Match Data'!DQ31+'Match Data'!EP31+'Match Data'!FO31+'Match Data'!GN31+'Match Data'!HM31+'Match Data'!IL31</f>
        <v>0</v>
      </c>
      <c r="X31" s="94">
        <f>'Match Data'!V31+'Match Data'!AU31+'Match Data'!BT31+'Match Data'!CS31+'Match Data'!DR31+'Match Data'!EQ31+'Match Data'!FP31+'Match Data'!GO31+'Match Data'!HN31+'Match Data'!IM31</f>
        <v>0</v>
      </c>
      <c r="Y31" s="94">
        <f>'Match Data'!W31+'Match Data'!AV31+'Match Data'!BU31+'Match Data'!CT31+'Match Data'!DS31+'Match Data'!ER31+'Match Data'!FQ31+'Match Data'!GP31+'Match Data'!HO31+'Match Data'!IN31</f>
        <v>0</v>
      </c>
      <c r="Z31" s="94">
        <f>'Match Data'!X31+'Match Data'!AW31+'Match Data'!BV31+'Match Data'!CU31+'Match Data'!DT31+'Match Data'!ES31+'Match Data'!FR31+'Match Data'!GQ31+'Match Data'!HP31+'Match Data'!IO31</f>
        <v>0</v>
      </c>
      <c r="AA31" s="94">
        <f>'Match Data'!Y31+'Match Data'!AX31+'Match Data'!BW31+'Match Data'!CV31+'Match Data'!DU31+'Match Data'!ET31+'Match Data'!FS31+'Match Data'!GR31+'Match Data'!HQ31+'Match Data'!IP31</f>
        <v>0</v>
      </c>
      <c r="AB31" s="117">
        <f>'Match Data'!Z31+'Match Data'!AY31+'Match Data'!BX31+'Match Data'!CW31+'Match Data'!DV31+'Match Data'!EU31+'Match Data'!FT31+'Match Data'!GS31+'Match Data'!HR31+'Match Data'!IQ31</f>
        <v>0</v>
      </c>
      <c r="AC31" s="99">
        <f>'Alliance Data'!B30+'Alliance Data'!L30+'Alliance Data'!V30+'Alliance Data'!AF30+'Alliance Data'!AP30+'Alliance Data'!AZ30+'Alliance Data'!BJ30+'Alliance Data'!BT30+'Alliance Data'!CD30+'Alliance Data'!CN30</f>
        <v>0</v>
      </c>
      <c r="AD31" s="118">
        <f>('Alliance Data'!C30+'Alliance Data'!M30+'Alliance Data'!W30+'Alliance Data'!AG30+'Alliance Data'!AQ30+'Alliance Data'!BA30+'Alliance Data'!BK30+'Alliance Data'!BU30+'Alliance Data'!CE30+'Alliance Data'!CO30)/Value!Q29</f>
        <v>0</v>
      </c>
      <c r="AE31" s="118">
        <f>('Alliance Data'!D30+'Alliance Data'!N30+'Alliance Data'!X30+'Alliance Data'!AH30+'Alliance Data'!AR30+'Alliance Data'!BB30+'Alliance Data'!BL30+'Alliance Data'!BV30+'Alliance Data'!CF30+'Alliance Data'!CP30)/Value!Q29</f>
        <v>0</v>
      </c>
      <c r="AF31" s="118">
        <f>('Alliance Data'!E30+'Alliance Data'!O30+'Alliance Data'!Y30+'Alliance Data'!AI30+'Alliance Data'!AS30+'Alliance Data'!BC30+'Alliance Data'!BM30+'Alliance Data'!BW30+'Alliance Data'!CG30+'Alliance Data'!CQ30)/Value!Q29</f>
        <v>0</v>
      </c>
      <c r="AG31" s="118">
        <f>('Alliance Data'!F30+'Alliance Data'!P30+'Alliance Data'!Z30+'Alliance Data'!AJ30+'Alliance Data'!AT30+'Alliance Data'!BD30+'Alliance Data'!BN30+'Alliance Data'!BX30+'Alliance Data'!CH30+'Alliance Data'!CR30)/Value!Q29</f>
        <v>0</v>
      </c>
      <c r="AH31" s="118">
        <f>('Alliance Data'!G30+'Alliance Data'!Q30+'Alliance Data'!AA30+'Alliance Data'!AK30+'Alliance Data'!AU30+'Alliance Data'!BE30+'Alliance Data'!BO30+'Alliance Data'!BY30+'Alliance Data'!CI30+'Alliance Data'!CS30)/Value!Q29</f>
        <v>0</v>
      </c>
      <c r="AI31" s="118">
        <f>('Alliance Data'!H30+'Alliance Data'!R30+'Alliance Data'!AB30+'Alliance Data'!AL30+'Alliance Data'!AV30+'Alliance Data'!BF30+'Alliance Data'!BP30+'Alliance Data'!BZ30+'Alliance Data'!CJ30+'Alliance Data'!CT30)/Value!Q29</f>
        <v>0</v>
      </c>
      <c r="AJ31" s="118">
        <f>('Alliance Data'!I30+'Alliance Data'!S30+'Alliance Data'!AC30+'Alliance Data'!AM30+'Alliance Data'!AW30+'Alliance Data'!BG30+'Alliance Data'!BQ30+'Alliance Data'!CA30+'Alliance Data'!CK30+'Alliance Data'!CU30)/Value!Q29</f>
        <v>0</v>
      </c>
      <c r="AK31" s="118">
        <f>'Alliance Data'!J30+'Alliance Data'!T30+'Alliance Data'!AD30+'Alliance Data'!AN30+'Alliance Data'!AX30+'Alliance Data'!BH30+'Alliance Data'!BR30+'Alliance Data'!CB30+'Alliance Data'!CL30+'Alliance Data'!CV30</f>
        <v>0</v>
      </c>
      <c r="AL31" s="119">
        <f>'Alliance Data'!K30+'Alliance Data'!U30+'Alliance Data'!AE30+'Alliance Data'!AO30+'Alliance Data'!AY30+'Alliance Data'!BI30+'Alliance Data'!BS30+'Alliance Data'!CC30+'Alliance Data'!CM30+'Alliance Data'!CW30</f>
        <v>0</v>
      </c>
    </row>
    <row r="32" spans="1:38" x14ac:dyDescent="0.25">
      <c r="A32" s="86">
        <v>3212</v>
      </c>
      <c r="B32" s="99">
        <f>'Match Data'!B32+'Match Data'!AA32+'Match Data'!AZ32+'Match Data'!BY32+'Match Data'!CX32+'Match Data'!DW32+'Match Data'!EV32+'Match Data'!FU32+'Match Data'!GT32+'Match Data'!HS32</f>
        <v>0</v>
      </c>
      <c r="C32" s="94">
        <f>'Match Data'!C32+'Match Data'!AB32+'Match Data'!BA32+'Match Data'!BZ32+'Match Data'!CY32+'Match Data'!DX32+'Match Data'!EW32+'Match Data'!FV32+'Match Data'!GU32+'Match Data'!HT32</f>
        <v>0</v>
      </c>
      <c r="D32" s="94">
        <f>'Match Data'!D32+'Match Data'!AC32+'Match Data'!BB32+'Match Data'!CA32+'Match Data'!CZ32+'Match Data'!DY32+'Match Data'!EX32+'Match Data'!FW32+'Match Data'!GV32+'Match Data'!HU32</f>
        <v>0</v>
      </c>
      <c r="E32" s="94">
        <f>'Match Data'!E32+'Match Data'!AD32+'Match Data'!BC32+'Match Data'!CB32+'Match Data'!DA32+'Match Data'!DZ32+'Match Data'!EY32+'Match Data'!FX32+'Match Data'!GW32+'Match Data'!HV32</f>
        <v>0</v>
      </c>
      <c r="F32" s="94">
        <f>'Match Data'!F32+'Match Data'!AE32+'Match Data'!BD32+'Match Data'!CC32+'Match Data'!DB32+'Match Data'!EA32+'Match Data'!EZ32+'Match Data'!FY32+'Match Data'!GX32+'Match Data'!HW32</f>
        <v>0</v>
      </c>
      <c r="G32" s="94">
        <f>'Match Data'!G32+'Match Data'!AF32+'Match Data'!BE32+'Match Data'!CD32+'Match Data'!DC32+'Match Data'!EB32+'Match Data'!FA32+'Match Data'!FZ32+'Match Data'!GY32+'Match Data'!HX32</f>
        <v>0</v>
      </c>
      <c r="H32" s="94">
        <f>'Match Data'!H32+'Match Data'!AG32+'Match Data'!BF32+'Match Data'!CE32+'Match Data'!DD32+'Match Data'!EC32+'Match Data'!FB32+'Match Data'!GA32+'Match Data'!GZ32+'Match Data'!HY32</f>
        <v>0</v>
      </c>
      <c r="I32" s="94">
        <f>'Match Data'!I32+'Match Data'!AH32+'Match Data'!BG32+'Match Data'!CF32+'Match Data'!DE32+'Match Data'!ED32+'Match Data'!FC32+'Match Data'!GB32+'Match Data'!HA32+'Match Data'!HZ32</f>
        <v>0</v>
      </c>
      <c r="J32" s="94" t="e">
        <f>(Table5[[#This Row],[High Made]]+Table5[[#This Row],[Low Made]])/(SUM(Table5[[#This Row],[High Made]:[Low Miss]]))</f>
        <v>#DIV/0!</v>
      </c>
      <c r="K32" s="94">
        <f>'Match Data'!J32+'Match Data'!AI32+'Match Data'!BH32+'Match Data'!CG32+'Match Data'!DF32+'Match Data'!EE32+'Match Data'!FD32+'Match Data'!GC32+'Match Data'!HB32+'Match Data'!IA32</f>
        <v>0</v>
      </c>
      <c r="L32" s="94">
        <f>'Match Data'!K32+'Match Data'!AJ32+'Match Data'!BI32+'Match Data'!CH32+'Match Data'!DG32+'Match Data'!EF32+'Match Data'!FE32+'Match Data'!GD32+'Match Data'!HC32+'Match Data'!IB32</f>
        <v>0</v>
      </c>
      <c r="M32" s="94">
        <f>'Match Data'!L32+'Match Data'!AK32+'Match Data'!BJ32+'Match Data'!CI32+'Match Data'!DH32+'Match Data'!EG32+'Match Data'!FF32+'Match Data'!GE32+'Match Data'!HD32+'Match Data'!IC32</f>
        <v>0</v>
      </c>
      <c r="N32" s="94">
        <f>'Match Data'!M32+'Match Data'!AL32+'Match Data'!BK32+'Match Data'!CJ32+'Match Data'!DI32+'Match Data'!EH32+'Match Data'!FG32+'Match Data'!GF32+'Match Data'!HE32+'Match Data'!ID32</f>
        <v>0</v>
      </c>
      <c r="O32" s="94">
        <f>'Match Data'!N32+'Match Data'!AM32+'Match Data'!BL32+'Match Data'!CK32+'Match Data'!DJ32+'Match Data'!EI32+'Match Data'!FH32+'Match Data'!GG32+'Match Data'!HF32+'Match Data'!IE32</f>
        <v>0</v>
      </c>
      <c r="P32" s="94">
        <f>'Match Data'!O32+'Match Data'!AN32+'Match Data'!BM32+'Match Data'!CL32+'Match Data'!DK32+'Match Data'!EJ32+'Match Data'!FI32+'Match Data'!GH32+'Match Data'!HG32+'Match Data'!IF32</f>
        <v>0</v>
      </c>
      <c r="Q32" s="94">
        <f>'Match Data'!P32+'Match Data'!AO32+'Match Data'!BN32+'Match Data'!CM32+'Match Data'!DL32+'Match Data'!EK32+'Match Data'!FJ32+'Match Data'!GI32+'Match Data'!HH32+'Match Data'!IG32</f>
        <v>0</v>
      </c>
      <c r="R32" s="94">
        <f>'Match Data'!Q32+'Match Data'!AP32+'Match Data'!BO32+'Match Data'!CN32+'Match Data'!DM32+'Match Data'!EL32+'Match Data'!FK32+'Match Data'!GJ32+'Match Data'!HI32+'Match Data'!IH32</f>
        <v>0</v>
      </c>
      <c r="S32" s="122">
        <v>0</v>
      </c>
      <c r="T32" s="122">
        <v>0</v>
      </c>
      <c r="U32" s="94">
        <f>'Match Data'!S32+'Match Data'!AR32+'Match Data'!BQ32+'Match Data'!CP32+'Match Data'!DO32+'Match Data'!EN32+'Match Data'!FM32+'Match Data'!GL32+'Match Data'!HK32+'Match Data'!IJ32</f>
        <v>0</v>
      </c>
      <c r="V32" s="95">
        <f>'Match Data'!T32+'Match Data'!AS32+'Match Data'!BR32+'Match Data'!CQ32+'Match Data'!DP32+'Match Data'!EO32+'Match Data'!FN32+'Match Data'!GM32+'Match Data'!HL32+'Match Data'!IK32</f>
        <v>0</v>
      </c>
      <c r="W32" s="94">
        <f>'Match Data'!U32+'Match Data'!AT32+'Match Data'!BS32+'Match Data'!CR32+'Match Data'!DQ32+'Match Data'!EP32+'Match Data'!FO32+'Match Data'!GN32+'Match Data'!HM32+'Match Data'!IL32</f>
        <v>0</v>
      </c>
      <c r="X32" s="94">
        <f>'Match Data'!V32+'Match Data'!AU32+'Match Data'!BT32+'Match Data'!CS32+'Match Data'!DR32+'Match Data'!EQ32+'Match Data'!FP32+'Match Data'!GO32+'Match Data'!HN32+'Match Data'!IM32</f>
        <v>0</v>
      </c>
      <c r="Y32" s="94">
        <f>'Match Data'!W32+'Match Data'!AV32+'Match Data'!BU32+'Match Data'!CT32+'Match Data'!DS32+'Match Data'!ER32+'Match Data'!FQ32+'Match Data'!GP32+'Match Data'!HO32+'Match Data'!IN32</f>
        <v>0</v>
      </c>
      <c r="Z32" s="94">
        <f>'Match Data'!X32+'Match Data'!AW32+'Match Data'!BV32+'Match Data'!CU32+'Match Data'!DT32+'Match Data'!ES32+'Match Data'!FR32+'Match Data'!GQ32+'Match Data'!HP32+'Match Data'!IO32</f>
        <v>0</v>
      </c>
      <c r="AA32" s="94">
        <f>'Match Data'!Y32+'Match Data'!AX32+'Match Data'!BW32+'Match Data'!CV32+'Match Data'!DU32+'Match Data'!ET32+'Match Data'!FS32+'Match Data'!GR32+'Match Data'!HQ32+'Match Data'!IP32</f>
        <v>0</v>
      </c>
      <c r="AB32" s="117">
        <f>'Match Data'!Z32+'Match Data'!AY32+'Match Data'!BX32+'Match Data'!CW32+'Match Data'!DV32+'Match Data'!EU32+'Match Data'!FT32+'Match Data'!GS32+'Match Data'!HR32+'Match Data'!IQ32</f>
        <v>0</v>
      </c>
      <c r="AC32" s="99">
        <f>'Alliance Data'!B31+'Alliance Data'!L31+'Alliance Data'!V31+'Alliance Data'!AF31+'Alliance Data'!AP31+'Alliance Data'!AZ31+'Alliance Data'!BJ31+'Alliance Data'!BT31+'Alliance Data'!CD31+'Alliance Data'!CN31</f>
        <v>0</v>
      </c>
      <c r="AD32" s="118">
        <f>('Alliance Data'!C31+'Alliance Data'!M31+'Alliance Data'!W31+'Alliance Data'!AG31+'Alliance Data'!AQ31+'Alliance Data'!BA31+'Alliance Data'!BK31+'Alliance Data'!BU31+'Alliance Data'!CE31+'Alliance Data'!CO31)/Value!Q30</f>
        <v>0</v>
      </c>
      <c r="AE32" s="118">
        <f>('Alliance Data'!D31+'Alliance Data'!N31+'Alliance Data'!X31+'Alliance Data'!AH31+'Alliance Data'!AR31+'Alliance Data'!BB31+'Alliance Data'!BL31+'Alliance Data'!BV31+'Alliance Data'!CF31+'Alliance Data'!CP31)/Value!Q30</f>
        <v>0</v>
      </c>
      <c r="AF32" s="118">
        <f>('Alliance Data'!E31+'Alliance Data'!O31+'Alliance Data'!Y31+'Alliance Data'!AI31+'Alliance Data'!AS31+'Alliance Data'!BC31+'Alliance Data'!BM31+'Alliance Data'!BW31+'Alliance Data'!CG31+'Alliance Data'!CQ31)/Value!Q30</f>
        <v>0</v>
      </c>
      <c r="AG32" s="118">
        <f>('Alliance Data'!F31+'Alliance Data'!P31+'Alliance Data'!Z31+'Alliance Data'!AJ31+'Alliance Data'!AT31+'Alliance Data'!BD31+'Alliance Data'!BN31+'Alliance Data'!BX31+'Alliance Data'!CH31+'Alliance Data'!CR31)/Value!Q30</f>
        <v>0</v>
      </c>
      <c r="AH32" s="118">
        <f>('Alliance Data'!G31+'Alliance Data'!Q31+'Alliance Data'!AA31+'Alliance Data'!AK31+'Alliance Data'!AU31+'Alliance Data'!BE31+'Alliance Data'!BO31+'Alliance Data'!BY31+'Alliance Data'!CI31+'Alliance Data'!CS31)/Value!Q30</f>
        <v>0</v>
      </c>
      <c r="AI32" s="118">
        <f>('Alliance Data'!H31+'Alliance Data'!R31+'Alliance Data'!AB31+'Alliance Data'!AL31+'Alliance Data'!AV31+'Alliance Data'!BF31+'Alliance Data'!BP31+'Alliance Data'!BZ31+'Alliance Data'!CJ31+'Alliance Data'!CT31)/Value!Q30</f>
        <v>0</v>
      </c>
      <c r="AJ32" s="118">
        <f>('Alliance Data'!I31+'Alliance Data'!S31+'Alliance Data'!AC31+'Alliance Data'!AM31+'Alliance Data'!AW31+'Alliance Data'!BG31+'Alliance Data'!BQ31+'Alliance Data'!CA31+'Alliance Data'!CK31+'Alliance Data'!CU31)/Value!Q30</f>
        <v>0</v>
      </c>
      <c r="AK32" s="118">
        <f>'Alliance Data'!J31+'Alliance Data'!T31+'Alliance Data'!AD31+'Alliance Data'!AN31+'Alliance Data'!AX31+'Alliance Data'!BH31+'Alliance Data'!BR31+'Alliance Data'!CB31+'Alliance Data'!CL31+'Alliance Data'!CV31</f>
        <v>0</v>
      </c>
      <c r="AL32" s="119">
        <f>'Alliance Data'!K31+'Alliance Data'!U31+'Alliance Data'!AE31+'Alliance Data'!AO31+'Alliance Data'!AY31+'Alliance Data'!BI31+'Alliance Data'!BS31+'Alliance Data'!CC31+'Alliance Data'!CM31+'Alliance Data'!CW31</f>
        <v>0</v>
      </c>
    </row>
    <row r="33" spans="1:38" x14ac:dyDescent="0.25">
      <c r="A33" s="86">
        <v>3267</v>
      </c>
      <c r="B33" s="99">
        <f>'Match Data'!B33+'Match Data'!AA33+'Match Data'!AZ33+'Match Data'!BY33+'Match Data'!CX33+'Match Data'!DW33+'Match Data'!EV33+'Match Data'!FU33+'Match Data'!GT33+'Match Data'!HS33</f>
        <v>0</v>
      </c>
      <c r="C33" s="94">
        <f>'Match Data'!C33+'Match Data'!AB33+'Match Data'!BA33+'Match Data'!BZ33+'Match Data'!CY33+'Match Data'!DX33+'Match Data'!EW33+'Match Data'!FV33+'Match Data'!GU33+'Match Data'!HT33</f>
        <v>0</v>
      </c>
      <c r="D33" s="94">
        <f>'Match Data'!D33+'Match Data'!AC33+'Match Data'!BB33+'Match Data'!CA33+'Match Data'!CZ33+'Match Data'!DY33+'Match Data'!EX33+'Match Data'!FW33+'Match Data'!GV33+'Match Data'!HU33</f>
        <v>0</v>
      </c>
      <c r="E33" s="94">
        <f>'Match Data'!E33+'Match Data'!AD33+'Match Data'!BC33+'Match Data'!CB33+'Match Data'!DA33+'Match Data'!DZ33+'Match Data'!EY33+'Match Data'!FX33+'Match Data'!GW33+'Match Data'!HV33</f>
        <v>0</v>
      </c>
      <c r="F33" s="94">
        <f>'Match Data'!F33+'Match Data'!AE33+'Match Data'!BD33+'Match Data'!CC33+'Match Data'!DB33+'Match Data'!EA33+'Match Data'!EZ33+'Match Data'!FY33+'Match Data'!GX33+'Match Data'!HW33</f>
        <v>0</v>
      </c>
      <c r="G33" s="94">
        <f>'Match Data'!G33+'Match Data'!AF33+'Match Data'!BE33+'Match Data'!CD33+'Match Data'!DC33+'Match Data'!EB33+'Match Data'!FA33+'Match Data'!FZ33+'Match Data'!GY33+'Match Data'!HX33</f>
        <v>0</v>
      </c>
      <c r="H33" s="94">
        <f>'Match Data'!H33+'Match Data'!AG33+'Match Data'!BF33+'Match Data'!CE33+'Match Data'!DD33+'Match Data'!EC33+'Match Data'!FB33+'Match Data'!GA33+'Match Data'!GZ33+'Match Data'!HY33</f>
        <v>0</v>
      </c>
      <c r="I33" s="94">
        <f>'Match Data'!I33+'Match Data'!AH33+'Match Data'!BG33+'Match Data'!CF33+'Match Data'!DE33+'Match Data'!ED33+'Match Data'!FC33+'Match Data'!GB33+'Match Data'!HA33+'Match Data'!HZ33</f>
        <v>0</v>
      </c>
      <c r="J33" s="94" t="e">
        <f>(Table5[[#This Row],[High Made]]+Table5[[#This Row],[Low Made]])/(SUM(Table5[[#This Row],[High Made]:[Low Miss]]))</f>
        <v>#DIV/0!</v>
      </c>
      <c r="K33" s="94">
        <f>'Match Data'!J33+'Match Data'!AI33+'Match Data'!BH33+'Match Data'!CG33+'Match Data'!DF33+'Match Data'!EE33+'Match Data'!FD33+'Match Data'!GC33+'Match Data'!HB33+'Match Data'!IA33</f>
        <v>0</v>
      </c>
      <c r="L33" s="94">
        <f>'Match Data'!K33+'Match Data'!AJ33+'Match Data'!BI33+'Match Data'!CH33+'Match Data'!DG33+'Match Data'!EF33+'Match Data'!FE33+'Match Data'!GD33+'Match Data'!HC33+'Match Data'!IB33</f>
        <v>0</v>
      </c>
      <c r="M33" s="94">
        <f>'Match Data'!L33+'Match Data'!AK33+'Match Data'!BJ33+'Match Data'!CI33+'Match Data'!DH33+'Match Data'!EG33+'Match Data'!FF33+'Match Data'!GE33+'Match Data'!HD33+'Match Data'!IC33</f>
        <v>0</v>
      </c>
      <c r="N33" s="94">
        <f>'Match Data'!M33+'Match Data'!AL33+'Match Data'!BK33+'Match Data'!CJ33+'Match Data'!DI33+'Match Data'!EH33+'Match Data'!FG33+'Match Data'!GF33+'Match Data'!HE33+'Match Data'!ID33</f>
        <v>0</v>
      </c>
      <c r="O33" s="94">
        <f>'Match Data'!N33+'Match Data'!AM33+'Match Data'!BL33+'Match Data'!CK33+'Match Data'!DJ33+'Match Data'!EI33+'Match Data'!FH33+'Match Data'!GG33+'Match Data'!HF33+'Match Data'!IE33</f>
        <v>0</v>
      </c>
      <c r="P33" s="94">
        <f>'Match Data'!O33+'Match Data'!AN33+'Match Data'!BM33+'Match Data'!CL33+'Match Data'!DK33+'Match Data'!EJ33+'Match Data'!FI33+'Match Data'!GH33+'Match Data'!HG33+'Match Data'!IF33</f>
        <v>0</v>
      </c>
      <c r="Q33" s="94">
        <f>'Match Data'!P33+'Match Data'!AO33+'Match Data'!BN33+'Match Data'!CM33+'Match Data'!DL33+'Match Data'!EK33+'Match Data'!FJ33+'Match Data'!GI33+'Match Data'!HH33+'Match Data'!IG33</f>
        <v>0</v>
      </c>
      <c r="R33" s="94">
        <f>'Match Data'!Q33+'Match Data'!AP33+'Match Data'!BO33+'Match Data'!CN33+'Match Data'!DM33+'Match Data'!EL33+'Match Data'!FK33+'Match Data'!GJ33+'Match Data'!HI33+'Match Data'!IH33</f>
        <v>0</v>
      </c>
      <c r="S33" s="122">
        <v>0</v>
      </c>
      <c r="T33" s="122">
        <v>0</v>
      </c>
      <c r="U33" s="94">
        <f>'Match Data'!S33+'Match Data'!AR33+'Match Data'!BQ33+'Match Data'!CP33+'Match Data'!DO33+'Match Data'!EN33+'Match Data'!FM33+'Match Data'!GL33+'Match Data'!HK33+'Match Data'!IJ33</f>
        <v>0</v>
      </c>
      <c r="V33" s="95">
        <f>'Match Data'!T33+'Match Data'!AS33+'Match Data'!BR33+'Match Data'!CQ33+'Match Data'!DP33+'Match Data'!EO33+'Match Data'!FN33+'Match Data'!GM33+'Match Data'!HL33+'Match Data'!IK33</f>
        <v>0</v>
      </c>
      <c r="W33" s="94">
        <f>'Match Data'!U33+'Match Data'!AT33+'Match Data'!BS33+'Match Data'!CR33+'Match Data'!DQ33+'Match Data'!EP33+'Match Data'!FO33+'Match Data'!GN33+'Match Data'!HM33+'Match Data'!IL33</f>
        <v>0</v>
      </c>
      <c r="X33" s="94">
        <f>'Match Data'!V33+'Match Data'!AU33+'Match Data'!BT33+'Match Data'!CS33+'Match Data'!DR33+'Match Data'!EQ33+'Match Data'!FP33+'Match Data'!GO33+'Match Data'!HN33+'Match Data'!IM33</f>
        <v>0</v>
      </c>
      <c r="Y33" s="94">
        <f>'Match Data'!W33+'Match Data'!AV33+'Match Data'!BU33+'Match Data'!CT33+'Match Data'!DS33+'Match Data'!ER33+'Match Data'!FQ33+'Match Data'!GP33+'Match Data'!HO33+'Match Data'!IN33</f>
        <v>0</v>
      </c>
      <c r="Z33" s="94">
        <f>'Match Data'!X33+'Match Data'!AW33+'Match Data'!BV33+'Match Data'!CU33+'Match Data'!DT33+'Match Data'!ES33+'Match Data'!FR33+'Match Data'!GQ33+'Match Data'!HP33+'Match Data'!IO33</f>
        <v>0</v>
      </c>
      <c r="AA33" s="94">
        <f>'Match Data'!Y33+'Match Data'!AX33+'Match Data'!BW33+'Match Data'!CV33+'Match Data'!DU33+'Match Data'!ET33+'Match Data'!FS33+'Match Data'!GR33+'Match Data'!HQ33+'Match Data'!IP33</f>
        <v>0</v>
      </c>
      <c r="AB33" s="117">
        <f>'Match Data'!Z33+'Match Data'!AY33+'Match Data'!BX33+'Match Data'!CW33+'Match Data'!DV33+'Match Data'!EU33+'Match Data'!FT33+'Match Data'!GS33+'Match Data'!HR33+'Match Data'!IQ33</f>
        <v>0</v>
      </c>
      <c r="AC33" s="99">
        <f>'Alliance Data'!B32+'Alliance Data'!L32+'Alliance Data'!V32+'Alliance Data'!AF32+'Alliance Data'!AP32+'Alliance Data'!AZ32+'Alliance Data'!BJ32+'Alliance Data'!BT32+'Alliance Data'!CD32+'Alliance Data'!CN32</f>
        <v>0</v>
      </c>
      <c r="AD33" s="118">
        <f>('Alliance Data'!C32+'Alliance Data'!M32+'Alliance Data'!W32+'Alliance Data'!AG32+'Alliance Data'!AQ32+'Alliance Data'!BA32+'Alliance Data'!BK32+'Alliance Data'!BU32+'Alliance Data'!CE32+'Alliance Data'!CO32)/Value!Q31</f>
        <v>0</v>
      </c>
      <c r="AE33" s="118">
        <f>('Alliance Data'!D32+'Alliance Data'!N32+'Alliance Data'!X32+'Alliance Data'!AH32+'Alliance Data'!AR32+'Alliance Data'!BB32+'Alliance Data'!BL32+'Alliance Data'!BV32+'Alliance Data'!CF32+'Alliance Data'!CP32)/Value!Q31</f>
        <v>0</v>
      </c>
      <c r="AF33" s="118">
        <f>('Alliance Data'!E32+'Alliance Data'!O32+'Alliance Data'!Y32+'Alliance Data'!AI32+'Alliance Data'!AS32+'Alliance Data'!BC32+'Alliance Data'!BM32+'Alliance Data'!BW32+'Alliance Data'!CG32+'Alliance Data'!CQ32)/Value!Q31</f>
        <v>0</v>
      </c>
      <c r="AG33" s="118">
        <f>('Alliance Data'!F32+'Alliance Data'!P32+'Alliance Data'!Z32+'Alliance Data'!AJ32+'Alliance Data'!AT32+'Alliance Data'!BD32+'Alliance Data'!BN32+'Alliance Data'!BX32+'Alliance Data'!CH32+'Alliance Data'!CR32)/Value!Q31</f>
        <v>0</v>
      </c>
      <c r="AH33" s="118">
        <f>('Alliance Data'!G32+'Alliance Data'!Q32+'Alliance Data'!AA32+'Alliance Data'!AK32+'Alliance Data'!AU32+'Alliance Data'!BE32+'Alliance Data'!BO32+'Alliance Data'!BY32+'Alliance Data'!CI32+'Alliance Data'!CS32)/Value!Q31</f>
        <v>0</v>
      </c>
      <c r="AI33" s="118">
        <f>('Alliance Data'!H32+'Alliance Data'!R32+'Alliance Data'!AB32+'Alliance Data'!AL32+'Alliance Data'!AV32+'Alliance Data'!BF32+'Alliance Data'!BP32+'Alliance Data'!BZ32+'Alliance Data'!CJ32+'Alliance Data'!CT32)/Value!Q31</f>
        <v>0</v>
      </c>
      <c r="AJ33" s="118">
        <f>('Alliance Data'!I32+'Alliance Data'!S32+'Alliance Data'!AC32+'Alliance Data'!AM32+'Alliance Data'!AW32+'Alliance Data'!BG32+'Alliance Data'!BQ32+'Alliance Data'!CA32+'Alliance Data'!CK32+'Alliance Data'!CU32)/Value!Q31</f>
        <v>0</v>
      </c>
      <c r="AK33" s="118">
        <f>'Alliance Data'!J32+'Alliance Data'!T32+'Alliance Data'!AD32+'Alliance Data'!AN32+'Alliance Data'!AX32+'Alliance Data'!BH32+'Alliance Data'!BR32+'Alliance Data'!CB32+'Alliance Data'!CL32+'Alliance Data'!CV32</f>
        <v>0</v>
      </c>
      <c r="AL33" s="119">
        <f>'Alliance Data'!K32+'Alliance Data'!U32+'Alliance Data'!AE32+'Alliance Data'!AO32+'Alliance Data'!AY32+'Alliance Data'!BI32+'Alliance Data'!BS32+'Alliance Data'!CC32+'Alliance Data'!CM32+'Alliance Data'!CW32</f>
        <v>0</v>
      </c>
    </row>
    <row r="34" spans="1:38" x14ac:dyDescent="0.25">
      <c r="A34" s="86">
        <v>3298</v>
      </c>
      <c r="B34" s="99">
        <f>'Match Data'!B34+'Match Data'!AA34+'Match Data'!AZ34+'Match Data'!BY34+'Match Data'!CX34+'Match Data'!DW34+'Match Data'!EV34+'Match Data'!FU34+'Match Data'!GT34+'Match Data'!HS34</f>
        <v>0</v>
      </c>
      <c r="C34" s="94">
        <f>'Match Data'!C34+'Match Data'!AB34+'Match Data'!BA34+'Match Data'!BZ34+'Match Data'!CY34+'Match Data'!DX34+'Match Data'!EW34+'Match Data'!FV34+'Match Data'!GU34+'Match Data'!HT34</f>
        <v>0</v>
      </c>
      <c r="D34" s="94">
        <f>'Match Data'!D34+'Match Data'!AC34+'Match Data'!BB34+'Match Data'!CA34+'Match Data'!CZ34+'Match Data'!DY34+'Match Data'!EX34+'Match Data'!FW34+'Match Data'!GV34+'Match Data'!HU34</f>
        <v>0</v>
      </c>
      <c r="E34" s="94">
        <f>'Match Data'!E34+'Match Data'!AD34+'Match Data'!BC34+'Match Data'!CB34+'Match Data'!DA34+'Match Data'!DZ34+'Match Data'!EY34+'Match Data'!FX34+'Match Data'!GW34+'Match Data'!HV34</f>
        <v>0</v>
      </c>
      <c r="F34" s="94">
        <f>'Match Data'!F34+'Match Data'!AE34+'Match Data'!BD34+'Match Data'!CC34+'Match Data'!DB34+'Match Data'!EA34+'Match Data'!EZ34+'Match Data'!FY34+'Match Data'!GX34+'Match Data'!HW34</f>
        <v>0</v>
      </c>
      <c r="G34" s="94">
        <f>'Match Data'!G34+'Match Data'!AF34+'Match Data'!BE34+'Match Data'!CD34+'Match Data'!DC34+'Match Data'!EB34+'Match Data'!FA34+'Match Data'!FZ34+'Match Data'!GY34+'Match Data'!HX34</f>
        <v>0</v>
      </c>
      <c r="H34" s="94">
        <f>'Match Data'!H34+'Match Data'!AG34+'Match Data'!BF34+'Match Data'!CE34+'Match Data'!DD34+'Match Data'!EC34+'Match Data'!FB34+'Match Data'!GA34+'Match Data'!GZ34+'Match Data'!HY34</f>
        <v>0</v>
      </c>
      <c r="I34" s="94">
        <f>'Match Data'!I34+'Match Data'!AH34+'Match Data'!BG34+'Match Data'!CF34+'Match Data'!DE34+'Match Data'!ED34+'Match Data'!FC34+'Match Data'!GB34+'Match Data'!HA34+'Match Data'!HZ34</f>
        <v>0</v>
      </c>
      <c r="J34" s="94" t="e">
        <f>(Table5[[#This Row],[High Made]]+Table5[[#This Row],[Low Made]])/(SUM(Table5[[#This Row],[High Made]:[Low Miss]]))</f>
        <v>#DIV/0!</v>
      </c>
      <c r="K34" s="94">
        <f>'Match Data'!J34+'Match Data'!AI34+'Match Data'!BH34+'Match Data'!CG34+'Match Data'!DF34+'Match Data'!EE34+'Match Data'!FD34+'Match Data'!GC34+'Match Data'!HB34+'Match Data'!IA34</f>
        <v>0</v>
      </c>
      <c r="L34" s="94">
        <f>'Match Data'!K34+'Match Data'!AJ34+'Match Data'!BI34+'Match Data'!CH34+'Match Data'!DG34+'Match Data'!EF34+'Match Data'!FE34+'Match Data'!GD34+'Match Data'!HC34+'Match Data'!IB34</f>
        <v>0</v>
      </c>
      <c r="M34" s="94">
        <f>'Match Data'!L34+'Match Data'!AK34+'Match Data'!BJ34+'Match Data'!CI34+'Match Data'!DH34+'Match Data'!EG34+'Match Data'!FF34+'Match Data'!GE34+'Match Data'!HD34+'Match Data'!IC34</f>
        <v>0</v>
      </c>
      <c r="N34" s="94">
        <f>'Match Data'!M34+'Match Data'!AL34+'Match Data'!BK34+'Match Data'!CJ34+'Match Data'!DI34+'Match Data'!EH34+'Match Data'!FG34+'Match Data'!GF34+'Match Data'!HE34+'Match Data'!ID34</f>
        <v>0</v>
      </c>
      <c r="O34" s="94">
        <f>'Match Data'!N34+'Match Data'!AM34+'Match Data'!BL34+'Match Data'!CK34+'Match Data'!DJ34+'Match Data'!EI34+'Match Data'!FH34+'Match Data'!GG34+'Match Data'!HF34+'Match Data'!IE34</f>
        <v>0</v>
      </c>
      <c r="P34" s="94">
        <f>'Match Data'!O34+'Match Data'!AN34+'Match Data'!BM34+'Match Data'!CL34+'Match Data'!DK34+'Match Data'!EJ34+'Match Data'!FI34+'Match Data'!GH34+'Match Data'!HG34+'Match Data'!IF34</f>
        <v>0</v>
      </c>
      <c r="Q34" s="94">
        <f>'Match Data'!P34+'Match Data'!AO34+'Match Data'!BN34+'Match Data'!CM34+'Match Data'!DL34+'Match Data'!EK34+'Match Data'!FJ34+'Match Data'!GI34+'Match Data'!HH34+'Match Data'!IG34</f>
        <v>0</v>
      </c>
      <c r="R34" s="94">
        <f>'Match Data'!Q34+'Match Data'!AP34+'Match Data'!BO34+'Match Data'!CN34+'Match Data'!DM34+'Match Data'!EL34+'Match Data'!FK34+'Match Data'!GJ34+'Match Data'!HI34+'Match Data'!IH34</f>
        <v>0</v>
      </c>
      <c r="S34" s="122">
        <v>0</v>
      </c>
      <c r="T34" s="122">
        <v>0</v>
      </c>
      <c r="U34" s="94">
        <f>'Match Data'!S34+'Match Data'!AR34+'Match Data'!BQ34+'Match Data'!CP34+'Match Data'!DO34+'Match Data'!EN34+'Match Data'!FM34+'Match Data'!GL34+'Match Data'!HK34+'Match Data'!IJ34</f>
        <v>0</v>
      </c>
      <c r="V34" s="95">
        <f>'Match Data'!T34+'Match Data'!AS34+'Match Data'!BR34+'Match Data'!CQ34+'Match Data'!DP34+'Match Data'!EO34+'Match Data'!FN34+'Match Data'!GM34+'Match Data'!HL34+'Match Data'!IK34</f>
        <v>0</v>
      </c>
      <c r="W34" s="94">
        <f>'Match Data'!U34+'Match Data'!AT34+'Match Data'!BS34+'Match Data'!CR34+'Match Data'!DQ34+'Match Data'!EP34+'Match Data'!FO34+'Match Data'!GN34+'Match Data'!HM34+'Match Data'!IL34</f>
        <v>0</v>
      </c>
      <c r="X34" s="94">
        <f>'Match Data'!V34+'Match Data'!AU34+'Match Data'!BT34+'Match Data'!CS34+'Match Data'!DR34+'Match Data'!EQ34+'Match Data'!FP34+'Match Data'!GO34+'Match Data'!HN34+'Match Data'!IM34</f>
        <v>0</v>
      </c>
      <c r="Y34" s="94">
        <f>'Match Data'!W34+'Match Data'!AV34+'Match Data'!BU34+'Match Data'!CT34+'Match Data'!DS34+'Match Data'!ER34+'Match Data'!FQ34+'Match Data'!GP34+'Match Data'!HO34+'Match Data'!IN34</f>
        <v>0</v>
      </c>
      <c r="Z34" s="94">
        <f>'Match Data'!X34+'Match Data'!AW34+'Match Data'!BV34+'Match Data'!CU34+'Match Data'!DT34+'Match Data'!ES34+'Match Data'!FR34+'Match Data'!GQ34+'Match Data'!HP34+'Match Data'!IO34</f>
        <v>0</v>
      </c>
      <c r="AA34" s="94">
        <f>'Match Data'!Y34+'Match Data'!AX34+'Match Data'!BW34+'Match Data'!CV34+'Match Data'!DU34+'Match Data'!ET34+'Match Data'!FS34+'Match Data'!GR34+'Match Data'!HQ34+'Match Data'!IP34</f>
        <v>0</v>
      </c>
      <c r="AB34" s="117">
        <f>'Match Data'!Z34+'Match Data'!AY34+'Match Data'!BX34+'Match Data'!CW34+'Match Data'!DV34+'Match Data'!EU34+'Match Data'!FT34+'Match Data'!GS34+'Match Data'!HR34+'Match Data'!IQ34</f>
        <v>0</v>
      </c>
      <c r="AC34" s="99">
        <f>'Alliance Data'!B33+'Alliance Data'!L33+'Alliance Data'!V33+'Alliance Data'!AF33+'Alliance Data'!AP33+'Alliance Data'!AZ33+'Alliance Data'!BJ33+'Alliance Data'!BT33+'Alliance Data'!CD33+'Alliance Data'!CN33</f>
        <v>0</v>
      </c>
      <c r="AD34" s="118">
        <f>('Alliance Data'!C33+'Alliance Data'!M33+'Alliance Data'!W33+'Alliance Data'!AG33+'Alliance Data'!AQ33+'Alliance Data'!BA33+'Alliance Data'!BK33+'Alliance Data'!BU33+'Alliance Data'!CE33+'Alliance Data'!CO33)/Value!Q32</f>
        <v>0</v>
      </c>
      <c r="AE34" s="118">
        <f>('Alliance Data'!D33+'Alliance Data'!N33+'Alliance Data'!X33+'Alliance Data'!AH33+'Alliance Data'!AR33+'Alliance Data'!BB33+'Alliance Data'!BL33+'Alliance Data'!BV33+'Alliance Data'!CF33+'Alliance Data'!CP33)/Value!Q32</f>
        <v>0</v>
      </c>
      <c r="AF34" s="118">
        <f>('Alliance Data'!E33+'Alliance Data'!O33+'Alliance Data'!Y33+'Alliance Data'!AI33+'Alliance Data'!AS33+'Alliance Data'!BC33+'Alliance Data'!BM33+'Alliance Data'!BW33+'Alliance Data'!CG33+'Alliance Data'!CQ33)/Value!Q32</f>
        <v>0</v>
      </c>
      <c r="AG34" s="118">
        <f>('Alliance Data'!F33+'Alliance Data'!P33+'Alliance Data'!Z33+'Alliance Data'!AJ33+'Alliance Data'!AT33+'Alliance Data'!BD33+'Alliance Data'!BN33+'Alliance Data'!BX33+'Alliance Data'!CH33+'Alliance Data'!CR33)/Value!Q32</f>
        <v>0</v>
      </c>
      <c r="AH34" s="118">
        <f>('Alliance Data'!G33+'Alliance Data'!Q33+'Alliance Data'!AA33+'Alliance Data'!AK33+'Alliance Data'!AU33+'Alliance Data'!BE33+'Alliance Data'!BO33+'Alliance Data'!BY33+'Alliance Data'!CI33+'Alliance Data'!CS33)/Value!Q32</f>
        <v>0</v>
      </c>
      <c r="AI34" s="118">
        <f>('Alliance Data'!H33+'Alliance Data'!R33+'Alliance Data'!AB33+'Alliance Data'!AL33+'Alliance Data'!AV33+'Alliance Data'!BF33+'Alliance Data'!BP33+'Alliance Data'!BZ33+'Alliance Data'!CJ33+'Alliance Data'!CT33)/Value!Q32</f>
        <v>0</v>
      </c>
      <c r="AJ34" s="118">
        <f>('Alliance Data'!I33+'Alliance Data'!S33+'Alliance Data'!AC33+'Alliance Data'!AM33+'Alliance Data'!AW33+'Alliance Data'!BG33+'Alliance Data'!BQ33+'Alliance Data'!CA33+'Alliance Data'!CK33+'Alliance Data'!CU33)/Value!Q32</f>
        <v>0</v>
      </c>
      <c r="AK34" s="118">
        <f>'Alliance Data'!J33+'Alliance Data'!T33+'Alliance Data'!AD33+'Alliance Data'!AN33+'Alliance Data'!AX33+'Alliance Data'!BH33+'Alliance Data'!BR33+'Alliance Data'!CB33+'Alliance Data'!CL33+'Alliance Data'!CV33</f>
        <v>0</v>
      </c>
      <c r="AL34" s="119">
        <f>'Alliance Data'!K33+'Alliance Data'!U33+'Alliance Data'!AE33+'Alliance Data'!AO33+'Alliance Data'!AY33+'Alliance Data'!BI33+'Alliance Data'!BS33+'Alliance Data'!CC33+'Alliance Data'!CM33+'Alliance Data'!CW33</f>
        <v>0</v>
      </c>
    </row>
    <row r="35" spans="1:38" x14ac:dyDescent="0.25">
      <c r="A35" s="86">
        <v>3381</v>
      </c>
      <c r="B35" s="99">
        <f>'Match Data'!B35+'Match Data'!AA35+'Match Data'!AZ35+'Match Data'!BY35+'Match Data'!CX35+'Match Data'!DW35+'Match Data'!EV35+'Match Data'!FU35+'Match Data'!GT35+'Match Data'!HS35</f>
        <v>0</v>
      </c>
      <c r="C35" s="94">
        <f>'Match Data'!C35+'Match Data'!AB35+'Match Data'!BA35+'Match Data'!BZ35+'Match Data'!CY35+'Match Data'!DX35+'Match Data'!EW35+'Match Data'!FV35+'Match Data'!GU35+'Match Data'!HT35</f>
        <v>0</v>
      </c>
      <c r="D35" s="94">
        <f>'Match Data'!D35+'Match Data'!AC35+'Match Data'!BB35+'Match Data'!CA35+'Match Data'!CZ35+'Match Data'!DY35+'Match Data'!EX35+'Match Data'!FW35+'Match Data'!GV35+'Match Data'!HU35</f>
        <v>0</v>
      </c>
      <c r="E35" s="94">
        <f>'Match Data'!E35+'Match Data'!AD35+'Match Data'!BC35+'Match Data'!CB35+'Match Data'!DA35+'Match Data'!DZ35+'Match Data'!EY35+'Match Data'!FX35+'Match Data'!GW35+'Match Data'!HV35</f>
        <v>0</v>
      </c>
      <c r="F35" s="94">
        <f>'Match Data'!F35+'Match Data'!AE35+'Match Data'!BD35+'Match Data'!CC35+'Match Data'!DB35+'Match Data'!EA35+'Match Data'!EZ35+'Match Data'!FY35+'Match Data'!GX35+'Match Data'!HW35</f>
        <v>0</v>
      </c>
      <c r="G35" s="94">
        <f>'Match Data'!G35+'Match Data'!AF35+'Match Data'!BE35+'Match Data'!CD35+'Match Data'!DC35+'Match Data'!EB35+'Match Data'!FA35+'Match Data'!FZ35+'Match Data'!GY35+'Match Data'!HX35</f>
        <v>0</v>
      </c>
      <c r="H35" s="94">
        <f>'Match Data'!H35+'Match Data'!AG35+'Match Data'!BF35+'Match Data'!CE35+'Match Data'!DD35+'Match Data'!EC35+'Match Data'!FB35+'Match Data'!GA35+'Match Data'!GZ35+'Match Data'!HY35</f>
        <v>0</v>
      </c>
      <c r="I35" s="94">
        <f>'Match Data'!I35+'Match Data'!AH35+'Match Data'!BG35+'Match Data'!CF35+'Match Data'!DE35+'Match Data'!ED35+'Match Data'!FC35+'Match Data'!GB35+'Match Data'!HA35+'Match Data'!HZ35</f>
        <v>0</v>
      </c>
      <c r="J35" s="94" t="e">
        <f>(Table5[[#This Row],[High Made]]+Table5[[#This Row],[Low Made]])/(SUM(Table5[[#This Row],[High Made]:[Low Miss]]))</f>
        <v>#DIV/0!</v>
      </c>
      <c r="K35" s="94">
        <f>'Match Data'!J35+'Match Data'!AI35+'Match Data'!BH35+'Match Data'!CG35+'Match Data'!DF35+'Match Data'!EE35+'Match Data'!FD35+'Match Data'!GC35+'Match Data'!HB35+'Match Data'!IA35</f>
        <v>0</v>
      </c>
      <c r="L35" s="94">
        <f>'Match Data'!K35+'Match Data'!AJ35+'Match Data'!BI35+'Match Data'!CH35+'Match Data'!DG35+'Match Data'!EF35+'Match Data'!FE35+'Match Data'!GD35+'Match Data'!HC35+'Match Data'!IB35</f>
        <v>0</v>
      </c>
      <c r="M35" s="94">
        <f>'Match Data'!L35+'Match Data'!AK35+'Match Data'!BJ35+'Match Data'!CI35+'Match Data'!DH35+'Match Data'!EG35+'Match Data'!FF35+'Match Data'!GE35+'Match Data'!HD35+'Match Data'!IC35</f>
        <v>0</v>
      </c>
      <c r="N35" s="94">
        <f>'Match Data'!M35+'Match Data'!AL35+'Match Data'!BK35+'Match Data'!CJ35+'Match Data'!DI35+'Match Data'!EH35+'Match Data'!FG35+'Match Data'!GF35+'Match Data'!HE35+'Match Data'!ID35</f>
        <v>0</v>
      </c>
      <c r="O35" s="94">
        <f>'Match Data'!N35+'Match Data'!AM35+'Match Data'!BL35+'Match Data'!CK35+'Match Data'!DJ35+'Match Data'!EI35+'Match Data'!FH35+'Match Data'!GG35+'Match Data'!HF35+'Match Data'!IE35</f>
        <v>0</v>
      </c>
      <c r="P35" s="94">
        <f>'Match Data'!O35+'Match Data'!AN35+'Match Data'!BM35+'Match Data'!CL35+'Match Data'!DK35+'Match Data'!EJ35+'Match Data'!FI35+'Match Data'!GH35+'Match Data'!HG35+'Match Data'!IF35</f>
        <v>0</v>
      </c>
      <c r="Q35" s="94">
        <f>'Match Data'!P35+'Match Data'!AO35+'Match Data'!BN35+'Match Data'!CM35+'Match Data'!DL35+'Match Data'!EK35+'Match Data'!FJ35+'Match Data'!GI35+'Match Data'!HH35+'Match Data'!IG35</f>
        <v>0</v>
      </c>
      <c r="R35" s="94">
        <f>'Match Data'!Q35+'Match Data'!AP35+'Match Data'!BO35+'Match Data'!CN35+'Match Data'!DM35+'Match Data'!EL35+'Match Data'!FK35+'Match Data'!GJ35+'Match Data'!HI35+'Match Data'!IH35</f>
        <v>0</v>
      </c>
      <c r="S35" s="122">
        <v>0</v>
      </c>
      <c r="T35" s="122">
        <v>0</v>
      </c>
      <c r="U35" s="94">
        <f>'Match Data'!S35+'Match Data'!AR35+'Match Data'!BQ35+'Match Data'!CP35+'Match Data'!DO35+'Match Data'!EN35+'Match Data'!FM35+'Match Data'!GL35+'Match Data'!HK35+'Match Data'!IJ35</f>
        <v>0</v>
      </c>
      <c r="V35" s="95">
        <f>'Match Data'!T35+'Match Data'!AS35+'Match Data'!BR35+'Match Data'!CQ35+'Match Data'!DP35+'Match Data'!EO35+'Match Data'!FN35+'Match Data'!GM35+'Match Data'!HL35+'Match Data'!IK35</f>
        <v>0</v>
      </c>
      <c r="W35" s="94">
        <f>'Match Data'!U35+'Match Data'!AT35+'Match Data'!BS35+'Match Data'!CR35+'Match Data'!DQ35+'Match Data'!EP35+'Match Data'!FO35+'Match Data'!GN35+'Match Data'!HM35+'Match Data'!IL35</f>
        <v>0</v>
      </c>
      <c r="X35" s="94">
        <f>'Match Data'!V35+'Match Data'!AU35+'Match Data'!BT35+'Match Data'!CS35+'Match Data'!DR35+'Match Data'!EQ35+'Match Data'!FP35+'Match Data'!GO35+'Match Data'!HN35+'Match Data'!IM35</f>
        <v>0</v>
      </c>
      <c r="Y35" s="94">
        <f>'Match Data'!W35+'Match Data'!AV35+'Match Data'!BU35+'Match Data'!CT35+'Match Data'!DS35+'Match Data'!ER35+'Match Data'!FQ35+'Match Data'!GP35+'Match Data'!HO35+'Match Data'!IN35</f>
        <v>0</v>
      </c>
      <c r="Z35" s="94">
        <f>'Match Data'!X35+'Match Data'!AW35+'Match Data'!BV35+'Match Data'!CU35+'Match Data'!DT35+'Match Data'!ES35+'Match Data'!FR35+'Match Data'!GQ35+'Match Data'!HP35+'Match Data'!IO35</f>
        <v>0</v>
      </c>
      <c r="AA35" s="94">
        <f>'Match Data'!Y35+'Match Data'!AX35+'Match Data'!BW35+'Match Data'!CV35+'Match Data'!DU35+'Match Data'!ET35+'Match Data'!FS35+'Match Data'!GR35+'Match Data'!HQ35+'Match Data'!IP35</f>
        <v>0</v>
      </c>
      <c r="AB35" s="117">
        <f>'Match Data'!Z35+'Match Data'!AY35+'Match Data'!BX35+'Match Data'!CW35+'Match Data'!DV35+'Match Data'!EU35+'Match Data'!FT35+'Match Data'!GS35+'Match Data'!HR35+'Match Data'!IQ35</f>
        <v>0</v>
      </c>
      <c r="AC35" s="99">
        <f>'Alliance Data'!B34+'Alliance Data'!L34+'Alliance Data'!V34+'Alliance Data'!AF34+'Alliance Data'!AP34+'Alliance Data'!AZ34+'Alliance Data'!BJ34+'Alliance Data'!BT34+'Alliance Data'!CD34+'Alliance Data'!CN34</f>
        <v>0</v>
      </c>
      <c r="AD35" s="118">
        <f>('Alliance Data'!C34+'Alliance Data'!M34+'Alliance Data'!W34+'Alliance Data'!AG34+'Alliance Data'!AQ34+'Alliance Data'!BA34+'Alliance Data'!BK34+'Alliance Data'!BU34+'Alliance Data'!CE34+'Alliance Data'!CO34)/Value!Q33</f>
        <v>0</v>
      </c>
      <c r="AE35" s="118">
        <f>('Alliance Data'!D34+'Alliance Data'!N34+'Alliance Data'!X34+'Alliance Data'!AH34+'Alliance Data'!AR34+'Alliance Data'!BB34+'Alliance Data'!BL34+'Alliance Data'!BV34+'Alliance Data'!CF34+'Alliance Data'!CP34)/Value!Q33</f>
        <v>0</v>
      </c>
      <c r="AF35" s="118">
        <f>('Alliance Data'!E34+'Alliance Data'!O34+'Alliance Data'!Y34+'Alliance Data'!AI34+'Alliance Data'!AS34+'Alliance Data'!BC34+'Alliance Data'!BM34+'Alliance Data'!BW34+'Alliance Data'!CG34+'Alliance Data'!CQ34)/Value!Q33</f>
        <v>0</v>
      </c>
      <c r="AG35" s="118">
        <f>('Alliance Data'!F34+'Alliance Data'!P34+'Alliance Data'!Z34+'Alliance Data'!AJ34+'Alliance Data'!AT34+'Alliance Data'!BD34+'Alliance Data'!BN34+'Alliance Data'!BX34+'Alliance Data'!CH34+'Alliance Data'!CR34)/Value!Q33</f>
        <v>0</v>
      </c>
      <c r="AH35" s="118">
        <f>('Alliance Data'!G34+'Alliance Data'!Q34+'Alliance Data'!AA34+'Alliance Data'!AK34+'Alliance Data'!AU34+'Alliance Data'!BE34+'Alliance Data'!BO34+'Alliance Data'!BY34+'Alliance Data'!CI34+'Alliance Data'!CS34)/Value!Q33</f>
        <v>0</v>
      </c>
      <c r="AI35" s="118">
        <f>('Alliance Data'!H34+'Alliance Data'!R34+'Alliance Data'!AB34+'Alliance Data'!AL34+'Alliance Data'!AV34+'Alliance Data'!BF34+'Alliance Data'!BP34+'Alliance Data'!BZ34+'Alliance Data'!CJ34+'Alliance Data'!CT34)/Value!Q33</f>
        <v>0</v>
      </c>
      <c r="AJ35" s="118">
        <f>('Alliance Data'!I34+'Alliance Data'!S34+'Alliance Data'!AC34+'Alliance Data'!AM34+'Alliance Data'!AW34+'Alliance Data'!BG34+'Alliance Data'!BQ34+'Alliance Data'!CA34+'Alliance Data'!CK34+'Alliance Data'!CU34)/Value!Q33</f>
        <v>0</v>
      </c>
      <c r="AK35" s="118">
        <f>'Alliance Data'!J34+'Alliance Data'!T34+'Alliance Data'!AD34+'Alliance Data'!AN34+'Alliance Data'!AX34+'Alliance Data'!BH34+'Alliance Data'!BR34+'Alliance Data'!CB34+'Alliance Data'!CL34+'Alliance Data'!CV34</f>
        <v>0</v>
      </c>
      <c r="AL35" s="119">
        <f>'Alliance Data'!K34+'Alliance Data'!U34+'Alliance Data'!AE34+'Alliance Data'!AO34+'Alliance Data'!AY34+'Alliance Data'!BI34+'Alliance Data'!BS34+'Alliance Data'!CC34+'Alliance Data'!CM34+'Alliance Data'!CW34</f>
        <v>0</v>
      </c>
    </row>
    <row r="36" spans="1:38" x14ac:dyDescent="0.25">
      <c r="A36" s="86">
        <v>3723</v>
      </c>
      <c r="B36" s="99">
        <f>'Match Data'!B36+'Match Data'!AA36+'Match Data'!AZ36+'Match Data'!BY36+'Match Data'!CX36+'Match Data'!DW36+'Match Data'!EV36+'Match Data'!FU36+'Match Data'!GT36+'Match Data'!HS36</f>
        <v>0</v>
      </c>
      <c r="C36" s="94">
        <f>'Match Data'!C36+'Match Data'!AB36+'Match Data'!BA36+'Match Data'!BZ36+'Match Data'!CY36+'Match Data'!DX36+'Match Data'!EW36+'Match Data'!FV36+'Match Data'!GU36+'Match Data'!HT36</f>
        <v>0</v>
      </c>
      <c r="D36" s="94">
        <f>'Match Data'!D36+'Match Data'!AC36+'Match Data'!BB36+'Match Data'!CA36+'Match Data'!CZ36+'Match Data'!DY36+'Match Data'!EX36+'Match Data'!FW36+'Match Data'!GV36+'Match Data'!HU36</f>
        <v>0</v>
      </c>
      <c r="E36" s="94">
        <f>'Match Data'!E36+'Match Data'!AD36+'Match Data'!BC36+'Match Data'!CB36+'Match Data'!DA36+'Match Data'!DZ36+'Match Data'!EY36+'Match Data'!FX36+'Match Data'!GW36+'Match Data'!HV36</f>
        <v>0</v>
      </c>
      <c r="F36" s="94">
        <f>'Match Data'!F36+'Match Data'!AE36+'Match Data'!BD36+'Match Data'!CC36+'Match Data'!DB36+'Match Data'!EA36+'Match Data'!EZ36+'Match Data'!FY36+'Match Data'!GX36+'Match Data'!HW36</f>
        <v>0</v>
      </c>
      <c r="G36" s="94">
        <f>'Match Data'!G36+'Match Data'!AF36+'Match Data'!BE36+'Match Data'!CD36+'Match Data'!DC36+'Match Data'!EB36+'Match Data'!FA36+'Match Data'!FZ36+'Match Data'!GY36+'Match Data'!HX36</f>
        <v>0</v>
      </c>
      <c r="H36" s="94">
        <f>'Match Data'!H36+'Match Data'!AG36+'Match Data'!BF36+'Match Data'!CE36+'Match Data'!DD36+'Match Data'!EC36+'Match Data'!FB36+'Match Data'!GA36+'Match Data'!GZ36+'Match Data'!HY36</f>
        <v>0</v>
      </c>
      <c r="I36" s="94">
        <f>'Match Data'!I36+'Match Data'!AH36+'Match Data'!BG36+'Match Data'!CF36+'Match Data'!DE36+'Match Data'!ED36+'Match Data'!FC36+'Match Data'!GB36+'Match Data'!HA36+'Match Data'!HZ36</f>
        <v>0</v>
      </c>
      <c r="J36" s="94" t="e">
        <f>(Table5[[#This Row],[High Made]]+Table5[[#This Row],[Low Made]])/(SUM(Table5[[#This Row],[High Made]:[Low Miss]]))</f>
        <v>#DIV/0!</v>
      </c>
      <c r="K36" s="94">
        <f>'Match Data'!J36+'Match Data'!AI36+'Match Data'!BH36+'Match Data'!CG36+'Match Data'!DF36+'Match Data'!EE36+'Match Data'!FD36+'Match Data'!GC36+'Match Data'!HB36+'Match Data'!IA36</f>
        <v>0</v>
      </c>
      <c r="L36" s="94">
        <f>'Match Data'!K36+'Match Data'!AJ36+'Match Data'!BI36+'Match Data'!CH36+'Match Data'!DG36+'Match Data'!EF36+'Match Data'!FE36+'Match Data'!GD36+'Match Data'!HC36+'Match Data'!IB36</f>
        <v>0</v>
      </c>
      <c r="M36" s="94">
        <f>'Match Data'!L36+'Match Data'!AK36+'Match Data'!BJ36+'Match Data'!CI36+'Match Data'!DH36+'Match Data'!EG36+'Match Data'!FF36+'Match Data'!GE36+'Match Data'!HD36+'Match Data'!IC36</f>
        <v>0</v>
      </c>
      <c r="N36" s="94">
        <f>'Match Data'!M36+'Match Data'!AL36+'Match Data'!BK36+'Match Data'!CJ36+'Match Data'!DI36+'Match Data'!EH36+'Match Data'!FG36+'Match Data'!GF36+'Match Data'!HE36+'Match Data'!ID36</f>
        <v>0</v>
      </c>
      <c r="O36" s="94">
        <f>'Match Data'!N36+'Match Data'!AM36+'Match Data'!BL36+'Match Data'!CK36+'Match Data'!DJ36+'Match Data'!EI36+'Match Data'!FH36+'Match Data'!GG36+'Match Data'!HF36+'Match Data'!IE36</f>
        <v>0</v>
      </c>
      <c r="P36" s="94">
        <f>'Match Data'!O36+'Match Data'!AN36+'Match Data'!BM36+'Match Data'!CL36+'Match Data'!DK36+'Match Data'!EJ36+'Match Data'!FI36+'Match Data'!GH36+'Match Data'!HG36+'Match Data'!IF36</f>
        <v>0</v>
      </c>
      <c r="Q36" s="94">
        <f>'Match Data'!P36+'Match Data'!AO36+'Match Data'!BN36+'Match Data'!CM36+'Match Data'!DL36+'Match Data'!EK36+'Match Data'!FJ36+'Match Data'!GI36+'Match Data'!HH36+'Match Data'!IG36</f>
        <v>0</v>
      </c>
      <c r="R36" s="94">
        <f>'Match Data'!Q36+'Match Data'!AP36+'Match Data'!BO36+'Match Data'!CN36+'Match Data'!DM36+'Match Data'!EL36+'Match Data'!FK36+'Match Data'!GJ36+'Match Data'!HI36+'Match Data'!IH36</f>
        <v>0</v>
      </c>
      <c r="S36" s="94">
        <v>0</v>
      </c>
      <c r="T36" s="94">
        <v>0</v>
      </c>
      <c r="U36" s="94">
        <f>'Match Data'!S36+'Match Data'!AR36+'Match Data'!BQ36+'Match Data'!CP36+'Match Data'!DO36+'Match Data'!EN36+'Match Data'!FM36+'Match Data'!GL36+'Match Data'!HK36+'Match Data'!IJ36</f>
        <v>0</v>
      </c>
      <c r="V36" s="95">
        <f>'Match Data'!T36+'Match Data'!AS36+'Match Data'!BR36+'Match Data'!CQ36+'Match Data'!DP36+'Match Data'!EO36+'Match Data'!FN36+'Match Data'!GM36+'Match Data'!HL36+'Match Data'!IK36</f>
        <v>0</v>
      </c>
      <c r="W36" s="94">
        <f>'Match Data'!U36+'Match Data'!AT36+'Match Data'!BS36+'Match Data'!CR36+'Match Data'!DQ36+'Match Data'!EP36+'Match Data'!FO36+'Match Data'!GN36+'Match Data'!HM36+'Match Data'!IL36</f>
        <v>0</v>
      </c>
      <c r="X36" s="94">
        <f>'Match Data'!V36+'Match Data'!AU36+'Match Data'!BT36+'Match Data'!CS36+'Match Data'!DR36+'Match Data'!EQ36+'Match Data'!FP36+'Match Data'!GO36+'Match Data'!HN36+'Match Data'!IM36</f>
        <v>0</v>
      </c>
      <c r="Y36" s="94">
        <f>'Match Data'!W36+'Match Data'!AV36+'Match Data'!BU36+'Match Data'!CT36+'Match Data'!DS36+'Match Data'!ER36+'Match Data'!FQ36+'Match Data'!GP36+'Match Data'!HO36+'Match Data'!IN36</f>
        <v>0</v>
      </c>
      <c r="Z36" s="94">
        <f>'Match Data'!X36+'Match Data'!AW36+'Match Data'!BV36+'Match Data'!CU36+'Match Data'!DT36+'Match Data'!ES36+'Match Data'!FR36+'Match Data'!GQ36+'Match Data'!HP36+'Match Data'!IO36</f>
        <v>0</v>
      </c>
      <c r="AA36" s="94">
        <f>'Match Data'!Y36+'Match Data'!AX36+'Match Data'!BW36+'Match Data'!CV36+'Match Data'!DU36+'Match Data'!ET36+'Match Data'!FS36+'Match Data'!GR36+'Match Data'!HQ36+'Match Data'!IP36</f>
        <v>0</v>
      </c>
      <c r="AB36" s="117">
        <f>'Match Data'!Z36+'Match Data'!AY36+'Match Data'!BX36+'Match Data'!CW36+'Match Data'!DV36+'Match Data'!EU36+'Match Data'!FT36+'Match Data'!GS36+'Match Data'!HR36+'Match Data'!IQ36</f>
        <v>0</v>
      </c>
      <c r="AC36" s="99">
        <f>'Alliance Data'!B35+'Alliance Data'!L35+'Alliance Data'!V35+'Alliance Data'!AF35+'Alliance Data'!AP35+'Alliance Data'!AZ35+'Alliance Data'!BJ35+'Alliance Data'!BT35+'Alliance Data'!CD35+'Alliance Data'!CN35</f>
        <v>0</v>
      </c>
      <c r="AD36" s="118">
        <f>('Alliance Data'!C35+'Alliance Data'!M35+'Alliance Data'!W35+'Alliance Data'!AG35+'Alliance Data'!AQ35+'Alliance Data'!BA35+'Alliance Data'!BK35+'Alliance Data'!BU35+'Alliance Data'!CE35+'Alliance Data'!CO35)/Value!Q34</f>
        <v>0</v>
      </c>
      <c r="AE36" s="118">
        <f>('Alliance Data'!D35+'Alliance Data'!N35+'Alliance Data'!X35+'Alliance Data'!AH35+'Alliance Data'!AR35+'Alliance Data'!BB35+'Alliance Data'!BL35+'Alliance Data'!BV35+'Alliance Data'!CF35+'Alliance Data'!CP35)/Value!Q34</f>
        <v>0</v>
      </c>
      <c r="AF36" s="118">
        <f>('Alliance Data'!E35+'Alliance Data'!O35+'Alliance Data'!Y35+'Alliance Data'!AI35+'Alliance Data'!AS35+'Alliance Data'!BC35+'Alliance Data'!BM35+'Alliance Data'!BW35+'Alliance Data'!CG35+'Alliance Data'!CQ35)/Value!Q34</f>
        <v>0</v>
      </c>
      <c r="AG36" s="118">
        <f>('Alliance Data'!F35+'Alliance Data'!P35+'Alliance Data'!Z35+'Alliance Data'!AJ35+'Alliance Data'!AT35+'Alliance Data'!BD35+'Alliance Data'!BN35+'Alliance Data'!BX35+'Alliance Data'!CH35+'Alliance Data'!CR35)/Value!Q34</f>
        <v>0</v>
      </c>
      <c r="AH36" s="118">
        <f>('Alliance Data'!G35+'Alliance Data'!Q35+'Alliance Data'!AA35+'Alliance Data'!AK35+'Alliance Data'!AU35+'Alliance Data'!BE35+'Alliance Data'!BO35+'Alliance Data'!BY35+'Alliance Data'!CI35+'Alliance Data'!CS35)/Value!Q34</f>
        <v>0</v>
      </c>
      <c r="AI36" s="118">
        <f>('Alliance Data'!H35+'Alliance Data'!R35+'Alliance Data'!AB35+'Alliance Data'!AL35+'Alliance Data'!AV35+'Alliance Data'!BF35+'Alliance Data'!BP35+'Alliance Data'!BZ35+'Alliance Data'!CJ35+'Alliance Data'!CT35)/Value!Q34</f>
        <v>0</v>
      </c>
      <c r="AJ36" s="118">
        <f>('Alliance Data'!I35+'Alliance Data'!S35+'Alliance Data'!AC35+'Alliance Data'!AM35+'Alliance Data'!AW35+'Alliance Data'!BG35+'Alliance Data'!BQ35+'Alliance Data'!CA35+'Alliance Data'!CK35+'Alliance Data'!CU35)/Value!Q34</f>
        <v>0</v>
      </c>
      <c r="AK36" s="118">
        <f>'Alliance Data'!J35+'Alliance Data'!T35+'Alliance Data'!AD35+'Alliance Data'!AN35+'Alliance Data'!AX35+'Alliance Data'!BH35+'Alliance Data'!BR35+'Alliance Data'!CB35+'Alliance Data'!CL35+'Alliance Data'!CV35</f>
        <v>0</v>
      </c>
      <c r="AL36" s="119">
        <f>'Alliance Data'!K35+'Alliance Data'!U35+'Alliance Data'!AE35+'Alliance Data'!AO35+'Alliance Data'!AY35+'Alliance Data'!BI35+'Alliance Data'!BS35+'Alliance Data'!CC35+'Alliance Data'!CM35+'Alliance Data'!CW35</f>
        <v>0</v>
      </c>
    </row>
    <row r="37" spans="1:38" x14ac:dyDescent="0.25">
      <c r="A37" s="86">
        <v>3750</v>
      </c>
      <c r="B37" s="99">
        <f>'Match Data'!B37+'Match Data'!AA37+'Match Data'!AZ37+'Match Data'!BY37+'Match Data'!CX37+'Match Data'!DW37+'Match Data'!EV37+'Match Data'!FU37+'Match Data'!GT37+'Match Data'!HS37</f>
        <v>0</v>
      </c>
      <c r="C37" s="94">
        <f>'Match Data'!C37+'Match Data'!AB37+'Match Data'!BA37+'Match Data'!BZ37+'Match Data'!CY37+'Match Data'!DX37+'Match Data'!EW37+'Match Data'!FV37+'Match Data'!GU37+'Match Data'!HT37</f>
        <v>0</v>
      </c>
      <c r="D37" s="94">
        <f>'Match Data'!D37+'Match Data'!AC37+'Match Data'!BB37+'Match Data'!CA37+'Match Data'!CZ37+'Match Data'!DY37+'Match Data'!EX37+'Match Data'!FW37+'Match Data'!GV37+'Match Data'!HU37</f>
        <v>0</v>
      </c>
      <c r="E37" s="94">
        <f>'Match Data'!E37+'Match Data'!AD37+'Match Data'!BC37+'Match Data'!CB37+'Match Data'!DA37+'Match Data'!DZ37+'Match Data'!EY37+'Match Data'!FX37+'Match Data'!GW37+'Match Data'!HV37</f>
        <v>0</v>
      </c>
      <c r="F37" s="94">
        <f>'Match Data'!F37+'Match Data'!AE37+'Match Data'!BD37+'Match Data'!CC37+'Match Data'!DB37+'Match Data'!EA37+'Match Data'!EZ37+'Match Data'!FY37+'Match Data'!GX37+'Match Data'!HW37</f>
        <v>0</v>
      </c>
      <c r="G37" s="94">
        <f>'Match Data'!G37+'Match Data'!AF37+'Match Data'!BE37+'Match Data'!CD37+'Match Data'!DC37+'Match Data'!EB37+'Match Data'!FA37+'Match Data'!FZ37+'Match Data'!GY37+'Match Data'!HX37</f>
        <v>0</v>
      </c>
      <c r="H37" s="94">
        <f>'Match Data'!H37+'Match Data'!AG37+'Match Data'!BF37+'Match Data'!CE37+'Match Data'!DD37+'Match Data'!EC37+'Match Data'!FB37+'Match Data'!GA37+'Match Data'!GZ37+'Match Data'!HY37</f>
        <v>0</v>
      </c>
      <c r="I37" s="94">
        <f>'Match Data'!I37+'Match Data'!AH37+'Match Data'!BG37+'Match Data'!CF37+'Match Data'!DE37+'Match Data'!ED37+'Match Data'!FC37+'Match Data'!GB37+'Match Data'!HA37+'Match Data'!HZ37</f>
        <v>0</v>
      </c>
      <c r="J37" s="94" t="e">
        <f>(Table5[[#This Row],[High Made]]+Table5[[#This Row],[Low Made]])/(SUM(Table5[[#This Row],[High Made]:[Low Miss]]))</f>
        <v>#DIV/0!</v>
      </c>
      <c r="K37" s="94">
        <f>'Match Data'!J37+'Match Data'!AI37+'Match Data'!BH37+'Match Data'!CG37+'Match Data'!DF37+'Match Data'!EE37+'Match Data'!FD37+'Match Data'!GC37+'Match Data'!HB37+'Match Data'!IA37</f>
        <v>0</v>
      </c>
      <c r="L37" s="94">
        <f>'Match Data'!K37+'Match Data'!AJ37+'Match Data'!BI37+'Match Data'!CH37+'Match Data'!DG37+'Match Data'!EF37+'Match Data'!FE37+'Match Data'!GD37+'Match Data'!HC37+'Match Data'!IB37</f>
        <v>0</v>
      </c>
      <c r="M37" s="94">
        <f>'Match Data'!L37+'Match Data'!AK37+'Match Data'!BJ37+'Match Data'!CI37+'Match Data'!DH37+'Match Data'!EG37+'Match Data'!FF37+'Match Data'!GE37+'Match Data'!HD37+'Match Data'!IC37</f>
        <v>0</v>
      </c>
      <c r="N37" s="94">
        <f>'Match Data'!M37+'Match Data'!AL37+'Match Data'!BK37+'Match Data'!CJ37+'Match Data'!DI37+'Match Data'!EH37+'Match Data'!FG37+'Match Data'!GF37+'Match Data'!HE37+'Match Data'!ID37</f>
        <v>0</v>
      </c>
      <c r="O37" s="94">
        <f>'Match Data'!N37+'Match Data'!AM37+'Match Data'!BL37+'Match Data'!CK37+'Match Data'!DJ37+'Match Data'!EI37+'Match Data'!FH37+'Match Data'!GG37+'Match Data'!HF37+'Match Data'!IE37</f>
        <v>0</v>
      </c>
      <c r="P37" s="94">
        <f>'Match Data'!O37+'Match Data'!AN37+'Match Data'!BM37+'Match Data'!CL37+'Match Data'!DK37+'Match Data'!EJ37+'Match Data'!FI37+'Match Data'!GH37+'Match Data'!HG37+'Match Data'!IF37</f>
        <v>0</v>
      </c>
      <c r="Q37" s="94">
        <f>'Match Data'!P37+'Match Data'!AO37+'Match Data'!BN37+'Match Data'!CM37+'Match Data'!DL37+'Match Data'!EK37+'Match Data'!FJ37+'Match Data'!GI37+'Match Data'!HH37+'Match Data'!IG37</f>
        <v>0</v>
      </c>
      <c r="R37" s="94">
        <f>'Match Data'!Q37+'Match Data'!AP37+'Match Data'!BO37+'Match Data'!CN37+'Match Data'!DM37+'Match Data'!EL37+'Match Data'!FK37+'Match Data'!GJ37+'Match Data'!HI37+'Match Data'!IH37</f>
        <v>0</v>
      </c>
      <c r="S37" s="94">
        <v>0</v>
      </c>
      <c r="T37" s="94">
        <v>0</v>
      </c>
      <c r="U37" s="94">
        <f>'Match Data'!S37+'Match Data'!AR37+'Match Data'!BQ37+'Match Data'!CP37+'Match Data'!DO37+'Match Data'!EN37+'Match Data'!FM37+'Match Data'!GL37+'Match Data'!HK37+'Match Data'!IJ37</f>
        <v>0</v>
      </c>
      <c r="V37" s="95">
        <f>'Match Data'!T37+'Match Data'!AS37+'Match Data'!BR37+'Match Data'!CQ37+'Match Data'!DP37+'Match Data'!EO37+'Match Data'!FN37+'Match Data'!GM37+'Match Data'!HL37+'Match Data'!IK37</f>
        <v>0</v>
      </c>
      <c r="W37" s="94">
        <f>'Match Data'!U37+'Match Data'!AT37+'Match Data'!BS37+'Match Data'!CR37+'Match Data'!DQ37+'Match Data'!EP37+'Match Data'!FO37+'Match Data'!GN37+'Match Data'!HM37+'Match Data'!IL37</f>
        <v>0</v>
      </c>
      <c r="X37" s="94">
        <f>'Match Data'!V37+'Match Data'!AU37+'Match Data'!BT37+'Match Data'!CS37+'Match Data'!DR37+'Match Data'!EQ37+'Match Data'!FP37+'Match Data'!GO37+'Match Data'!HN37+'Match Data'!IM37</f>
        <v>0</v>
      </c>
      <c r="Y37" s="94">
        <f>'Match Data'!W37+'Match Data'!AV37+'Match Data'!BU37+'Match Data'!CT37+'Match Data'!DS37+'Match Data'!ER37+'Match Data'!FQ37+'Match Data'!GP37+'Match Data'!HO37+'Match Data'!IN37</f>
        <v>0</v>
      </c>
      <c r="Z37" s="94">
        <f>'Match Data'!X37+'Match Data'!AW37+'Match Data'!BV37+'Match Data'!CU37+'Match Data'!DT37+'Match Data'!ES37+'Match Data'!FR37+'Match Data'!GQ37+'Match Data'!HP37+'Match Data'!IO37</f>
        <v>0</v>
      </c>
      <c r="AA37" s="94">
        <f>'Match Data'!Y37+'Match Data'!AX37+'Match Data'!BW37+'Match Data'!CV37+'Match Data'!DU37+'Match Data'!ET37+'Match Data'!FS37+'Match Data'!GR37+'Match Data'!HQ37+'Match Data'!IP37</f>
        <v>0</v>
      </c>
      <c r="AB37" s="117">
        <f>'Match Data'!Z37+'Match Data'!AY37+'Match Data'!BX37+'Match Data'!CW37+'Match Data'!DV37+'Match Data'!EU37+'Match Data'!FT37+'Match Data'!GS37+'Match Data'!HR37+'Match Data'!IQ37</f>
        <v>0</v>
      </c>
      <c r="AC37" s="99">
        <f>'Alliance Data'!B36+'Alliance Data'!L36+'Alliance Data'!V36+'Alliance Data'!AF36+'Alliance Data'!AP36+'Alliance Data'!AZ36+'Alliance Data'!BJ36+'Alliance Data'!BT36+'Alliance Data'!CD36+'Alliance Data'!CN36</f>
        <v>0</v>
      </c>
      <c r="AD37" s="118">
        <f>('Alliance Data'!C36+'Alliance Data'!M36+'Alliance Data'!W36+'Alliance Data'!AG36+'Alliance Data'!AQ36+'Alliance Data'!BA36+'Alliance Data'!BK36+'Alliance Data'!BU36+'Alliance Data'!CE36+'Alliance Data'!CO36)/Value!Q35</f>
        <v>0</v>
      </c>
      <c r="AE37" s="118">
        <f>('Alliance Data'!D36+'Alliance Data'!N36+'Alliance Data'!X36+'Alliance Data'!AH36+'Alliance Data'!AR36+'Alliance Data'!BB36+'Alliance Data'!BL36+'Alliance Data'!BV36+'Alliance Data'!CF36+'Alliance Data'!CP36)/Value!Q35</f>
        <v>0</v>
      </c>
      <c r="AF37" s="118">
        <f>('Alliance Data'!E36+'Alliance Data'!O36+'Alliance Data'!Y36+'Alliance Data'!AI36+'Alliance Data'!AS36+'Alliance Data'!BC36+'Alliance Data'!BM36+'Alliance Data'!BW36+'Alliance Data'!CG36+'Alliance Data'!CQ36)/Value!Q35</f>
        <v>0</v>
      </c>
      <c r="AG37" s="118">
        <f>('Alliance Data'!F36+'Alliance Data'!P36+'Alliance Data'!Z36+'Alliance Data'!AJ36+'Alliance Data'!AT36+'Alliance Data'!BD36+'Alliance Data'!BN36+'Alliance Data'!BX36+'Alliance Data'!CH36+'Alliance Data'!CR36)/Value!Q35</f>
        <v>0</v>
      </c>
      <c r="AH37" s="118">
        <f>('Alliance Data'!G36+'Alliance Data'!Q36+'Alliance Data'!AA36+'Alliance Data'!AK36+'Alliance Data'!AU36+'Alliance Data'!BE36+'Alliance Data'!BO36+'Alliance Data'!BY36+'Alliance Data'!CI36+'Alliance Data'!CS36)/Value!Q35</f>
        <v>0</v>
      </c>
      <c r="AI37" s="118">
        <f>('Alliance Data'!H36+'Alliance Data'!R36+'Alliance Data'!AB36+'Alliance Data'!AL36+'Alliance Data'!AV36+'Alliance Data'!BF36+'Alliance Data'!BP36+'Alliance Data'!BZ36+'Alliance Data'!CJ36+'Alliance Data'!CT36)/Value!Q35</f>
        <v>0</v>
      </c>
      <c r="AJ37" s="118">
        <f>('Alliance Data'!I36+'Alliance Data'!S36+'Alliance Data'!AC36+'Alliance Data'!AM36+'Alliance Data'!AW36+'Alliance Data'!BG36+'Alliance Data'!BQ36+'Alliance Data'!CA36+'Alliance Data'!CK36+'Alliance Data'!CU36)/Value!Q35</f>
        <v>0</v>
      </c>
      <c r="AK37" s="118">
        <f>'Alliance Data'!J36+'Alliance Data'!T36+'Alliance Data'!AD36+'Alliance Data'!AN36+'Alliance Data'!AX36+'Alliance Data'!BH36+'Alliance Data'!BR36+'Alliance Data'!CB36+'Alliance Data'!CL36+'Alliance Data'!CV36</f>
        <v>0</v>
      </c>
      <c r="AL37" s="119">
        <f>'Alliance Data'!K36+'Alliance Data'!U36+'Alliance Data'!AE36+'Alliance Data'!AO36+'Alliance Data'!AY36+'Alliance Data'!BI36+'Alliance Data'!BS36+'Alliance Data'!CC36+'Alliance Data'!CM36+'Alliance Data'!CW36</f>
        <v>0</v>
      </c>
    </row>
    <row r="38" spans="1:38" x14ac:dyDescent="0.25">
      <c r="A38" s="86">
        <v>3754</v>
      </c>
      <c r="B38" s="99">
        <f>'Match Data'!B38+'Match Data'!AA38+'Match Data'!AZ38+'Match Data'!BY38+'Match Data'!CX38+'Match Data'!DW38+'Match Data'!EV38+'Match Data'!FU38+'Match Data'!GT38+'Match Data'!HS38</f>
        <v>0</v>
      </c>
      <c r="C38" s="94">
        <f>'Match Data'!C38+'Match Data'!AB38+'Match Data'!BA38+'Match Data'!BZ38+'Match Data'!CY38+'Match Data'!DX38+'Match Data'!EW38+'Match Data'!FV38+'Match Data'!GU38+'Match Data'!HT38</f>
        <v>0</v>
      </c>
      <c r="D38" s="94">
        <f>'Match Data'!D38+'Match Data'!AC38+'Match Data'!BB38+'Match Data'!CA38+'Match Data'!CZ38+'Match Data'!DY38+'Match Data'!EX38+'Match Data'!FW38+'Match Data'!GV38+'Match Data'!HU38</f>
        <v>0</v>
      </c>
      <c r="E38" s="94">
        <f>'Match Data'!E38+'Match Data'!AD38+'Match Data'!BC38+'Match Data'!CB38+'Match Data'!DA38+'Match Data'!DZ38+'Match Data'!EY38+'Match Data'!FX38+'Match Data'!GW38+'Match Data'!HV38</f>
        <v>0</v>
      </c>
      <c r="F38" s="94">
        <f>'Match Data'!F38+'Match Data'!AE38+'Match Data'!BD38+'Match Data'!CC38+'Match Data'!DB38+'Match Data'!EA38+'Match Data'!EZ38+'Match Data'!FY38+'Match Data'!GX38+'Match Data'!HW38</f>
        <v>0</v>
      </c>
      <c r="G38" s="94">
        <f>'Match Data'!G38+'Match Data'!AF38+'Match Data'!BE38+'Match Data'!CD38+'Match Data'!DC38+'Match Data'!EB38+'Match Data'!FA38+'Match Data'!FZ38+'Match Data'!GY38+'Match Data'!HX38</f>
        <v>0</v>
      </c>
      <c r="H38" s="94">
        <f>'Match Data'!H38+'Match Data'!AG38+'Match Data'!BF38+'Match Data'!CE38+'Match Data'!DD38+'Match Data'!EC38+'Match Data'!FB38+'Match Data'!GA38+'Match Data'!GZ38+'Match Data'!HY38</f>
        <v>0</v>
      </c>
      <c r="I38" s="94">
        <f>'Match Data'!I38+'Match Data'!AH38+'Match Data'!BG38+'Match Data'!CF38+'Match Data'!DE38+'Match Data'!ED38+'Match Data'!FC38+'Match Data'!GB38+'Match Data'!HA38+'Match Data'!HZ38</f>
        <v>0</v>
      </c>
      <c r="J38" s="94" t="e">
        <f>(Table5[[#This Row],[High Made]]+Table5[[#This Row],[Low Made]])/(SUM(Table5[[#This Row],[High Made]:[Low Miss]]))</f>
        <v>#DIV/0!</v>
      </c>
      <c r="K38" s="94">
        <f>'Match Data'!J38+'Match Data'!AI38+'Match Data'!BH38+'Match Data'!CG38+'Match Data'!DF38+'Match Data'!EE38+'Match Data'!FD38+'Match Data'!GC38+'Match Data'!HB38+'Match Data'!IA38</f>
        <v>0</v>
      </c>
      <c r="L38" s="94">
        <f>'Match Data'!K38+'Match Data'!AJ38+'Match Data'!BI38+'Match Data'!CH38+'Match Data'!DG38+'Match Data'!EF38+'Match Data'!FE38+'Match Data'!GD38+'Match Data'!HC38+'Match Data'!IB38</f>
        <v>0</v>
      </c>
      <c r="M38" s="94">
        <f>'Match Data'!L38+'Match Data'!AK38+'Match Data'!BJ38+'Match Data'!CI38+'Match Data'!DH38+'Match Data'!EG38+'Match Data'!FF38+'Match Data'!GE38+'Match Data'!HD38+'Match Data'!IC38</f>
        <v>0</v>
      </c>
      <c r="N38" s="94">
        <f>'Match Data'!M38+'Match Data'!AL38+'Match Data'!BK38+'Match Data'!CJ38+'Match Data'!DI38+'Match Data'!EH38+'Match Data'!FG38+'Match Data'!GF38+'Match Data'!HE38+'Match Data'!ID38</f>
        <v>0</v>
      </c>
      <c r="O38" s="94">
        <f>'Match Data'!N38+'Match Data'!AM38+'Match Data'!BL38+'Match Data'!CK38+'Match Data'!DJ38+'Match Data'!EI38+'Match Data'!FH38+'Match Data'!GG38+'Match Data'!HF38+'Match Data'!IE38</f>
        <v>0</v>
      </c>
      <c r="P38" s="94">
        <f>'Match Data'!O38+'Match Data'!AN38+'Match Data'!BM38+'Match Data'!CL38+'Match Data'!DK38+'Match Data'!EJ38+'Match Data'!FI38+'Match Data'!GH38+'Match Data'!HG38+'Match Data'!IF38</f>
        <v>0</v>
      </c>
      <c r="Q38" s="94">
        <f>'Match Data'!P38+'Match Data'!AO38+'Match Data'!BN38+'Match Data'!CM38+'Match Data'!DL38+'Match Data'!EK38+'Match Data'!FJ38+'Match Data'!GI38+'Match Data'!HH38+'Match Data'!IG38</f>
        <v>0</v>
      </c>
      <c r="R38" s="94">
        <f>'Match Data'!Q38+'Match Data'!AP38+'Match Data'!BO38+'Match Data'!CN38+'Match Data'!DM38+'Match Data'!EL38+'Match Data'!FK38+'Match Data'!GJ38+'Match Data'!HI38+'Match Data'!IH38</f>
        <v>0</v>
      </c>
      <c r="S38" s="94">
        <v>0</v>
      </c>
      <c r="T38" s="94">
        <v>0</v>
      </c>
      <c r="U38" s="94">
        <f>'Match Data'!S38+'Match Data'!AR38+'Match Data'!BQ38+'Match Data'!CP38+'Match Data'!DO38+'Match Data'!EN38+'Match Data'!FM38+'Match Data'!GL38+'Match Data'!HK38+'Match Data'!IJ38</f>
        <v>0</v>
      </c>
      <c r="V38" s="95">
        <f>'Match Data'!T38+'Match Data'!AS38+'Match Data'!BR38+'Match Data'!CQ38+'Match Data'!DP38+'Match Data'!EO38+'Match Data'!FN38+'Match Data'!GM38+'Match Data'!HL38+'Match Data'!IK38</f>
        <v>0</v>
      </c>
      <c r="W38" s="94">
        <f>'Match Data'!U38+'Match Data'!AT38+'Match Data'!BS38+'Match Data'!CR38+'Match Data'!DQ38+'Match Data'!EP38+'Match Data'!FO38+'Match Data'!GN38+'Match Data'!HM38+'Match Data'!IL38</f>
        <v>0</v>
      </c>
      <c r="X38" s="94">
        <f>'Match Data'!V38+'Match Data'!AU38+'Match Data'!BT38+'Match Data'!CS38+'Match Data'!DR38+'Match Data'!EQ38+'Match Data'!FP38+'Match Data'!GO38+'Match Data'!HN38+'Match Data'!IM38</f>
        <v>0</v>
      </c>
      <c r="Y38" s="94">
        <f>'Match Data'!W38+'Match Data'!AV38+'Match Data'!BU38+'Match Data'!CT38+'Match Data'!DS38+'Match Data'!ER38+'Match Data'!FQ38+'Match Data'!GP38+'Match Data'!HO38+'Match Data'!IN38</f>
        <v>0</v>
      </c>
      <c r="Z38" s="94">
        <f>'Match Data'!X38+'Match Data'!AW38+'Match Data'!BV38+'Match Data'!CU38+'Match Data'!DT38+'Match Data'!ES38+'Match Data'!FR38+'Match Data'!GQ38+'Match Data'!HP38+'Match Data'!IO38</f>
        <v>0</v>
      </c>
      <c r="AA38" s="94">
        <f>'Match Data'!Y38+'Match Data'!AX38+'Match Data'!BW38+'Match Data'!CV38+'Match Data'!DU38+'Match Data'!ET38+'Match Data'!FS38+'Match Data'!GR38+'Match Data'!HQ38+'Match Data'!IP38</f>
        <v>0</v>
      </c>
      <c r="AB38" s="117">
        <f>'Match Data'!Z38+'Match Data'!AY38+'Match Data'!BX38+'Match Data'!CW38+'Match Data'!DV38+'Match Data'!EU38+'Match Data'!FT38+'Match Data'!GS38+'Match Data'!HR38+'Match Data'!IQ38</f>
        <v>0</v>
      </c>
      <c r="AC38" s="99">
        <f>'Alliance Data'!B37+'Alliance Data'!L37+'Alliance Data'!V37+'Alliance Data'!AF37+'Alliance Data'!AP37+'Alliance Data'!AZ37+'Alliance Data'!BJ37+'Alliance Data'!BT37+'Alliance Data'!CD37+'Alliance Data'!CN37</f>
        <v>0</v>
      </c>
      <c r="AD38" s="118">
        <f>('Alliance Data'!C37+'Alliance Data'!M37+'Alliance Data'!W37+'Alliance Data'!AG37+'Alliance Data'!AQ37+'Alliance Data'!BA37+'Alliance Data'!BK37+'Alliance Data'!BU37+'Alliance Data'!CE37+'Alliance Data'!CO37)/Value!Q36</f>
        <v>0</v>
      </c>
      <c r="AE38" s="118">
        <f>('Alliance Data'!D37+'Alliance Data'!N37+'Alliance Data'!X37+'Alliance Data'!AH37+'Alliance Data'!AR37+'Alliance Data'!BB37+'Alliance Data'!BL37+'Alliance Data'!BV37+'Alliance Data'!CF37+'Alliance Data'!CP37)/Value!Q36</f>
        <v>0</v>
      </c>
      <c r="AF38" s="118">
        <f>('Alliance Data'!E37+'Alliance Data'!O37+'Alliance Data'!Y37+'Alliance Data'!AI37+'Alliance Data'!AS37+'Alliance Data'!BC37+'Alliance Data'!BM37+'Alliance Data'!BW37+'Alliance Data'!CG37+'Alliance Data'!CQ37)/Value!Q36</f>
        <v>0</v>
      </c>
      <c r="AG38" s="118">
        <f>('Alliance Data'!F37+'Alliance Data'!P37+'Alliance Data'!Z37+'Alliance Data'!AJ37+'Alliance Data'!AT37+'Alliance Data'!BD37+'Alliance Data'!BN37+'Alliance Data'!BX37+'Alliance Data'!CH37+'Alliance Data'!CR37)/Value!Q36</f>
        <v>0</v>
      </c>
      <c r="AH38" s="118">
        <f>('Alliance Data'!G37+'Alliance Data'!Q37+'Alliance Data'!AA37+'Alliance Data'!AK37+'Alliance Data'!AU37+'Alliance Data'!BE37+'Alliance Data'!BO37+'Alliance Data'!BY37+'Alliance Data'!CI37+'Alliance Data'!CS37)/Value!Q36</f>
        <v>0</v>
      </c>
      <c r="AI38" s="118">
        <f>('Alliance Data'!H37+'Alliance Data'!R37+'Alliance Data'!AB37+'Alliance Data'!AL37+'Alliance Data'!AV37+'Alliance Data'!BF37+'Alliance Data'!BP37+'Alliance Data'!BZ37+'Alliance Data'!CJ37+'Alliance Data'!CT37)/Value!Q36</f>
        <v>0</v>
      </c>
      <c r="AJ38" s="118">
        <f>('Alliance Data'!I37+'Alliance Data'!S37+'Alliance Data'!AC37+'Alliance Data'!AM37+'Alliance Data'!AW37+'Alliance Data'!BG37+'Alliance Data'!BQ37+'Alliance Data'!CA37+'Alliance Data'!CK37+'Alliance Data'!CU37)/Value!Q36</f>
        <v>0</v>
      </c>
      <c r="AK38" s="118">
        <f>'Alliance Data'!J37+'Alliance Data'!T37+'Alliance Data'!AD37+'Alliance Data'!AN37+'Alliance Data'!AX37+'Alliance Data'!BH37+'Alliance Data'!BR37+'Alliance Data'!CB37+'Alliance Data'!CL37+'Alliance Data'!CV37</f>
        <v>0</v>
      </c>
      <c r="AL38" s="119">
        <f>'Alliance Data'!K37+'Alliance Data'!U37+'Alliance Data'!AE37+'Alliance Data'!AO37+'Alliance Data'!AY37+'Alliance Data'!BI37+'Alliance Data'!BS37+'Alliance Data'!CC37+'Alliance Data'!CM37+'Alliance Data'!CW37</f>
        <v>0</v>
      </c>
    </row>
    <row r="39" spans="1:38" x14ac:dyDescent="0.25">
      <c r="A39" s="86">
        <v>4166</v>
      </c>
      <c r="B39" s="99">
        <f>'Match Data'!B39+'Match Data'!AA39+'Match Data'!AZ39+'Match Data'!BY39+'Match Data'!CX39+'Match Data'!DW39+'Match Data'!EV39+'Match Data'!FU39+'Match Data'!GT39+'Match Data'!HS39</f>
        <v>0</v>
      </c>
      <c r="C39" s="94">
        <f>'Match Data'!C39+'Match Data'!AB39+'Match Data'!BA39+'Match Data'!BZ39+'Match Data'!CY39+'Match Data'!DX39+'Match Data'!EW39+'Match Data'!FV39+'Match Data'!GU39+'Match Data'!HT39</f>
        <v>0</v>
      </c>
      <c r="D39" s="94">
        <f>'Match Data'!D39+'Match Data'!AC39+'Match Data'!BB39+'Match Data'!CA39+'Match Data'!CZ39+'Match Data'!DY39+'Match Data'!EX39+'Match Data'!FW39+'Match Data'!GV39+'Match Data'!HU39</f>
        <v>0</v>
      </c>
      <c r="E39" s="94">
        <f>'Match Data'!E39+'Match Data'!AD39+'Match Data'!BC39+'Match Data'!CB39+'Match Data'!DA39+'Match Data'!DZ39+'Match Data'!EY39+'Match Data'!FX39+'Match Data'!GW39+'Match Data'!HV39</f>
        <v>0</v>
      </c>
      <c r="F39" s="94">
        <f>'Match Data'!F39+'Match Data'!AE39+'Match Data'!BD39+'Match Data'!CC39+'Match Data'!DB39+'Match Data'!EA39+'Match Data'!EZ39+'Match Data'!FY39+'Match Data'!GX39+'Match Data'!HW39</f>
        <v>0</v>
      </c>
      <c r="G39" s="94">
        <f>'Match Data'!G39+'Match Data'!AF39+'Match Data'!BE39+'Match Data'!CD39+'Match Data'!DC39+'Match Data'!EB39+'Match Data'!FA39+'Match Data'!FZ39+'Match Data'!GY39+'Match Data'!HX39</f>
        <v>0</v>
      </c>
      <c r="H39" s="94">
        <f>'Match Data'!H39+'Match Data'!AG39+'Match Data'!BF39+'Match Data'!CE39+'Match Data'!DD39+'Match Data'!EC39+'Match Data'!FB39+'Match Data'!GA39+'Match Data'!GZ39+'Match Data'!HY39</f>
        <v>0</v>
      </c>
      <c r="I39" s="94">
        <f>'Match Data'!I39+'Match Data'!AH39+'Match Data'!BG39+'Match Data'!CF39+'Match Data'!DE39+'Match Data'!ED39+'Match Data'!FC39+'Match Data'!GB39+'Match Data'!HA39+'Match Data'!HZ39</f>
        <v>0</v>
      </c>
      <c r="J39" s="94" t="e">
        <f>(Table5[[#This Row],[High Made]]+Table5[[#This Row],[Low Made]])/(SUM(Table5[[#This Row],[High Made]:[Low Miss]]))</f>
        <v>#DIV/0!</v>
      </c>
      <c r="K39" s="94">
        <f>'Match Data'!J39+'Match Data'!AI39+'Match Data'!BH39+'Match Data'!CG39+'Match Data'!DF39+'Match Data'!EE39+'Match Data'!FD39+'Match Data'!GC39+'Match Data'!HB39+'Match Data'!IA39</f>
        <v>0</v>
      </c>
      <c r="L39" s="94">
        <f>'Match Data'!K39+'Match Data'!AJ39+'Match Data'!BI39+'Match Data'!CH39+'Match Data'!DG39+'Match Data'!EF39+'Match Data'!FE39+'Match Data'!GD39+'Match Data'!HC39+'Match Data'!IB39</f>
        <v>0</v>
      </c>
      <c r="M39" s="94">
        <f>'Match Data'!L39+'Match Data'!AK39+'Match Data'!BJ39+'Match Data'!CI39+'Match Data'!DH39+'Match Data'!EG39+'Match Data'!FF39+'Match Data'!GE39+'Match Data'!HD39+'Match Data'!IC39</f>
        <v>0</v>
      </c>
      <c r="N39" s="94">
        <f>'Match Data'!M39+'Match Data'!AL39+'Match Data'!BK39+'Match Data'!CJ39+'Match Data'!DI39+'Match Data'!EH39+'Match Data'!FG39+'Match Data'!GF39+'Match Data'!HE39+'Match Data'!ID39</f>
        <v>0</v>
      </c>
      <c r="O39" s="94">
        <f>'Match Data'!N39+'Match Data'!AM39+'Match Data'!BL39+'Match Data'!CK39+'Match Data'!DJ39+'Match Data'!EI39+'Match Data'!FH39+'Match Data'!GG39+'Match Data'!HF39+'Match Data'!IE39</f>
        <v>0</v>
      </c>
      <c r="P39" s="94">
        <f>'Match Data'!O39+'Match Data'!AN39+'Match Data'!BM39+'Match Data'!CL39+'Match Data'!DK39+'Match Data'!EJ39+'Match Data'!FI39+'Match Data'!GH39+'Match Data'!HG39+'Match Data'!IF39</f>
        <v>0</v>
      </c>
      <c r="Q39" s="94">
        <f>'Match Data'!P39+'Match Data'!AO39+'Match Data'!BN39+'Match Data'!CM39+'Match Data'!DL39+'Match Data'!EK39+'Match Data'!FJ39+'Match Data'!GI39+'Match Data'!HH39+'Match Data'!IG39</f>
        <v>0</v>
      </c>
      <c r="R39" s="94">
        <f>'Match Data'!Q39+'Match Data'!AP39+'Match Data'!BO39+'Match Data'!CN39+'Match Data'!DM39+'Match Data'!EL39+'Match Data'!FK39+'Match Data'!GJ39+'Match Data'!HI39+'Match Data'!IH39</f>
        <v>0</v>
      </c>
      <c r="S39" s="94">
        <v>0</v>
      </c>
      <c r="T39" s="94">
        <v>0</v>
      </c>
      <c r="U39" s="94">
        <f>'Match Data'!S39+'Match Data'!AR39+'Match Data'!BQ39+'Match Data'!CP39+'Match Data'!DO39+'Match Data'!EN39+'Match Data'!FM39+'Match Data'!GL39+'Match Data'!HK39+'Match Data'!IJ39</f>
        <v>0</v>
      </c>
      <c r="V39" s="95">
        <f>'Match Data'!T39+'Match Data'!AS39+'Match Data'!BR39+'Match Data'!CQ39+'Match Data'!DP39+'Match Data'!EO39+'Match Data'!FN39+'Match Data'!GM39+'Match Data'!HL39+'Match Data'!IK39</f>
        <v>0</v>
      </c>
      <c r="W39" s="94">
        <f>'Match Data'!U39+'Match Data'!AT39+'Match Data'!BS39+'Match Data'!CR39+'Match Data'!DQ39+'Match Data'!EP39+'Match Data'!FO39+'Match Data'!GN39+'Match Data'!HM39+'Match Data'!IL39</f>
        <v>0</v>
      </c>
      <c r="X39" s="94">
        <f>'Match Data'!V39+'Match Data'!AU39+'Match Data'!BT39+'Match Data'!CS39+'Match Data'!DR39+'Match Data'!EQ39+'Match Data'!FP39+'Match Data'!GO39+'Match Data'!HN39+'Match Data'!IM39</f>
        <v>0</v>
      </c>
      <c r="Y39" s="94">
        <f>'Match Data'!W39+'Match Data'!AV39+'Match Data'!BU39+'Match Data'!CT39+'Match Data'!DS39+'Match Data'!ER39+'Match Data'!FQ39+'Match Data'!GP39+'Match Data'!HO39+'Match Data'!IN39</f>
        <v>0</v>
      </c>
      <c r="Z39" s="94">
        <f>'Match Data'!X39+'Match Data'!AW39+'Match Data'!BV39+'Match Data'!CU39+'Match Data'!DT39+'Match Data'!ES39+'Match Data'!FR39+'Match Data'!GQ39+'Match Data'!HP39+'Match Data'!IO39</f>
        <v>0</v>
      </c>
      <c r="AA39" s="94">
        <f>'Match Data'!Y39+'Match Data'!AX39+'Match Data'!BW39+'Match Data'!CV39+'Match Data'!DU39+'Match Data'!ET39+'Match Data'!FS39+'Match Data'!GR39+'Match Data'!HQ39+'Match Data'!IP39</f>
        <v>0</v>
      </c>
      <c r="AB39" s="102">
        <f>'Match Data'!Z39+'Match Data'!AY39+'Match Data'!BX39+'Match Data'!CW39+'Match Data'!DV39+'Match Data'!EU39+'Match Data'!FT39+'Match Data'!GS39+'Match Data'!HR39+'Match Data'!IQ39</f>
        <v>0</v>
      </c>
      <c r="AC39" s="99">
        <f>'Alliance Data'!B38+'Alliance Data'!L38+'Alliance Data'!V38+'Alliance Data'!AF38+'Alliance Data'!AP38+'Alliance Data'!AZ38+'Alliance Data'!BJ38+'Alliance Data'!BT38+'Alliance Data'!CD38+'Alliance Data'!CN38</f>
        <v>0</v>
      </c>
      <c r="AD39" s="118">
        <f>('Alliance Data'!C38+'Alliance Data'!M38+'Alliance Data'!W38+'Alliance Data'!AG38+'Alliance Data'!AQ38+'Alliance Data'!BA38+'Alliance Data'!BK38+'Alliance Data'!BU38+'Alliance Data'!CE38+'Alliance Data'!CO38)/Value!Q37</f>
        <v>0</v>
      </c>
      <c r="AE39" s="118">
        <f>('Alliance Data'!D38+'Alliance Data'!N38+'Alliance Data'!X38+'Alliance Data'!AH38+'Alliance Data'!AR38+'Alliance Data'!BB38+'Alliance Data'!BL38+'Alliance Data'!BV38+'Alliance Data'!CF38+'Alliance Data'!CP38)/Value!Q37</f>
        <v>0</v>
      </c>
      <c r="AF39" s="118">
        <f>('Alliance Data'!E38+'Alliance Data'!O38+'Alliance Data'!Y38+'Alliance Data'!AI38+'Alliance Data'!AS38+'Alliance Data'!BC38+'Alliance Data'!BM38+'Alliance Data'!BW38+'Alliance Data'!CG38+'Alliance Data'!CQ38)/Value!Q37</f>
        <v>0</v>
      </c>
      <c r="AG39" s="118">
        <f>('Alliance Data'!F38+'Alliance Data'!P38+'Alliance Data'!Z38+'Alliance Data'!AJ38+'Alliance Data'!AT38+'Alliance Data'!BD38+'Alliance Data'!BN38+'Alliance Data'!BX38+'Alliance Data'!CH38+'Alliance Data'!CR38)/Value!Q37</f>
        <v>0</v>
      </c>
      <c r="AH39" s="118">
        <f>('Alliance Data'!G38+'Alliance Data'!Q38+'Alliance Data'!AA38+'Alliance Data'!AK38+'Alliance Data'!AU38+'Alliance Data'!BE38+'Alliance Data'!BO38+'Alliance Data'!BY38+'Alliance Data'!CI38+'Alliance Data'!CS38)/Value!Q37</f>
        <v>0</v>
      </c>
      <c r="AI39" s="118">
        <f>('Alliance Data'!H38+'Alliance Data'!R38+'Alliance Data'!AB38+'Alliance Data'!AL38+'Alliance Data'!AV38+'Alliance Data'!BF38+'Alliance Data'!BP38+'Alliance Data'!BZ38+'Alliance Data'!CJ38+'Alliance Data'!CT38)/Value!Q37</f>
        <v>0</v>
      </c>
      <c r="AJ39" s="118">
        <f>('Alliance Data'!I38+'Alliance Data'!S38+'Alliance Data'!AC38+'Alliance Data'!AM38+'Alliance Data'!AW38+'Alliance Data'!BG38+'Alliance Data'!BQ38+'Alliance Data'!CA38+'Alliance Data'!CK38+'Alliance Data'!CU38)/Value!Q37</f>
        <v>0</v>
      </c>
      <c r="AK39" s="118">
        <f>'Alliance Data'!J38+'Alliance Data'!T38+'Alliance Data'!AD38+'Alliance Data'!AN38+'Alliance Data'!AX38+'Alliance Data'!BH38+'Alliance Data'!BR38+'Alliance Data'!CB38+'Alliance Data'!CL38+'Alliance Data'!CV38</f>
        <v>0</v>
      </c>
      <c r="AL39" s="119">
        <f>'Alliance Data'!K38+'Alliance Data'!U38+'Alliance Data'!AE38+'Alliance Data'!AO38+'Alliance Data'!AY38+'Alliance Data'!BI38+'Alliance Data'!BS38+'Alliance Data'!CC38+'Alliance Data'!CM38+'Alliance Data'!CW38</f>
        <v>0</v>
      </c>
    </row>
    <row r="40" spans="1:38" x14ac:dyDescent="0.25">
      <c r="A40" s="86">
        <v>4198</v>
      </c>
      <c r="B40" s="99">
        <f>'Match Data'!B40+'Match Data'!AA40+'Match Data'!AZ40+'Match Data'!BY40+'Match Data'!CX40+'Match Data'!DW40+'Match Data'!EV40+'Match Data'!FU40+'Match Data'!GT40+'Match Data'!HS40</f>
        <v>0</v>
      </c>
      <c r="C40" s="94">
        <f>'Match Data'!C40+'Match Data'!AB40+'Match Data'!BA40+'Match Data'!BZ40+'Match Data'!CY40+'Match Data'!DX40+'Match Data'!EW40+'Match Data'!FV40+'Match Data'!GU40+'Match Data'!HT40</f>
        <v>0</v>
      </c>
      <c r="D40" s="94">
        <f>'Match Data'!D40+'Match Data'!AC40+'Match Data'!BB40+'Match Data'!CA40+'Match Data'!CZ40+'Match Data'!DY40+'Match Data'!EX40+'Match Data'!FW40+'Match Data'!GV40+'Match Data'!HU40</f>
        <v>0</v>
      </c>
      <c r="E40" s="94">
        <f>'Match Data'!E40+'Match Data'!AD40+'Match Data'!BC40+'Match Data'!CB40+'Match Data'!DA40+'Match Data'!DZ40+'Match Data'!EY40+'Match Data'!FX40+'Match Data'!GW40+'Match Data'!HV40</f>
        <v>0</v>
      </c>
      <c r="F40" s="94">
        <f>'Match Data'!F40+'Match Data'!AE40+'Match Data'!BD40+'Match Data'!CC40+'Match Data'!DB40+'Match Data'!EA40+'Match Data'!EZ40+'Match Data'!FY40+'Match Data'!GX40+'Match Data'!HW40</f>
        <v>0</v>
      </c>
      <c r="G40" s="94">
        <f>'Match Data'!G40+'Match Data'!AF40+'Match Data'!BE40+'Match Data'!CD40+'Match Data'!DC40+'Match Data'!EB40+'Match Data'!FA40+'Match Data'!FZ40+'Match Data'!GY40+'Match Data'!HX40</f>
        <v>0</v>
      </c>
      <c r="H40" s="94">
        <f>'Match Data'!H40+'Match Data'!AG40+'Match Data'!BF40+'Match Data'!CE40+'Match Data'!DD40+'Match Data'!EC40+'Match Data'!FB40+'Match Data'!GA40+'Match Data'!GZ40+'Match Data'!HY40</f>
        <v>0</v>
      </c>
      <c r="I40" s="94">
        <f>'Match Data'!I40+'Match Data'!AH40+'Match Data'!BG40+'Match Data'!CF40+'Match Data'!DE40+'Match Data'!ED40+'Match Data'!FC40+'Match Data'!GB40+'Match Data'!HA40+'Match Data'!HZ40</f>
        <v>0</v>
      </c>
      <c r="J40" s="94" t="e">
        <f>(Table5[[#This Row],[High Made]]+Table5[[#This Row],[Low Made]])/(SUM(Table5[[#This Row],[High Made]:[Low Miss]]))</f>
        <v>#DIV/0!</v>
      </c>
      <c r="K40" s="94">
        <f>'Match Data'!J40+'Match Data'!AI40+'Match Data'!BH40+'Match Data'!CG40+'Match Data'!DF40+'Match Data'!EE40+'Match Data'!FD40+'Match Data'!GC40+'Match Data'!HB40+'Match Data'!IA40</f>
        <v>0</v>
      </c>
      <c r="L40" s="94">
        <f>'Match Data'!K40+'Match Data'!AJ40+'Match Data'!BI40+'Match Data'!CH40+'Match Data'!DG40+'Match Data'!EF40+'Match Data'!FE40+'Match Data'!GD40+'Match Data'!HC40+'Match Data'!IB40</f>
        <v>0</v>
      </c>
      <c r="M40" s="94">
        <f>'Match Data'!L40+'Match Data'!AK40+'Match Data'!BJ40+'Match Data'!CI40+'Match Data'!DH40+'Match Data'!EG40+'Match Data'!FF40+'Match Data'!GE40+'Match Data'!HD40+'Match Data'!IC40</f>
        <v>0</v>
      </c>
      <c r="N40" s="94">
        <f>'Match Data'!M40+'Match Data'!AL40+'Match Data'!BK40+'Match Data'!CJ40+'Match Data'!DI40+'Match Data'!EH40+'Match Data'!FG40+'Match Data'!GF40+'Match Data'!HE40+'Match Data'!ID40</f>
        <v>0</v>
      </c>
      <c r="O40" s="94">
        <f>'Match Data'!N40+'Match Data'!AM40+'Match Data'!BL40+'Match Data'!CK40+'Match Data'!DJ40+'Match Data'!EI40+'Match Data'!FH40+'Match Data'!GG40+'Match Data'!HF40+'Match Data'!IE40</f>
        <v>0</v>
      </c>
      <c r="P40" s="94">
        <f>'Match Data'!O40+'Match Data'!AN40+'Match Data'!BM40+'Match Data'!CL40+'Match Data'!DK40+'Match Data'!EJ40+'Match Data'!FI40+'Match Data'!GH40+'Match Data'!HG40+'Match Data'!IF40</f>
        <v>0</v>
      </c>
      <c r="Q40" s="94">
        <f>'Match Data'!P40+'Match Data'!AO40+'Match Data'!BN40+'Match Data'!CM40+'Match Data'!DL40+'Match Data'!EK40+'Match Data'!FJ40+'Match Data'!GI40+'Match Data'!HH40+'Match Data'!IG40</f>
        <v>0</v>
      </c>
      <c r="R40" s="94">
        <f>'Match Data'!Q40+'Match Data'!AP40+'Match Data'!BO40+'Match Data'!CN40+'Match Data'!DM40+'Match Data'!EL40+'Match Data'!FK40+'Match Data'!GJ40+'Match Data'!HI40+'Match Data'!IH40</f>
        <v>0</v>
      </c>
      <c r="S40" s="94">
        <v>0</v>
      </c>
      <c r="T40" s="94">
        <v>0</v>
      </c>
      <c r="U40" s="94">
        <f>'Match Data'!S40+'Match Data'!AR40+'Match Data'!BQ40+'Match Data'!CP40+'Match Data'!DO40+'Match Data'!EN40+'Match Data'!FM40+'Match Data'!GL40+'Match Data'!HK40+'Match Data'!IJ40</f>
        <v>0</v>
      </c>
      <c r="V40" s="95">
        <f>'Match Data'!T40+'Match Data'!AS40+'Match Data'!BR40+'Match Data'!CQ40+'Match Data'!DP40+'Match Data'!EO40+'Match Data'!FN40+'Match Data'!GM40+'Match Data'!HL40+'Match Data'!IK40</f>
        <v>0</v>
      </c>
      <c r="W40" s="94">
        <f>'Match Data'!U40+'Match Data'!AT40+'Match Data'!BS40+'Match Data'!CR40+'Match Data'!DQ40+'Match Data'!EP40+'Match Data'!FO40+'Match Data'!GN40+'Match Data'!HM40+'Match Data'!IL40</f>
        <v>0</v>
      </c>
      <c r="X40" s="94">
        <f>'Match Data'!V40+'Match Data'!AU40+'Match Data'!BT40+'Match Data'!CS40+'Match Data'!DR40+'Match Data'!EQ40+'Match Data'!FP40+'Match Data'!GO40+'Match Data'!HN40+'Match Data'!IM40</f>
        <v>0</v>
      </c>
      <c r="Y40" s="94">
        <f>'Match Data'!W40+'Match Data'!AV40+'Match Data'!BU40+'Match Data'!CT40+'Match Data'!DS40+'Match Data'!ER40+'Match Data'!FQ40+'Match Data'!GP40+'Match Data'!HO40+'Match Data'!IN40</f>
        <v>0</v>
      </c>
      <c r="Z40" s="94">
        <f>'Match Data'!X40+'Match Data'!AW40+'Match Data'!BV40+'Match Data'!CU40+'Match Data'!DT40+'Match Data'!ES40+'Match Data'!FR40+'Match Data'!GQ40+'Match Data'!HP40+'Match Data'!IO40</f>
        <v>0</v>
      </c>
      <c r="AA40" s="94">
        <f>'Match Data'!Y40+'Match Data'!AX40+'Match Data'!BW40+'Match Data'!CV40+'Match Data'!DU40+'Match Data'!ET40+'Match Data'!FS40+'Match Data'!GR40+'Match Data'!HQ40+'Match Data'!IP40</f>
        <v>0</v>
      </c>
      <c r="AB40" s="102">
        <f>'Match Data'!Z40+'Match Data'!AY40+'Match Data'!BX40+'Match Data'!CW40+'Match Data'!DV40+'Match Data'!EU40+'Match Data'!FT40+'Match Data'!GS40+'Match Data'!HR40+'Match Data'!IQ40</f>
        <v>0</v>
      </c>
      <c r="AC40" s="99">
        <f>'Alliance Data'!B39+'Alliance Data'!L39+'Alliance Data'!V39+'Alliance Data'!AF39+'Alliance Data'!AP39+'Alliance Data'!AZ39+'Alliance Data'!BJ39+'Alliance Data'!BT39+'Alliance Data'!CD39+'Alliance Data'!CN39</f>
        <v>0</v>
      </c>
      <c r="AD40" s="118">
        <f>('Alliance Data'!C39+'Alliance Data'!M39+'Alliance Data'!W39+'Alliance Data'!AG39+'Alliance Data'!AQ39+'Alliance Data'!BA39+'Alliance Data'!BK39+'Alliance Data'!BU39+'Alliance Data'!CE39+'Alliance Data'!CO39)/Value!Q38</f>
        <v>0</v>
      </c>
      <c r="AE40" s="118">
        <f>('Alliance Data'!D39+'Alliance Data'!N39+'Alliance Data'!X39+'Alliance Data'!AH39+'Alliance Data'!AR39+'Alliance Data'!BB39+'Alliance Data'!BL39+'Alliance Data'!BV39+'Alliance Data'!CF39+'Alliance Data'!CP39)/Value!Q38</f>
        <v>0</v>
      </c>
      <c r="AF40" s="118">
        <f>('Alliance Data'!E39+'Alliance Data'!O39+'Alliance Data'!Y39+'Alliance Data'!AI39+'Alliance Data'!AS39+'Alliance Data'!BC39+'Alliance Data'!BM39+'Alliance Data'!BW39+'Alliance Data'!CG39+'Alliance Data'!CQ39)/Value!Q38</f>
        <v>0</v>
      </c>
      <c r="AG40" s="118">
        <f>('Alliance Data'!F39+'Alliance Data'!P39+'Alliance Data'!Z39+'Alliance Data'!AJ39+'Alliance Data'!AT39+'Alliance Data'!BD39+'Alliance Data'!BN39+'Alliance Data'!BX39+'Alliance Data'!CH39+'Alliance Data'!CR39)/Value!Q38</f>
        <v>0</v>
      </c>
      <c r="AH40" s="118">
        <f>('Alliance Data'!G39+'Alliance Data'!Q39+'Alliance Data'!AA39+'Alliance Data'!AK39+'Alliance Data'!AU39+'Alliance Data'!BE39+'Alliance Data'!BO39+'Alliance Data'!BY39+'Alliance Data'!CI39+'Alliance Data'!CS39)/Value!Q38</f>
        <v>0</v>
      </c>
      <c r="AI40" s="118">
        <f>('Alliance Data'!H39+'Alliance Data'!R39+'Alliance Data'!AB39+'Alliance Data'!AL39+'Alliance Data'!AV39+'Alliance Data'!BF39+'Alliance Data'!BP39+'Alliance Data'!BZ39+'Alliance Data'!CJ39+'Alliance Data'!CT39)/Value!Q38</f>
        <v>0</v>
      </c>
      <c r="AJ40" s="118">
        <f>('Alliance Data'!I39+'Alliance Data'!S39+'Alliance Data'!AC39+'Alliance Data'!AM39+'Alliance Data'!AW39+'Alliance Data'!BG39+'Alliance Data'!BQ39+'Alliance Data'!CA39+'Alliance Data'!CK39+'Alliance Data'!CU39)/Value!Q38</f>
        <v>0</v>
      </c>
      <c r="AK40" s="118">
        <f>'Alliance Data'!J39+'Alliance Data'!T39+'Alliance Data'!AD39+'Alliance Data'!AN39+'Alliance Data'!AX39+'Alliance Data'!BH39+'Alliance Data'!BR39+'Alliance Data'!CB39+'Alliance Data'!CL39+'Alliance Data'!CV39</f>
        <v>0</v>
      </c>
      <c r="AL40" s="119">
        <f>'Alliance Data'!K39+'Alliance Data'!U39+'Alliance Data'!AE39+'Alliance Data'!AO39+'Alliance Data'!AY39+'Alliance Data'!BI39+'Alliance Data'!BS39+'Alliance Data'!CC39+'Alliance Data'!CM39+'Alliance Data'!CW39</f>
        <v>0</v>
      </c>
    </row>
    <row r="41" spans="1:38" x14ac:dyDescent="0.25">
      <c r="A41" s="86">
        <v>4226</v>
      </c>
      <c r="B41" s="99">
        <f>'Match Data'!B41+'Match Data'!AA41+'Match Data'!AZ41+'Match Data'!BY41+'Match Data'!CX41+'Match Data'!DW41+'Match Data'!EV41+'Match Data'!FU41+'Match Data'!GT41+'Match Data'!HS41</f>
        <v>0</v>
      </c>
      <c r="C41" s="94">
        <f>'Match Data'!C41+'Match Data'!AB41+'Match Data'!BA41+'Match Data'!BZ41+'Match Data'!CY41+'Match Data'!DX41+'Match Data'!EW41+'Match Data'!FV41+'Match Data'!GU41+'Match Data'!HT41</f>
        <v>0</v>
      </c>
      <c r="D41" s="94">
        <f>'Match Data'!D41+'Match Data'!AC41+'Match Data'!BB41+'Match Data'!CA41+'Match Data'!CZ41+'Match Data'!DY41+'Match Data'!EX41+'Match Data'!FW41+'Match Data'!GV41+'Match Data'!HU41</f>
        <v>0</v>
      </c>
      <c r="E41" s="94">
        <f>'Match Data'!E41+'Match Data'!AD41+'Match Data'!BC41+'Match Data'!CB41+'Match Data'!DA41+'Match Data'!DZ41+'Match Data'!EY41+'Match Data'!FX41+'Match Data'!GW41+'Match Data'!HV41</f>
        <v>0</v>
      </c>
      <c r="F41" s="94">
        <f>'Match Data'!F41+'Match Data'!AE41+'Match Data'!BD41+'Match Data'!CC41+'Match Data'!DB41+'Match Data'!EA41+'Match Data'!EZ41+'Match Data'!FY41+'Match Data'!GX41+'Match Data'!HW41</f>
        <v>0</v>
      </c>
      <c r="G41" s="94">
        <f>'Match Data'!G41+'Match Data'!AF41+'Match Data'!BE41+'Match Data'!CD41+'Match Data'!DC41+'Match Data'!EB41+'Match Data'!FA41+'Match Data'!FZ41+'Match Data'!GY41+'Match Data'!HX41</f>
        <v>0</v>
      </c>
      <c r="H41" s="94">
        <f>'Match Data'!H41+'Match Data'!AG41+'Match Data'!BF41+'Match Data'!CE41+'Match Data'!DD41+'Match Data'!EC41+'Match Data'!FB41+'Match Data'!GA41+'Match Data'!GZ41+'Match Data'!HY41</f>
        <v>0</v>
      </c>
      <c r="I41" s="94">
        <f>'Match Data'!I41+'Match Data'!AH41+'Match Data'!BG41+'Match Data'!CF41+'Match Data'!DE41+'Match Data'!ED41+'Match Data'!FC41+'Match Data'!GB41+'Match Data'!HA41+'Match Data'!HZ41</f>
        <v>0</v>
      </c>
      <c r="J41" s="94" t="e">
        <f>(Table5[[#This Row],[High Made]]+Table5[[#This Row],[Low Made]])/(SUM(Table5[[#This Row],[High Made]:[Low Miss]]))</f>
        <v>#DIV/0!</v>
      </c>
      <c r="K41" s="94">
        <f>'Match Data'!J41+'Match Data'!AI41+'Match Data'!BH41+'Match Data'!CG41+'Match Data'!DF41+'Match Data'!EE41+'Match Data'!FD41+'Match Data'!GC41+'Match Data'!HB41+'Match Data'!IA41</f>
        <v>0</v>
      </c>
      <c r="L41" s="94">
        <f>'Match Data'!K41+'Match Data'!AJ41+'Match Data'!BI41+'Match Data'!CH41+'Match Data'!DG41+'Match Data'!EF41+'Match Data'!FE41+'Match Data'!GD41+'Match Data'!HC41+'Match Data'!IB41</f>
        <v>0</v>
      </c>
      <c r="M41" s="94">
        <f>'Match Data'!L41+'Match Data'!AK41+'Match Data'!BJ41+'Match Data'!CI41+'Match Data'!DH41+'Match Data'!EG41+'Match Data'!FF41+'Match Data'!GE41+'Match Data'!HD41+'Match Data'!IC41</f>
        <v>0</v>
      </c>
      <c r="N41" s="94">
        <f>'Match Data'!M41+'Match Data'!AL41+'Match Data'!BK41+'Match Data'!CJ41+'Match Data'!DI41+'Match Data'!EH41+'Match Data'!FG41+'Match Data'!GF41+'Match Data'!HE41+'Match Data'!ID41</f>
        <v>0</v>
      </c>
      <c r="O41" s="94">
        <f>'Match Data'!N41+'Match Data'!AM41+'Match Data'!BL41+'Match Data'!CK41+'Match Data'!DJ41+'Match Data'!EI41+'Match Data'!FH41+'Match Data'!GG41+'Match Data'!HF41+'Match Data'!IE41</f>
        <v>0</v>
      </c>
      <c r="P41" s="94">
        <f>'Match Data'!O41+'Match Data'!AN41+'Match Data'!BM41+'Match Data'!CL41+'Match Data'!DK41+'Match Data'!EJ41+'Match Data'!FI41+'Match Data'!GH41+'Match Data'!HG41+'Match Data'!IF41</f>
        <v>0</v>
      </c>
      <c r="Q41" s="94">
        <f>'Match Data'!P41+'Match Data'!AO41+'Match Data'!BN41+'Match Data'!CM41+'Match Data'!DL41+'Match Data'!EK41+'Match Data'!FJ41+'Match Data'!GI41+'Match Data'!HH41+'Match Data'!IG41</f>
        <v>0</v>
      </c>
      <c r="R41" s="94">
        <f>'Match Data'!Q41+'Match Data'!AP41+'Match Data'!BO41+'Match Data'!CN41+'Match Data'!DM41+'Match Data'!EL41+'Match Data'!FK41+'Match Data'!GJ41+'Match Data'!HI41+'Match Data'!IH41</f>
        <v>0</v>
      </c>
      <c r="S41" s="94">
        <v>0</v>
      </c>
      <c r="T41" s="94">
        <v>0</v>
      </c>
      <c r="U41" s="94">
        <f>'Match Data'!S41+'Match Data'!AR41+'Match Data'!BQ41+'Match Data'!CP41+'Match Data'!DO41+'Match Data'!EN41+'Match Data'!FM41+'Match Data'!GL41+'Match Data'!HK41+'Match Data'!IJ41</f>
        <v>0</v>
      </c>
      <c r="V41" s="95">
        <f>'Match Data'!T41+'Match Data'!AS41+'Match Data'!BR41+'Match Data'!CQ41+'Match Data'!DP41+'Match Data'!EO41+'Match Data'!FN41+'Match Data'!GM41+'Match Data'!HL41+'Match Data'!IK41</f>
        <v>0</v>
      </c>
      <c r="W41" s="94">
        <f>'Match Data'!U41+'Match Data'!AT41+'Match Data'!BS41+'Match Data'!CR41+'Match Data'!DQ41+'Match Data'!EP41+'Match Data'!FO41+'Match Data'!GN41+'Match Data'!HM41+'Match Data'!IL41</f>
        <v>0</v>
      </c>
      <c r="X41" s="94">
        <f>'Match Data'!V41+'Match Data'!AU41+'Match Data'!BT41+'Match Data'!CS41+'Match Data'!DR41+'Match Data'!EQ41+'Match Data'!FP41+'Match Data'!GO41+'Match Data'!HN41+'Match Data'!IM41</f>
        <v>0</v>
      </c>
      <c r="Y41" s="94">
        <f>'Match Data'!W41+'Match Data'!AV41+'Match Data'!BU41+'Match Data'!CT41+'Match Data'!DS41+'Match Data'!ER41+'Match Data'!FQ41+'Match Data'!GP41+'Match Data'!HO41+'Match Data'!IN41</f>
        <v>0</v>
      </c>
      <c r="Z41" s="94">
        <f>'Match Data'!X41+'Match Data'!AW41+'Match Data'!BV41+'Match Data'!CU41+'Match Data'!DT41+'Match Data'!ES41+'Match Data'!FR41+'Match Data'!GQ41+'Match Data'!HP41+'Match Data'!IO41</f>
        <v>0</v>
      </c>
      <c r="AA41" s="94">
        <f>'Match Data'!Y41+'Match Data'!AX41+'Match Data'!BW41+'Match Data'!CV41+'Match Data'!DU41+'Match Data'!ET41+'Match Data'!FS41+'Match Data'!GR41+'Match Data'!HQ41+'Match Data'!IP41</f>
        <v>0</v>
      </c>
      <c r="AB41" s="102">
        <f>'Match Data'!Z41+'Match Data'!AY41+'Match Data'!BX41+'Match Data'!CW41+'Match Data'!DV41+'Match Data'!EU41+'Match Data'!FT41+'Match Data'!GS41+'Match Data'!HR41+'Match Data'!IQ41</f>
        <v>0</v>
      </c>
      <c r="AC41" s="99">
        <f>'Alliance Data'!B40+'Alliance Data'!L40+'Alliance Data'!V40+'Alliance Data'!AF40+'Alliance Data'!AP40+'Alliance Data'!AZ40+'Alliance Data'!BJ40+'Alliance Data'!BT40+'Alliance Data'!CD40+'Alliance Data'!CN40</f>
        <v>0</v>
      </c>
      <c r="AD41" s="118">
        <f>('Alliance Data'!C40+'Alliance Data'!M40+'Alliance Data'!W40+'Alliance Data'!AG40+'Alliance Data'!AQ40+'Alliance Data'!BA40+'Alliance Data'!BK40+'Alliance Data'!BU40+'Alliance Data'!CE40+'Alliance Data'!CO40)/Value!Q39</f>
        <v>0</v>
      </c>
      <c r="AE41" s="118">
        <f>('Alliance Data'!D40+'Alliance Data'!N40+'Alliance Data'!X40+'Alliance Data'!AH40+'Alliance Data'!AR40+'Alliance Data'!BB40+'Alliance Data'!BL40+'Alliance Data'!BV40+'Alliance Data'!CF40+'Alliance Data'!CP40)/Value!Q39</f>
        <v>0</v>
      </c>
      <c r="AF41" s="118">
        <f>('Alliance Data'!E40+'Alliance Data'!O40+'Alliance Data'!Y40+'Alliance Data'!AI40+'Alliance Data'!AS40+'Alliance Data'!BC40+'Alliance Data'!BM40+'Alliance Data'!BW40+'Alliance Data'!CG40+'Alliance Data'!CQ40)/Value!Q39</f>
        <v>0</v>
      </c>
      <c r="AG41" s="118">
        <f>('Alliance Data'!F40+'Alliance Data'!P40+'Alliance Data'!Z40+'Alliance Data'!AJ40+'Alliance Data'!AT40+'Alliance Data'!BD40+'Alliance Data'!BN40+'Alliance Data'!BX40+'Alliance Data'!CH40+'Alliance Data'!CR40)/Value!Q39</f>
        <v>0</v>
      </c>
      <c r="AH41" s="118">
        <f>('Alliance Data'!G40+'Alliance Data'!Q40+'Alliance Data'!AA40+'Alliance Data'!AK40+'Alliance Data'!AU40+'Alliance Data'!BE40+'Alliance Data'!BO40+'Alliance Data'!BY40+'Alliance Data'!CI40+'Alliance Data'!CS40)/Value!Q39</f>
        <v>0</v>
      </c>
      <c r="AI41" s="118">
        <f>('Alliance Data'!H40+'Alliance Data'!R40+'Alliance Data'!AB40+'Alliance Data'!AL40+'Alliance Data'!AV40+'Alliance Data'!BF40+'Alliance Data'!BP40+'Alliance Data'!BZ40+'Alliance Data'!CJ40+'Alliance Data'!CT40)/Value!Q39</f>
        <v>0</v>
      </c>
      <c r="AJ41" s="118">
        <f>('Alliance Data'!I40+'Alliance Data'!S40+'Alliance Data'!AC40+'Alliance Data'!AM40+'Alliance Data'!AW40+'Alliance Data'!BG40+'Alliance Data'!BQ40+'Alliance Data'!CA40+'Alliance Data'!CK40+'Alliance Data'!CU40)/Value!Q39</f>
        <v>0</v>
      </c>
      <c r="AK41" s="118">
        <f>'Alliance Data'!J40+'Alliance Data'!T40+'Alliance Data'!AD40+'Alliance Data'!AN40+'Alliance Data'!AX40+'Alliance Data'!BH40+'Alliance Data'!BR40+'Alliance Data'!CB40+'Alliance Data'!CL40+'Alliance Data'!CV40</f>
        <v>0</v>
      </c>
      <c r="AL41" s="119">
        <f>'Alliance Data'!K40+'Alliance Data'!U40+'Alliance Data'!AE40+'Alliance Data'!AO40+'Alliance Data'!AY40+'Alliance Data'!BI40+'Alliance Data'!BS40+'Alliance Data'!CC40+'Alliance Data'!CM40+'Alliance Data'!CW40</f>
        <v>0</v>
      </c>
    </row>
    <row r="42" spans="1:38" x14ac:dyDescent="0.25">
      <c r="A42" s="86">
        <v>4238</v>
      </c>
      <c r="B42" s="99">
        <f>'Match Data'!B42+'Match Data'!AA42+'Match Data'!AZ42+'Match Data'!BY42+'Match Data'!CX42+'Match Data'!DW42+'Match Data'!EV42+'Match Data'!FU42+'Match Data'!GT42+'Match Data'!HS42</f>
        <v>0</v>
      </c>
      <c r="C42" s="94">
        <f>'Match Data'!C42+'Match Data'!AB42+'Match Data'!BA42+'Match Data'!BZ42+'Match Data'!CY42+'Match Data'!DX42+'Match Data'!EW42+'Match Data'!FV42+'Match Data'!GU42+'Match Data'!HT42</f>
        <v>0</v>
      </c>
      <c r="D42" s="94">
        <f>'Match Data'!D42+'Match Data'!AC42+'Match Data'!BB42+'Match Data'!CA42+'Match Data'!CZ42+'Match Data'!DY42+'Match Data'!EX42+'Match Data'!FW42+'Match Data'!GV42+'Match Data'!HU42</f>
        <v>0</v>
      </c>
      <c r="E42" s="94">
        <f>'Match Data'!E42+'Match Data'!AD42+'Match Data'!BC42+'Match Data'!CB42+'Match Data'!DA42+'Match Data'!DZ42+'Match Data'!EY42+'Match Data'!FX42+'Match Data'!GW42+'Match Data'!HV42</f>
        <v>0</v>
      </c>
      <c r="F42" s="94">
        <f>'Match Data'!F42+'Match Data'!AE42+'Match Data'!BD42+'Match Data'!CC42+'Match Data'!DB42+'Match Data'!EA42+'Match Data'!EZ42+'Match Data'!FY42+'Match Data'!GX42+'Match Data'!HW42</f>
        <v>0</v>
      </c>
      <c r="G42" s="94">
        <f>'Match Data'!G42+'Match Data'!AF42+'Match Data'!BE42+'Match Data'!CD42+'Match Data'!DC42+'Match Data'!EB42+'Match Data'!FA42+'Match Data'!FZ42+'Match Data'!GY42+'Match Data'!HX42</f>
        <v>0</v>
      </c>
      <c r="H42" s="94">
        <f>'Match Data'!H42+'Match Data'!AG42+'Match Data'!BF42+'Match Data'!CE42+'Match Data'!DD42+'Match Data'!EC42+'Match Data'!FB42+'Match Data'!GA42+'Match Data'!GZ42+'Match Data'!HY42</f>
        <v>0</v>
      </c>
      <c r="I42" s="94">
        <f>'Match Data'!I42+'Match Data'!AH42+'Match Data'!BG42+'Match Data'!CF42+'Match Data'!DE42+'Match Data'!ED42+'Match Data'!FC42+'Match Data'!GB42+'Match Data'!HA42+'Match Data'!HZ42</f>
        <v>0</v>
      </c>
      <c r="J42" s="94" t="e">
        <f>(Table5[[#This Row],[High Made]]+Table5[[#This Row],[Low Made]])/(SUM(Table5[[#This Row],[High Made]:[Low Miss]]))</f>
        <v>#DIV/0!</v>
      </c>
      <c r="K42" s="94">
        <f>'Match Data'!J42+'Match Data'!AI42+'Match Data'!BH42+'Match Data'!CG42+'Match Data'!DF42+'Match Data'!EE42+'Match Data'!FD42+'Match Data'!GC42+'Match Data'!HB42+'Match Data'!IA42</f>
        <v>0</v>
      </c>
      <c r="L42" s="94">
        <f>'Match Data'!K42+'Match Data'!AJ42+'Match Data'!BI42+'Match Data'!CH42+'Match Data'!DG42+'Match Data'!EF42+'Match Data'!FE42+'Match Data'!GD42+'Match Data'!HC42+'Match Data'!IB42</f>
        <v>0</v>
      </c>
      <c r="M42" s="94">
        <f>'Match Data'!L42+'Match Data'!AK42+'Match Data'!BJ42+'Match Data'!CI42+'Match Data'!DH42+'Match Data'!EG42+'Match Data'!FF42+'Match Data'!GE42+'Match Data'!HD42+'Match Data'!IC42</f>
        <v>0</v>
      </c>
      <c r="N42" s="94">
        <f>'Match Data'!M42+'Match Data'!AL42+'Match Data'!BK42+'Match Data'!CJ42+'Match Data'!DI42+'Match Data'!EH42+'Match Data'!FG42+'Match Data'!GF42+'Match Data'!HE42+'Match Data'!ID42</f>
        <v>0</v>
      </c>
      <c r="O42" s="94">
        <f>'Match Data'!N42+'Match Data'!AM42+'Match Data'!BL42+'Match Data'!CK42+'Match Data'!DJ42+'Match Data'!EI42+'Match Data'!FH42+'Match Data'!GG42+'Match Data'!HF42+'Match Data'!IE42</f>
        <v>0</v>
      </c>
      <c r="P42" s="94">
        <f>'Match Data'!O42+'Match Data'!AN42+'Match Data'!BM42+'Match Data'!CL42+'Match Data'!DK42+'Match Data'!EJ42+'Match Data'!FI42+'Match Data'!GH42+'Match Data'!HG42+'Match Data'!IF42</f>
        <v>0</v>
      </c>
      <c r="Q42" s="94">
        <f>'Match Data'!P42+'Match Data'!AO42+'Match Data'!BN42+'Match Data'!CM42+'Match Data'!DL42+'Match Data'!EK42+'Match Data'!FJ42+'Match Data'!GI42+'Match Data'!HH42+'Match Data'!IG42</f>
        <v>0</v>
      </c>
      <c r="R42" s="94">
        <f>'Match Data'!Q42+'Match Data'!AP42+'Match Data'!BO42+'Match Data'!CN42+'Match Data'!DM42+'Match Data'!EL42+'Match Data'!FK42+'Match Data'!GJ42+'Match Data'!HI42+'Match Data'!IH42</f>
        <v>0</v>
      </c>
      <c r="S42" s="94">
        <v>0</v>
      </c>
      <c r="T42" s="94">
        <v>0</v>
      </c>
      <c r="U42" s="94">
        <f>'Match Data'!S42+'Match Data'!AR42+'Match Data'!BQ42+'Match Data'!CP42+'Match Data'!DO42+'Match Data'!EN42+'Match Data'!FM42+'Match Data'!GL42+'Match Data'!HK42+'Match Data'!IJ42</f>
        <v>0</v>
      </c>
      <c r="V42" s="95">
        <f>'Match Data'!T42+'Match Data'!AS42+'Match Data'!BR42+'Match Data'!CQ42+'Match Data'!DP42+'Match Data'!EO42+'Match Data'!FN42+'Match Data'!GM42+'Match Data'!HL42+'Match Data'!IK42</f>
        <v>0</v>
      </c>
      <c r="W42" s="94">
        <f>'Match Data'!U42+'Match Data'!AT42+'Match Data'!BS42+'Match Data'!CR42+'Match Data'!DQ42+'Match Data'!EP42+'Match Data'!FO42+'Match Data'!GN42+'Match Data'!HM42+'Match Data'!IL42</f>
        <v>0</v>
      </c>
      <c r="X42" s="94">
        <f>'Match Data'!V42+'Match Data'!AU42+'Match Data'!BT42+'Match Data'!CS42+'Match Data'!DR42+'Match Data'!EQ42+'Match Data'!FP42+'Match Data'!GO42+'Match Data'!HN42+'Match Data'!IM42</f>
        <v>0</v>
      </c>
      <c r="Y42" s="94">
        <f>'Match Data'!W42+'Match Data'!AV42+'Match Data'!BU42+'Match Data'!CT42+'Match Data'!DS42+'Match Data'!ER42+'Match Data'!FQ42+'Match Data'!GP42+'Match Data'!HO42+'Match Data'!IN42</f>
        <v>0</v>
      </c>
      <c r="Z42" s="94">
        <f>'Match Data'!X42+'Match Data'!AW42+'Match Data'!BV42+'Match Data'!CU42+'Match Data'!DT42+'Match Data'!ES42+'Match Data'!FR42+'Match Data'!GQ42+'Match Data'!HP42+'Match Data'!IO42</f>
        <v>0</v>
      </c>
      <c r="AA42" s="94">
        <f>'Match Data'!Y42+'Match Data'!AX42+'Match Data'!BW42+'Match Data'!CV42+'Match Data'!DU42+'Match Data'!ET42+'Match Data'!FS42+'Match Data'!GR42+'Match Data'!HQ42+'Match Data'!IP42</f>
        <v>0</v>
      </c>
      <c r="AB42" s="102">
        <f>'Match Data'!Z42+'Match Data'!AY42+'Match Data'!BX42+'Match Data'!CW42+'Match Data'!DV42+'Match Data'!EU42+'Match Data'!FT42+'Match Data'!GS42+'Match Data'!HR42+'Match Data'!IQ42</f>
        <v>0</v>
      </c>
      <c r="AC42" s="99">
        <f>'Alliance Data'!B41+'Alliance Data'!L41+'Alliance Data'!V41+'Alliance Data'!AF41+'Alliance Data'!AP41+'Alliance Data'!AZ41+'Alliance Data'!BJ41+'Alliance Data'!BT41+'Alliance Data'!CD41+'Alliance Data'!CN41</f>
        <v>0</v>
      </c>
      <c r="AD42" s="118">
        <f>('Alliance Data'!C41+'Alliance Data'!M41+'Alliance Data'!W41+'Alliance Data'!AG41+'Alliance Data'!AQ41+'Alliance Data'!BA41+'Alliance Data'!BK41+'Alliance Data'!BU41+'Alliance Data'!CE41+'Alliance Data'!CO41)/Value!Q40</f>
        <v>0</v>
      </c>
      <c r="AE42" s="118">
        <f>('Alliance Data'!D41+'Alliance Data'!N41+'Alliance Data'!X41+'Alliance Data'!AH41+'Alliance Data'!AR41+'Alliance Data'!BB41+'Alliance Data'!BL41+'Alliance Data'!BV41+'Alliance Data'!CF41+'Alliance Data'!CP41)/Value!Q40</f>
        <v>0</v>
      </c>
      <c r="AF42" s="118">
        <f>('Alliance Data'!E41+'Alliance Data'!O41+'Alliance Data'!Y41+'Alliance Data'!AI41+'Alliance Data'!AS41+'Alliance Data'!BC41+'Alliance Data'!BM41+'Alliance Data'!BW41+'Alliance Data'!CG41+'Alliance Data'!CQ41)/Value!Q40</f>
        <v>0</v>
      </c>
      <c r="AG42" s="118">
        <f>('Alliance Data'!F41+'Alliance Data'!P41+'Alliance Data'!Z41+'Alliance Data'!AJ41+'Alliance Data'!AT41+'Alliance Data'!BD41+'Alliance Data'!BN41+'Alliance Data'!BX41+'Alliance Data'!CH41+'Alliance Data'!CR41)/Value!Q40</f>
        <v>0</v>
      </c>
      <c r="AH42" s="118">
        <f>('Alliance Data'!G41+'Alliance Data'!Q41+'Alliance Data'!AA41+'Alliance Data'!AK41+'Alliance Data'!AU41+'Alliance Data'!BE41+'Alliance Data'!BO41+'Alliance Data'!BY41+'Alliance Data'!CI41+'Alliance Data'!CS41)/Value!Q40</f>
        <v>0</v>
      </c>
      <c r="AI42" s="118">
        <f>('Alliance Data'!H41+'Alliance Data'!R41+'Alliance Data'!AB41+'Alliance Data'!AL41+'Alliance Data'!AV41+'Alliance Data'!BF41+'Alliance Data'!BP41+'Alliance Data'!BZ41+'Alliance Data'!CJ41+'Alliance Data'!CT41)/Value!Q40</f>
        <v>0</v>
      </c>
      <c r="AJ42" s="118">
        <f>('Alliance Data'!I41+'Alliance Data'!S41+'Alliance Data'!AC41+'Alliance Data'!AM41+'Alliance Data'!AW41+'Alliance Data'!BG41+'Alliance Data'!BQ41+'Alliance Data'!CA41+'Alliance Data'!CK41+'Alliance Data'!CU41)/Value!Q40</f>
        <v>0</v>
      </c>
      <c r="AK42" s="118">
        <f>'Alliance Data'!J41+'Alliance Data'!T41+'Alliance Data'!AD41+'Alliance Data'!AN41+'Alliance Data'!AX41+'Alliance Data'!BH41+'Alliance Data'!BR41+'Alliance Data'!CB41+'Alliance Data'!CL41+'Alliance Data'!CV41</f>
        <v>0</v>
      </c>
      <c r="AL42" s="119">
        <f>'Alliance Data'!K41+'Alliance Data'!U41+'Alliance Data'!AE41+'Alliance Data'!AO41+'Alliance Data'!AY41+'Alliance Data'!BI41+'Alliance Data'!BS41+'Alliance Data'!CC41+'Alliance Data'!CM41+'Alliance Data'!CW41</f>
        <v>0</v>
      </c>
    </row>
    <row r="43" spans="1:38" x14ac:dyDescent="0.25">
      <c r="A43" s="86">
        <v>4531</v>
      </c>
      <c r="B43" s="99">
        <f>'Match Data'!B43+'Match Data'!AA43+'Match Data'!AZ43+'Match Data'!BY43+'Match Data'!CX43+'Match Data'!DW43+'Match Data'!EV43+'Match Data'!FU43+'Match Data'!GT43+'Match Data'!HS43</f>
        <v>0</v>
      </c>
      <c r="C43" s="94">
        <f>'Match Data'!C43+'Match Data'!AB43+'Match Data'!BA43+'Match Data'!BZ43+'Match Data'!CY43+'Match Data'!DX43+'Match Data'!EW43+'Match Data'!FV43+'Match Data'!GU43+'Match Data'!HT43</f>
        <v>0</v>
      </c>
      <c r="D43" s="94">
        <f>'Match Data'!D43+'Match Data'!AC43+'Match Data'!BB43+'Match Data'!CA43+'Match Data'!CZ43+'Match Data'!DY43+'Match Data'!EX43+'Match Data'!FW43+'Match Data'!GV43+'Match Data'!HU43</f>
        <v>0</v>
      </c>
      <c r="E43" s="94">
        <f>'Match Data'!E43+'Match Data'!AD43+'Match Data'!BC43+'Match Data'!CB43+'Match Data'!DA43+'Match Data'!DZ43+'Match Data'!EY43+'Match Data'!FX43+'Match Data'!GW43+'Match Data'!HV43</f>
        <v>0</v>
      </c>
      <c r="F43" s="94">
        <f>'Match Data'!F43+'Match Data'!AE43+'Match Data'!BD43+'Match Data'!CC43+'Match Data'!DB43+'Match Data'!EA43+'Match Data'!EZ43+'Match Data'!FY43+'Match Data'!GX43+'Match Data'!HW43</f>
        <v>0</v>
      </c>
      <c r="G43" s="94">
        <f>'Match Data'!G43+'Match Data'!AF43+'Match Data'!BE43+'Match Data'!CD43+'Match Data'!DC43+'Match Data'!EB43+'Match Data'!FA43+'Match Data'!FZ43+'Match Data'!GY43+'Match Data'!HX43</f>
        <v>0</v>
      </c>
      <c r="H43" s="94">
        <f>'Match Data'!H43+'Match Data'!AG43+'Match Data'!BF43+'Match Data'!CE43+'Match Data'!DD43+'Match Data'!EC43+'Match Data'!FB43+'Match Data'!GA43+'Match Data'!GZ43+'Match Data'!HY43</f>
        <v>0</v>
      </c>
      <c r="I43" s="94">
        <f>'Match Data'!I43+'Match Data'!AH43+'Match Data'!BG43+'Match Data'!CF43+'Match Data'!DE43+'Match Data'!ED43+'Match Data'!FC43+'Match Data'!GB43+'Match Data'!HA43+'Match Data'!HZ43</f>
        <v>0</v>
      </c>
      <c r="J43" s="94" t="e">
        <f>(Table5[[#This Row],[High Made]]+Table5[[#This Row],[Low Made]])/(SUM(Table5[[#This Row],[High Made]:[Low Miss]]))</f>
        <v>#DIV/0!</v>
      </c>
      <c r="K43" s="94">
        <f>'Match Data'!J43+'Match Data'!AI43+'Match Data'!BH43+'Match Data'!CG43+'Match Data'!DF43+'Match Data'!EE43+'Match Data'!FD43+'Match Data'!GC43+'Match Data'!HB43+'Match Data'!IA43</f>
        <v>0</v>
      </c>
      <c r="L43" s="94">
        <f>'Match Data'!K43+'Match Data'!AJ43+'Match Data'!BI43+'Match Data'!CH43+'Match Data'!DG43+'Match Data'!EF43+'Match Data'!FE43+'Match Data'!GD43+'Match Data'!HC43+'Match Data'!IB43</f>
        <v>0</v>
      </c>
      <c r="M43" s="94">
        <f>'Match Data'!L43+'Match Data'!AK43+'Match Data'!BJ43+'Match Data'!CI43+'Match Data'!DH43+'Match Data'!EG43+'Match Data'!FF43+'Match Data'!GE43+'Match Data'!HD43+'Match Data'!IC43</f>
        <v>0</v>
      </c>
      <c r="N43" s="94">
        <f>'Match Data'!M43+'Match Data'!AL43+'Match Data'!BK43+'Match Data'!CJ43+'Match Data'!DI43+'Match Data'!EH43+'Match Data'!FG43+'Match Data'!GF43+'Match Data'!HE43+'Match Data'!ID43</f>
        <v>0</v>
      </c>
      <c r="O43" s="94">
        <f>'Match Data'!N43+'Match Data'!AM43+'Match Data'!BL43+'Match Data'!CK43+'Match Data'!DJ43+'Match Data'!EI43+'Match Data'!FH43+'Match Data'!GG43+'Match Data'!HF43+'Match Data'!IE43</f>
        <v>0</v>
      </c>
      <c r="P43" s="94">
        <f>'Match Data'!O43+'Match Data'!AN43+'Match Data'!BM43+'Match Data'!CL43+'Match Data'!DK43+'Match Data'!EJ43+'Match Data'!FI43+'Match Data'!GH43+'Match Data'!HG43+'Match Data'!IF43</f>
        <v>0</v>
      </c>
      <c r="Q43" s="94">
        <f>'Match Data'!P43+'Match Data'!AO43+'Match Data'!BN43+'Match Data'!CM43+'Match Data'!DL43+'Match Data'!EK43+'Match Data'!FJ43+'Match Data'!GI43+'Match Data'!HH43+'Match Data'!IG43</f>
        <v>0</v>
      </c>
      <c r="R43" s="94">
        <f>'Match Data'!Q43+'Match Data'!AP43+'Match Data'!BO43+'Match Data'!CN43+'Match Data'!DM43+'Match Data'!EL43+'Match Data'!FK43+'Match Data'!GJ43+'Match Data'!HI43+'Match Data'!IH43</f>
        <v>0</v>
      </c>
      <c r="S43" s="94">
        <v>0</v>
      </c>
      <c r="T43" s="94">
        <v>0</v>
      </c>
      <c r="U43" s="94">
        <f>'Match Data'!S43+'Match Data'!AR43+'Match Data'!BQ43+'Match Data'!CP43+'Match Data'!DO43+'Match Data'!EN43+'Match Data'!FM43+'Match Data'!GL43+'Match Data'!HK43+'Match Data'!IJ43</f>
        <v>0</v>
      </c>
      <c r="V43" s="95">
        <f>'Match Data'!T43+'Match Data'!AS43+'Match Data'!BR43+'Match Data'!CQ43+'Match Data'!DP43+'Match Data'!EO43+'Match Data'!FN43+'Match Data'!GM43+'Match Data'!HL43+'Match Data'!IK43</f>
        <v>0</v>
      </c>
      <c r="W43" s="94">
        <f>'Match Data'!U43+'Match Data'!AT43+'Match Data'!BS43+'Match Data'!CR43+'Match Data'!DQ43+'Match Data'!EP43+'Match Data'!FO43+'Match Data'!GN43+'Match Data'!HM43+'Match Data'!IL43</f>
        <v>0</v>
      </c>
      <c r="X43" s="94">
        <f>'Match Data'!V43+'Match Data'!AU43+'Match Data'!BT43+'Match Data'!CS43+'Match Data'!DR43+'Match Data'!EQ43+'Match Data'!FP43+'Match Data'!GO43+'Match Data'!HN43+'Match Data'!IM43</f>
        <v>0</v>
      </c>
      <c r="Y43" s="94">
        <f>'Match Data'!W43+'Match Data'!AV43+'Match Data'!BU43+'Match Data'!CT43+'Match Data'!DS43+'Match Data'!ER43+'Match Data'!FQ43+'Match Data'!GP43+'Match Data'!HO43+'Match Data'!IN43</f>
        <v>0</v>
      </c>
      <c r="Z43" s="94">
        <f>'Match Data'!X43+'Match Data'!AW43+'Match Data'!BV43+'Match Data'!CU43+'Match Data'!DT43+'Match Data'!ES43+'Match Data'!FR43+'Match Data'!GQ43+'Match Data'!HP43+'Match Data'!IO43</f>
        <v>0</v>
      </c>
      <c r="AA43" s="94">
        <f>'Match Data'!Y43+'Match Data'!AX43+'Match Data'!BW43+'Match Data'!CV43+'Match Data'!DU43+'Match Data'!ET43+'Match Data'!FS43+'Match Data'!GR43+'Match Data'!HQ43+'Match Data'!IP43</f>
        <v>0</v>
      </c>
      <c r="AB43" s="102">
        <f>'Match Data'!Z43+'Match Data'!AY43+'Match Data'!BX43+'Match Data'!CW43+'Match Data'!DV43+'Match Data'!EU43+'Match Data'!FT43+'Match Data'!GS43+'Match Data'!HR43+'Match Data'!IQ43</f>
        <v>0</v>
      </c>
      <c r="AC43" s="99">
        <f>'Alliance Data'!B42+'Alliance Data'!L42+'Alliance Data'!V42+'Alliance Data'!AF42+'Alliance Data'!AP42+'Alliance Data'!AZ42+'Alliance Data'!BJ42+'Alliance Data'!BT42+'Alliance Data'!CD42+'Alliance Data'!CN42</f>
        <v>0</v>
      </c>
      <c r="AD43" s="118">
        <f>('Alliance Data'!C42+'Alliance Data'!M42+'Alliance Data'!W42+'Alliance Data'!AG42+'Alliance Data'!AQ42+'Alliance Data'!BA42+'Alliance Data'!BK42+'Alliance Data'!BU42+'Alliance Data'!CE42+'Alliance Data'!CO42)/Value!Q41</f>
        <v>0</v>
      </c>
      <c r="AE43" s="118">
        <f>('Alliance Data'!D42+'Alliance Data'!N42+'Alliance Data'!X42+'Alliance Data'!AH42+'Alliance Data'!AR42+'Alliance Data'!BB42+'Alliance Data'!BL42+'Alliance Data'!BV42+'Alliance Data'!CF42+'Alliance Data'!CP42)/Value!Q41</f>
        <v>0</v>
      </c>
      <c r="AF43" s="118">
        <f>('Alliance Data'!E42+'Alliance Data'!O42+'Alliance Data'!Y42+'Alliance Data'!AI42+'Alliance Data'!AS42+'Alliance Data'!BC42+'Alliance Data'!BM42+'Alliance Data'!BW42+'Alliance Data'!CG42+'Alliance Data'!CQ42)/Value!Q41</f>
        <v>0</v>
      </c>
      <c r="AG43" s="118">
        <f>('Alliance Data'!F42+'Alliance Data'!P42+'Alliance Data'!Z42+'Alliance Data'!AJ42+'Alliance Data'!AT42+'Alliance Data'!BD42+'Alliance Data'!BN42+'Alliance Data'!BX42+'Alliance Data'!CH42+'Alliance Data'!CR42)/Value!Q41</f>
        <v>0</v>
      </c>
      <c r="AH43" s="118">
        <f>('Alliance Data'!G42+'Alliance Data'!Q42+'Alliance Data'!AA42+'Alliance Data'!AK42+'Alliance Data'!AU42+'Alliance Data'!BE42+'Alliance Data'!BO42+'Alliance Data'!BY42+'Alliance Data'!CI42+'Alliance Data'!CS42)/Value!Q41</f>
        <v>0</v>
      </c>
      <c r="AI43" s="118">
        <f>('Alliance Data'!H42+'Alliance Data'!R42+'Alliance Data'!AB42+'Alliance Data'!AL42+'Alliance Data'!AV42+'Alliance Data'!BF42+'Alliance Data'!BP42+'Alliance Data'!BZ42+'Alliance Data'!CJ42+'Alliance Data'!CT42)/Value!Q41</f>
        <v>0</v>
      </c>
      <c r="AJ43" s="118">
        <f>('Alliance Data'!I42+'Alliance Data'!S42+'Alliance Data'!AC42+'Alliance Data'!AM42+'Alliance Data'!AW42+'Alliance Data'!BG42+'Alliance Data'!BQ42+'Alliance Data'!CA42+'Alliance Data'!CK42+'Alliance Data'!CU42)/Value!Q41</f>
        <v>0</v>
      </c>
      <c r="AK43" s="118">
        <f>'Alliance Data'!J42+'Alliance Data'!T42+'Alliance Data'!AD42+'Alliance Data'!AN42+'Alliance Data'!AX42+'Alliance Data'!BH42+'Alliance Data'!BR42+'Alliance Data'!CB42+'Alliance Data'!CL42+'Alliance Data'!CV42</f>
        <v>0</v>
      </c>
      <c r="AL43" s="119">
        <f>'Alliance Data'!K42+'Alliance Data'!U42+'Alliance Data'!AE42+'Alliance Data'!AO42+'Alliance Data'!AY42+'Alliance Data'!BI42+'Alliance Data'!BS42+'Alliance Data'!CC42+'Alliance Data'!CM42+'Alliance Data'!CW42</f>
        <v>0</v>
      </c>
    </row>
    <row r="44" spans="1:38" x14ac:dyDescent="0.25">
      <c r="A44" s="86">
        <v>4549</v>
      </c>
      <c r="B44" s="99">
        <f>'Match Data'!B44+'Match Data'!AA44+'Match Data'!AZ44+'Match Data'!BY44+'Match Data'!CX44+'Match Data'!DW44+'Match Data'!EV44+'Match Data'!FU44+'Match Data'!GT44+'Match Data'!HS44</f>
        <v>0</v>
      </c>
      <c r="C44" s="94">
        <f>'Match Data'!C44+'Match Data'!AB44+'Match Data'!BA44+'Match Data'!BZ44+'Match Data'!CY44+'Match Data'!DX44+'Match Data'!EW44+'Match Data'!FV44+'Match Data'!GU44+'Match Data'!HT44</f>
        <v>0</v>
      </c>
      <c r="D44" s="94">
        <f>'Match Data'!D44+'Match Data'!AC44+'Match Data'!BB44+'Match Data'!CA44+'Match Data'!CZ44+'Match Data'!DY44+'Match Data'!EX44+'Match Data'!FW44+'Match Data'!GV44+'Match Data'!HU44</f>
        <v>0</v>
      </c>
      <c r="E44" s="94">
        <f>'Match Data'!E44+'Match Data'!AD44+'Match Data'!BC44+'Match Data'!CB44+'Match Data'!DA44+'Match Data'!DZ44+'Match Data'!EY44+'Match Data'!FX44+'Match Data'!GW44+'Match Data'!HV44</f>
        <v>0</v>
      </c>
      <c r="F44" s="94">
        <f>'Match Data'!F44+'Match Data'!AE44+'Match Data'!BD44+'Match Data'!CC44+'Match Data'!DB44+'Match Data'!EA44+'Match Data'!EZ44+'Match Data'!FY44+'Match Data'!GX44+'Match Data'!HW44</f>
        <v>0</v>
      </c>
      <c r="G44" s="94">
        <f>'Match Data'!G44+'Match Data'!AF44+'Match Data'!BE44+'Match Data'!CD44+'Match Data'!DC44+'Match Data'!EB44+'Match Data'!FA44+'Match Data'!FZ44+'Match Data'!GY44+'Match Data'!HX44</f>
        <v>0</v>
      </c>
      <c r="H44" s="94">
        <f>'Match Data'!H44+'Match Data'!AG44+'Match Data'!BF44+'Match Data'!CE44+'Match Data'!DD44+'Match Data'!EC44+'Match Data'!FB44+'Match Data'!GA44+'Match Data'!GZ44+'Match Data'!HY44</f>
        <v>0</v>
      </c>
      <c r="I44" s="94">
        <f>'Match Data'!I44+'Match Data'!AH44+'Match Data'!BG44+'Match Data'!CF44+'Match Data'!DE44+'Match Data'!ED44+'Match Data'!FC44+'Match Data'!GB44+'Match Data'!HA44+'Match Data'!HZ44</f>
        <v>0</v>
      </c>
      <c r="J44" s="94" t="e">
        <f>(Table5[[#This Row],[High Made]]+Table5[[#This Row],[Low Made]])/(SUM(Table5[[#This Row],[High Made]:[Low Miss]]))</f>
        <v>#DIV/0!</v>
      </c>
      <c r="K44" s="94">
        <f>'Match Data'!J44+'Match Data'!AI44+'Match Data'!BH44+'Match Data'!CG44+'Match Data'!DF44+'Match Data'!EE44+'Match Data'!FD44+'Match Data'!GC44+'Match Data'!HB44+'Match Data'!IA44</f>
        <v>0</v>
      </c>
      <c r="L44" s="94">
        <f>'Match Data'!K44+'Match Data'!AJ44+'Match Data'!BI44+'Match Data'!CH44+'Match Data'!DG44+'Match Data'!EF44+'Match Data'!FE44+'Match Data'!GD44+'Match Data'!HC44+'Match Data'!IB44</f>
        <v>0</v>
      </c>
      <c r="M44" s="94">
        <f>'Match Data'!L44+'Match Data'!AK44+'Match Data'!BJ44+'Match Data'!CI44+'Match Data'!DH44+'Match Data'!EG44+'Match Data'!FF44+'Match Data'!GE44+'Match Data'!HD44+'Match Data'!IC44</f>
        <v>0</v>
      </c>
      <c r="N44" s="94">
        <f>'Match Data'!M44+'Match Data'!AL44+'Match Data'!BK44+'Match Data'!CJ44+'Match Data'!DI44+'Match Data'!EH44+'Match Data'!FG44+'Match Data'!GF44+'Match Data'!HE44+'Match Data'!ID44</f>
        <v>0</v>
      </c>
      <c r="O44" s="94">
        <f>'Match Data'!N44+'Match Data'!AM44+'Match Data'!BL44+'Match Data'!CK44+'Match Data'!DJ44+'Match Data'!EI44+'Match Data'!FH44+'Match Data'!GG44+'Match Data'!HF44+'Match Data'!IE44</f>
        <v>0</v>
      </c>
      <c r="P44" s="94">
        <f>'Match Data'!O44+'Match Data'!AN44+'Match Data'!BM44+'Match Data'!CL44+'Match Data'!DK44+'Match Data'!EJ44+'Match Data'!FI44+'Match Data'!GH44+'Match Data'!HG44+'Match Data'!IF44</f>
        <v>0</v>
      </c>
      <c r="Q44" s="94">
        <f>'Match Data'!P44+'Match Data'!AO44+'Match Data'!BN44+'Match Data'!CM44+'Match Data'!DL44+'Match Data'!EK44+'Match Data'!FJ44+'Match Data'!GI44+'Match Data'!HH44+'Match Data'!IG44</f>
        <v>0</v>
      </c>
      <c r="R44" s="94">
        <f>'Match Data'!Q44+'Match Data'!AP44+'Match Data'!BO44+'Match Data'!CN44+'Match Data'!DM44+'Match Data'!EL44+'Match Data'!FK44+'Match Data'!GJ44+'Match Data'!HI44+'Match Data'!IH44</f>
        <v>0</v>
      </c>
      <c r="S44" s="94">
        <v>0</v>
      </c>
      <c r="T44" s="94">
        <v>0</v>
      </c>
      <c r="U44" s="94">
        <f>'Match Data'!S44+'Match Data'!AR44+'Match Data'!BQ44+'Match Data'!CP44+'Match Data'!DO44+'Match Data'!EN44+'Match Data'!FM44+'Match Data'!GL44+'Match Data'!HK44+'Match Data'!IJ44</f>
        <v>0</v>
      </c>
      <c r="V44" s="95">
        <f>'Match Data'!T44+'Match Data'!AS44+'Match Data'!BR44+'Match Data'!CQ44+'Match Data'!DP44+'Match Data'!EO44+'Match Data'!FN44+'Match Data'!GM44+'Match Data'!HL44+'Match Data'!IK44</f>
        <v>0</v>
      </c>
      <c r="W44" s="94">
        <f>'Match Data'!U44+'Match Data'!AT44+'Match Data'!BS44+'Match Data'!CR44+'Match Data'!DQ44+'Match Data'!EP44+'Match Data'!FO44+'Match Data'!GN44+'Match Data'!HM44+'Match Data'!IL44</f>
        <v>0</v>
      </c>
      <c r="X44" s="94">
        <f>'Match Data'!V44+'Match Data'!AU44+'Match Data'!BT44+'Match Data'!CS44+'Match Data'!DR44+'Match Data'!EQ44+'Match Data'!FP44+'Match Data'!GO44+'Match Data'!HN44+'Match Data'!IM44</f>
        <v>0</v>
      </c>
      <c r="Y44" s="94">
        <f>'Match Data'!W44+'Match Data'!AV44+'Match Data'!BU44+'Match Data'!CT44+'Match Data'!DS44+'Match Data'!ER44+'Match Data'!FQ44+'Match Data'!GP44+'Match Data'!HO44+'Match Data'!IN44</f>
        <v>0</v>
      </c>
      <c r="Z44" s="94">
        <f>'Match Data'!X44+'Match Data'!AW44+'Match Data'!BV44+'Match Data'!CU44+'Match Data'!DT44+'Match Data'!ES44+'Match Data'!FR44+'Match Data'!GQ44+'Match Data'!HP44+'Match Data'!IO44</f>
        <v>0</v>
      </c>
      <c r="AA44" s="94">
        <f>'Match Data'!Y44+'Match Data'!AX44+'Match Data'!BW44+'Match Data'!CV44+'Match Data'!DU44+'Match Data'!ET44+'Match Data'!FS44+'Match Data'!GR44+'Match Data'!HQ44+'Match Data'!IP44</f>
        <v>0</v>
      </c>
      <c r="AB44" s="102">
        <f>'Match Data'!Z44+'Match Data'!AY44+'Match Data'!BX44+'Match Data'!CW44+'Match Data'!DV44+'Match Data'!EU44+'Match Data'!FT44+'Match Data'!GS44+'Match Data'!HR44+'Match Data'!IQ44</f>
        <v>0</v>
      </c>
      <c r="AC44" s="99">
        <f>'Alliance Data'!B43+'Alliance Data'!L43+'Alliance Data'!V43+'Alliance Data'!AF43+'Alliance Data'!AP43+'Alliance Data'!AZ43+'Alliance Data'!BJ43+'Alliance Data'!BT43+'Alliance Data'!CD43+'Alliance Data'!CN43</f>
        <v>0</v>
      </c>
      <c r="AD44" s="118">
        <f>('Alliance Data'!C43+'Alliance Data'!M43+'Alliance Data'!W43+'Alliance Data'!AG43+'Alliance Data'!AQ43+'Alliance Data'!BA43+'Alliance Data'!BK43+'Alliance Data'!BU43+'Alliance Data'!CE43+'Alliance Data'!CO43)/Value!Q42</f>
        <v>0</v>
      </c>
      <c r="AE44" s="118">
        <f>('Alliance Data'!D43+'Alliance Data'!N43+'Alliance Data'!X43+'Alliance Data'!AH43+'Alliance Data'!AR43+'Alliance Data'!BB43+'Alliance Data'!BL43+'Alliance Data'!BV43+'Alliance Data'!CF43+'Alliance Data'!CP43)/Value!Q42</f>
        <v>0</v>
      </c>
      <c r="AF44" s="118">
        <f>('Alliance Data'!E43+'Alliance Data'!O43+'Alliance Data'!Y43+'Alliance Data'!AI43+'Alliance Data'!AS43+'Alliance Data'!BC43+'Alliance Data'!BM43+'Alliance Data'!BW43+'Alliance Data'!CG43+'Alliance Data'!CQ43)/Value!Q42</f>
        <v>0</v>
      </c>
      <c r="AG44" s="118">
        <f>('Alliance Data'!F43+'Alliance Data'!P43+'Alliance Data'!Z43+'Alliance Data'!AJ43+'Alliance Data'!AT43+'Alliance Data'!BD43+'Alliance Data'!BN43+'Alliance Data'!BX43+'Alliance Data'!CH43+'Alliance Data'!CR43)/Value!Q42</f>
        <v>0</v>
      </c>
      <c r="AH44" s="118">
        <f>('Alliance Data'!G43+'Alliance Data'!Q43+'Alliance Data'!AA43+'Alliance Data'!AK43+'Alliance Data'!AU43+'Alliance Data'!BE43+'Alliance Data'!BO43+'Alliance Data'!BY43+'Alliance Data'!CI43+'Alliance Data'!CS43)/Value!Q42</f>
        <v>0</v>
      </c>
      <c r="AI44" s="118">
        <f>('Alliance Data'!H43+'Alliance Data'!R43+'Alliance Data'!AB43+'Alliance Data'!AL43+'Alliance Data'!AV43+'Alliance Data'!BF43+'Alliance Data'!BP43+'Alliance Data'!BZ43+'Alliance Data'!CJ43+'Alliance Data'!CT43)/Value!Q42</f>
        <v>0</v>
      </c>
      <c r="AJ44" s="118">
        <f>('Alliance Data'!I43+'Alliance Data'!S43+'Alliance Data'!AC43+'Alliance Data'!AM43+'Alliance Data'!AW43+'Alliance Data'!BG43+'Alliance Data'!BQ43+'Alliance Data'!CA43+'Alliance Data'!CK43+'Alliance Data'!CU43)/Value!Q42</f>
        <v>0</v>
      </c>
      <c r="AK44" s="118">
        <f>'Alliance Data'!J43+'Alliance Data'!T43+'Alliance Data'!AD43+'Alliance Data'!AN43+'Alliance Data'!AX43+'Alliance Data'!BH43+'Alliance Data'!BR43+'Alliance Data'!CB43+'Alliance Data'!CL43+'Alliance Data'!CV43</f>
        <v>0</v>
      </c>
      <c r="AL44" s="119">
        <f>'Alliance Data'!K43+'Alliance Data'!U43+'Alliance Data'!AE43+'Alliance Data'!AO43+'Alliance Data'!AY43+'Alliance Data'!BI43+'Alliance Data'!BS43+'Alliance Data'!CC43+'Alliance Data'!CM43+'Alliance Data'!CW43</f>
        <v>0</v>
      </c>
    </row>
    <row r="45" spans="1:38" x14ac:dyDescent="0.25">
      <c r="A45" s="86">
        <v>4623</v>
      </c>
      <c r="B45" s="99">
        <f>'Match Data'!B45+'Match Data'!AA45+'Match Data'!AZ45+'Match Data'!BY45+'Match Data'!CX45+'Match Data'!DW45+'Match Data'!EV45+'Match Data'!FU45+'Match Data'!GT45+'Match Data'!HS45</f>
        <v>0</v>
      </c>
      <c r="C45" s="94">
        <f>'Match Data'!C45+'Match Data'!AB45+'Match Data'!BA45+'Match Data'!BZ45+'Match Data'!CY45+'Match Data'!DX45+'Match Data'!EW45+'Match Data'!FV45+'Match Data'!GU45+'Match Data'!HT45</f>
        <v>0</v>
      </c>
      <c r="D45" s="94">
        <f>'Match Data'!D45+'Match Data'!AC45+'Match Data'!BB45+'Match Data'!CA45+'Match Data'!CZ45+'Match Data'!DY45+'Match Data'!EX45+'Match Data'!FW45+'Match Data'!GV45+'Match Data'!HU45</f>
        <v>0</v>
      </c>
      <c r="E45" s="94">
        <f>'Match Data'!E45+'Match Data'!AD45+'Match Data'!BC45+'Match Data'!CB45+'Match Data'!DA45+'Match Data'!DZ45+'Match Data'!EY45+'Match Data'!FX45+'Match Data'!GW45+'Match Data'!HV45</f>
        <v>0</v>
      </c>
      <c r="F45" s="94">
        <f>'Match Data'!F45+'Match Data'!AE45+'Match Data'!BD45+'Match Data'!CC45+'Match Data'!DB45+'Match Data'!EA45+'Match Data'!EZ45+'Match Data'!FY45+'Match Data'!GX45+'Match Data'!HW45</f>
        <v>0</v>
      </c>
      <c r="G45" s="94">
        <f>'Match Data'!G45+'Match Data'!AF45+'Match Data'!BE45+'Match Data'!CD45+'Match Data'!DC45+'Match Data'!EB45+'Match Data'!FA45+'Match Data'!FZ45+'Match Data'!GY45+'Match Data'!HX45</f>
        <v>0</v>
      </c>
      <c r="H45" s="94">
        <f>'Match Data'!H45+'Match Data'!AG45+'Match Data'!BF45+'Match Data'!CE45+'Match Data'!DD45+'Match Data'!EC45+'Match Data'!FB45+'Match Data'!GA45+'Match Data'!GZ45+'Match Data'!HY45</f>
        <v>0</v>
      </c>
      <c r="I45" s="94">
        <f>'Match Data'!I45+'Match Data'!AH45+'Match Data'!BG45+'Match Data'!CF45+'Match Data'!DE45+'Match Data'!ED45+'Match Data'!FC45+'Match Data'!GB45+'Match Data'!HA45+'Match Data'!HZ45</f>
        <v>0</v>
      </c>
      <c r="J45" s="94" t="e">
        <f>(Table5[[#This Row],[High Made]]+Table5[[#This Row],[Low Made]])/(SUM(Table5[[#This Row],[High Made]:[Low Miss]]))</f>
        <v>#DIV/0!</v>
      </c>
      <c r="K45" s="94">
        <f>'Match Data'!J45+'Match Data'!AI45+'Match Data'!BH45+'Match Data'!CG45+'Match Data'!DF45+'Match Data'!EE45+'Match Data'!FD45+'Match Data'!GC45+'Match Data'!HB45+'Match Data'!IA45</f>
        <v>0</v>
      </c>
      <c r="L45" s="94">
        <f>'Match Data'!K45+'Match Data'!AJ45+'Match Data'!BI45+'Match Data'!CH45+'Match Data'!DG45+'Match Data'!EF45+'Match Data'!FE45+'Match Data'!GD45+'Match Data'!HC45+'Match Data'!IB45</f>
        <v>0</v>
      </c>
      <c r="M45" s="94">
        <f>'Match Data'!L45+'Match Data'!AK45+'Match Data'!BJ45+'Match Data'!CI45+'Match Data'!DH45+'Match Data'!EG45+'Match Data'!FF45+'Match Data'!GE45+'Match Data'!HD45+'Match Data'!IC45</f>
        <v>0</v>
      </c>
      <c r="N45" s="94">
        <f>'Match Data'!M45+'Match Data'!AL45+'Match Data'!BK45+'Match Data'!CJ45+'Match Data'!DI45+'Match Data'!EH45+'Match Data'!FG45+'Match Data'!GF45+'Match Data'!HE45+'Match Data'!ID45</f>
        <v>0</v>
      </c>
      <c r="O45" s="94">
        <f>'Match Data'!N45+'Match Data'!AM45+'Match Data'!BL45+'Match Data'!CK45+'Match Data'!DJ45+'Match Data'!EI45+'Match Data'!FH45+'Match Data'!GG45+'Match Data'!HF45+'Match Data'!IE45</f>
        <v>0</v>
      </c>
      <c r="P45" s="94">
        <f>'Match Data'!O45+'Match Data'!AN45+'Match Data'!BM45+'Match Data'!CL45+'Match Data'!DK45+'Match Data'!EJ45+'Match Data'!FI45+'Match Data'!GH45+'Match Data'!HG45+'Match Data'!IF45</f>
        <v>0</v>
      </c>
      <c r="Q45" s="94">
        <f>'Match Data'!P45+'Match Data'!AO45+'Match Data'!BN45+'Match Data'!CM45+'Match Data'!DL45+'Match Data'!EK45+'Match Data'!FJ45+'Match Data'!GI45+'Match Data'!HH45+'Match Data'!IG45</f>
        <v>0</v>
      </c>
      <c r="R45" s="94">
        <f>'Match Data'!Q45+'Match Data'!AP45+'Match Data'!BO45+'Match Data'!CN45+'Match Data'!DM45+'Match Data'!EL45+'Match Data'!FK45+'Match Data'!GJ45+'Match Data'!HI45+'Match Data'!IH45</f>
        <v>0</v>
      </c>
      <c r="S45" s="94">
        <v>0</v>
      </c>
      <c r="T45" s="94">
        <v>0</v>
      </c>
      <c r="U45" s="94">
        <f>'Match Data'!S45+'Match Data'!AR45+'Match Data'!BQ45+'Match Data'!CP45+'Match Data'!DO45+'Match Data'!EN45+'Match Data'!FM45+'Match Data'!GL45+'Match Data'!HK45+'Match Data'!IJ45</f>
        <v>0</v>
      </c>
      <c r="V45" s="95">
        <f>'Match Data'!T45+'Match Data'!AS45+'Match Data'!BR45+'Match Data'!CQ45+'Match Data'!DP45+'Match Data'!EO45+'Match Data'!FN45+'Match Data'!GM45+'Match Data'!HL45+'Match Data'!IK45</f>
        <v>0</v>
      </c>
      <c r="W45" s="94">
        <f>'Match Data'!U45+'Match Data'!AT45+'Match Data'!BS45+'Match Data'!CR45+'Match Data'!DQ45+'Match Data'!EP45+'Match Data'!FO45+'Match Data'!GN45+'Match Data'!HM45+'Match Data'!IL45</f>
        <v>0</v>
      </c>
      <c r="X45" s="94">
        <f>'Match Data'!V45+'Match Data'!AU45+'Match Data'!BT45+'Match Data'!CS45+'Match Data'!DR45+'Match Data'!EQ45+'Match Data'!FP45+'Match Data'!GO45+'Match Data'!HN45+'Match Data'!IM45</f>
        <v>0</v>
      </c>
      <c r="Y45" s="94">
        <f>'Match Data'!W45+'Match Data'!AV45+'Match Data'!BU45+'Match Data'!CT45+'Match Data'!DS45+'Match Data'!ER45+'Match Data'!FQ45+'Match Data'!GP45+'Match Data'!HO45+'Match Data'!IN45</f>
        <v>0</v>
      </c>
      <c r="Z45" s="94">
        <f>'Match Data'!X45+'Match Data'!AW45+'Match Data'!BV45+'Match Data'!CU45+'Match Data'!DT45+'Match Data'!ES45+'Match Data'!FR45+'Match Data'!GQ45+'Match Data'!HP45+'Match Data'!IO45</f>
        <v>0</v>
      </c>
      <c r="AA45" s="94">
        <f>'Match Data'!Y45+'Match Data'!AX45+'Match Data'!BW45+'Match Data'!CV45+'Match Data'!DU45+'Match Data'!ET45+'Match Data'!FS45+'Match Data'!GR45+'Match Data'!HQ45+'Match Data'!IP45</f>
        <v>0</v>
      </c>
      <c r="AB45" s="102">
        <f>'Match Data'!Z45+'Match Data'!AY45+'Match Data'!BX45+'Match Data'!CW45+'Match Data'!DV45+'Match Data'!EU45+'Match Data'!FT45+'Match Data'!GS45+'Match Data'!HR45+'Match Data'!IQ45</f>
        <v>0</v>
      </c>
      <c r="AC45" s="99">
        <f>'Alliance Data'!B44+'Alliance Data'!L44+'Alliance Data'!V44+'Alliance Data'!AF44+'Alliance Data'!AP44+'Alliance Data'!AZ44+'Alliance Data'!BJ44+'Alliance Data'!BT44+'Alliance Data'!CD44+'Alliance Data'!CN44</f>
        <v>0</v>
      </c>
      <c r="AD45" s="118">
        <f>('Alliance Data'!C44+'Alliance Data'!M44+'Alliance Data'!W44+'Alliance Data'!AG44+'Alliance Data'!AQ44+'Alliance Data'!BA44+'Alliance Data'!BK44+'Alliance Data'!BU44+'Alliance Data'!CE44+'Alliance Data'!CO44)/Value!Q43</f>
        <v>0</v>
      </c>
      <c r="AE45" s="118">
        <f>('Alliance Data'!D44+'Alliance Data'!N44+'Alliance Data'!X44+'Alliance Data'!AH44+'Alliance Data'!AR44+'Alliance Data'!BB44+'Alliance Data'!BL44+'Alliance Data'!BV44+'Alliance Data'!CF44+'Alliance Data'!CP44)/Value!Q43</f>
        <v>0</v>
      </c>
      <c r="AF45" s="118">
        <f>('Alliance Data'!E44+'Alliance Data'!O44+'Alliance Data'!Y44+'Alliance Data'!AI44+'Alliance Data'!AS44+'Alliance Data'!BC44+'Alliance Data'!BM44+'Alliance Data'!BW44+'Alliance Data'!CG44+'Alliance Data'!CQ44)/Value!Q43</f>
        <v>0</v>
      </c>
      <c r="AG45" s="118">
        <f>('Alliance Data'!F44+'Alliance Data'!P44+'Alliance Data'!Z44+'Alliance Data'!AJ44+'Alliance Data'!AT44+'Alliance Data'!BD44+'Alliance Data'!BN44+'Alliance Data'!BX44+'Alliance Data'!CH44+'Alliance Data'!CR44)/Value!Q43</f>
        <v>0</v>
      </c>
      <c r="AH45" s="118">
        <f>('Alliance Data'!G44+'Alliance Data'!Q44+'Alliance Data'!AA44+'Alliance Data'!AK44+'Alliance Data'!AU44+'Alliance Data'!BE44+'Alliance Data'!BO44+'Alliance Data'!BY44+'Alliance Data'!CI44+'Alliance Data'!CS44)/Value!Q43</f>
        <v>0</v>
      </c>
      <c r="AI45" s="118">
        <f>('Alliance Data'!H44+'Alliance Data'!R44+'Alliance Data'!AB44+'Alliance Data'!AL44+'Alliance Data'!AV44+'Alliance Data'!BF44+'Alliance Data'!BP44+'Alliance Data'!BZ44+'Alliance Data'!CJ44+'Alliance Data'!CT44)/Value!Q43</f>
        <v>0</v>
      </c>
      <c r="AJ45" s="118">
        <f>('Alliance Data'!I44+'Alliance Data'!S44+'Alliance Data'!AC44+'Alliance Data'!AM44+'Alliance Data'!AW44+'Alliance Data'!BG44+'Alliance Data'!BQ44+'Alliance Data'!CA44+'Alliance Data'!CK44+'Alliance Data'!CU44)/Value!Q43</f>
        <v>0</v>
      </c>
      <c r="AK45" s="118">
        <f>'Alliance Data'!J44+'Alliance Data'!T44+'Alliance Data'!AD44+'Alliance Data'!AN44+'Alliance Data'!AX44+'Alliance Data'!BH44+'Alliance Data'!BR44+'Alliance Data'!CB44+'Alliance Data'!CL44+'Alliance Data'!CV44</f>
        <v>0</v>
      </c>
      <c r="AL45" s="119">
        <f>'Alliance Data'!K44+'Alliance Data'!U44+'Alliance Data'!AE44+'Alliance Data'!AO44+'Alliance Data'!AY44+'Alliance Data'!BI44+'Alliance Data'!BS44+'Alliance Data'!CC44+'Alliance Data'!CM44+'Alliance Data'!CW44</f>
        <v>0</v>
      </c>
    </row>
    <row r="46" spans="1:38" x14ac:dyDescent="0.25">
      <c r="A46" s="86">
        <v>4624</v>
      </c>
      <c r="B46" s="99">
        <f>'Match Data'!B46+'Match Data'!AA46+'Match Data'!AZ46+'Match Data'!BY46+'Match Data'!CX46+'Match Data'!DW46+'Match Data'!EV46+'Match Data'!FU46+'Match Data'!GT46+'Match Data'!HS46</f>
        <v>0</v>
      </c>
      <c r="C46" s="94">
        <f>'Match Data'!C46+'Match Data'!AB46+'Match Data'!BA46+'Match Data'!BZ46+'Match Data'!CY46+'Match Data'!DX46+'Match Data'!EW46+'Match Data'!FV46+'Match Data'!GU46+'Match Data'!HT46</f>
        <v>0</v>
      </c>
      <c r="D46" s="94">
        <f>'Match Data'!D46+'Match Data'!AC46+'Match Data'!BB46+'Match Data'!CA46+'Match Data'!CZ46+'Match Data'!DY46+'Match Data'!EX46+'Match Data'!FW46+'Match Data'!GV46+'Match Data'!HU46</f>
        <v>0</v>
      </c>
      <c r="E46" s="94">
        <f>'Match Data'!E46+'Match Data'!AD46+'Match Data'!BC46+'Match Data'!CB46+'Match Data'!DA46+'Match Data'!DZ46+'Match Data'!EY46+'Match Data'!FX46+'Match Data'!GW46+'Match Data'!HV46</f>
        <v>0</v>
      </c>
      <c r="F46" s="94">
        <f>'Match Data'!F46+'Match Data'!AE46+'Match Data'!BD46+'Match Data'!CC46+'Match Data'!DB46+'Match Data'!EA46+'Match Data'!EZ46+'Match Data'!FY46+'Match Data'!GX46+'Match Data'!HW46</f>
        <v>0</v>
      </c>
      <c r="G46" s="94">
        <f>'Match Data'!G46+'Match Data'!AF46+'Match Data'!BE46+'Match Data'!CD46+'Match Data'!DC46+'Match Data'!EB46+'Match Data'!FA46+'Match Data'!FZ46+'Match Data'!GY46+'Match Data'!HX46</f>
        <v>0</v>
      </c>
      <c r="H46" s="94">
        <f>'Match Data'!H46+'Match Data'!AG46+'Match Data'!BF46+'Match Data'!CE46+'Match Data'!DD46+'Match Data'!EC46+'Match Data'!FB46+'Match Data'!GA46+'Match Data'!GZ46+'Match Data'!HY46</f>
        <v>0</v>
      </c>
      <c r="I46" s="94">
        <f>'Match Data'!I46+'Match Data'!AH46+'Match Data'!BG46+'Match Data'!CF46+'Match Data'!DE46+'Match Data'!ED46+'Match Data'!FC46+'Match Data'!GB46+'Match Data'!HA46+'Match Data'!HZ46</f>
        <v>0</v>
      </c>
      <c r="J46" s="94" t="e">
        <f>(Table5[[#This Row],[High Made]]+Table5[[#This Row],[Low Made]])/(SUM(Table5[[#This Row],[High Made]:[Low Miss]]))</f>
        <v>#DIV/0!</v>
      </c>
      <c r="K46" s="94">
        <f>'Match Data'!J46+'Match Data'!AI46+'Match Data'!BH46+'Match Data'!CG46+'Match Data'!DF46+'Match Data'!EE46+'Match Data'!FD46+'Match Data'!GC46+'Match Data'!HB46+'Match Data'!IA46</f>
        <v>0</v>
      </c>
      <c r="L46" s="94">
        <f>'Match Data'!K46+'Match Data'!AJ46+'Match Data'!BI46+'Match Data'!CH46+'Match Data'!DG46+'Match Data'!EF46+'Match Data'!FE46+'Match Data'!GD46+'Match Data'!HC46+'Match Data'!IB46</f>
        <v>0</v>
      </c>
      <c r="M46" s="94">
        <f>'Match Data'!L46+'Match Data'!AK46+'Match Data'!BJ46+'Match Data'!CI46+'Match Data'!DH46+'Match Data'!EG46+'Match Data'!FF46+'Match Data'!GE46+'Match Data'!HD46+'Match Data'!IC46</f>
        <v>0</v>
      </c>
      <c r="N46" s="94">
        <f>'Match Data'!M46+'Match Data'!AL46+'Match Data'!BK46+'Match Data'!CJ46+'Match Data'!DI46+'Match Data'!EH46+'Match Data'!FG46+'Match Data'!GF46+'Match Data'!HE46+'Match Data'!ID46</f>
        <v>0</v>
      </c>
      <c r="O46" s="94">
        <f>'Match Data'!N46+'Match Data'!AM46+'Match Data'!BL46+'Match Data'!CK46+'Match Data'!DJ46+'Match Data'!EI46+'Match Data'!FH46+'Match Data'!GG46+'Match Data'!HF46+'Match Data'!IE46</f>
        <v>0</v>
      </c>
      <c r="P46" s="94">
        <f>'Match Data'!O46+'Match Data'!AN46+'Match Data'!BM46+'Match Data'!CL46+'Match Data'!DK46+'Match Data'!EJ46+'Match Data'!FI46+'Match Data'!GH46+'Match Data'!HG46+'Match Data'!IF46</f>
        <v>0</v>
      </c>
      <c r="Q46" s="94">
        <f>'Match Data'!P46+'Match Data'!AO46+'Match Data'!BN46+'Match Data'!CM46+'Match Data'!DL46+'Match Data'!EK46+'Match Data'!FJ46+'Match Data'!GI46+'Match Data'!HH46+'Match Data'!IG46</f>
        <v>0</v>
      </c>
      <c r="R46" s="94">
        <f>'Match Data'!Q46+'Match Data'!AP46+'Match Data'!BO46+'Match Data'!CN46+'Match Data'!DM46+'Match Data'!EL46+'Match Data'!FK46+'Match Data'!GJ46+'Match Data'!HI46+'Match Data'!IH46</f>
        <v>0</v>
      </c>
      <c r="S46" s="94">
        <v>0</v>
      </c>
      <c r="T46" s="94">
        <v>0</v>
      </c>
      <c r="U46" s="94">
        <f>'Match Data'!S46+'Match Data'!AR46+'Match Data'!BQ46+'Match Data'!CP46+'Match Data'!DO46+'Match Data'!EN46+'Match Data'!FM46+'Match Data'!GL46+'Match Data'!HK46+'Match Data'!IJ46</f>
        <v>0</v>
      </c>
      <c r="V46" s="95">
        <f>'Match Data'!T46+'Match Data'!AS46+'Match Data'!BR46+'Match Data'!CQ46+'Match Data'!DP46+'Match Data'!EO46+'Match Data'!FN46+'Match Data'!GM46+'Match Data'!HL46+'Match Data'!IK46</f>
        <v>0</v>
      </c>
      <c r="W46" s="94">
        <f>'Match Data'!U46+'Match Data'!AT46+'Match Data'!BS46+'Match Data'!CR46+'Match Data'!DQ46+'Match Data'!EP46+'Match Data'!FO46+'Match Data'!GN46+'Match Data'!HM46+'Match Data'!IL46</f>
        <v>0</v>
      </c>
      <c r="X46" s="94">
        <f>'Match Data'!V46+'Match Data'!AU46+'Match Data'!BT46+'Match Data'!CS46+'Match Data'!DR46+'Match Data'!EQ46+'Match Data'!FP46+'Match Data'!GO46+'Match Data'!HN46+'Match Data'!IM46</f>
        <v>0</v>
      </c>
      <c r="Y46" s="94">
        <f>'Match Data'!W46+'Match Data'!AV46+'Match Data'!BU46+'Match Data'!CT46+'Match Data'!DS46+'Match Data'!ER46+'Match Data'!FQ46+'Match Data'!GP46+'Match Data'!HO46+'Match Data'!IN46</f>
        <v>0</v>
      </c>
      <c r="Z46" s="94">
        <f>'Match Data'!X46+'Match Data'!AW46+'Match Data'!BV46+'Match Data'!CU46+'Match Data'!DT46+'Match Data'!ES46+'Match Data'!FR46+'Match Data'!GQ46+'Match Data'!HP46+'Match Data'!IO46</f>
        <v>0</v>
      </c>
      <c r="AA46" s="94">
        <f>'Match Data'!Y46+'Match Data'!AX46+'Match Data'!BW46+'Match Data'!CV46+'Match Data'!DU46+'Match Data'!ET46+'Match Data'!FS46+'Match Data'!GR46+'Match Data'!HQ46+'Match Data'!IP46</f>
        <v>0</v>
      </c>
      <c r="AB46" s="102">
        <f>'Match Data'!Z46+'Match Data'!AY46+'Match Data'!BX46+'Match Data'!CW46+'Match Data'!DV46+'Match Data'!EU46+'Match Data'!FT46+'Match Data'!GS46+'Match Data'!HR46+'Match Data'!IQ46</f>
        <v>0</v>
      </c>
      <c r="AC46" s="99">
        <f>'Alliance Data'!B45+'Alliance Data'!L45+'Alliance Data'!V45+'Alliance Data'!AF45+'Alliance Data'!AP45+'Alliance Data'!AZ45+'Alliance Data'!BJ45+'Alliance Data'!BT45+'Alliance Data'!CD45+'Alliance Data'!CN45</f>
        <v>0</v>
      </c>
      <c r="AD46" s="118">
        <f>('Alliance Data'!C45+'Alliance Data'!M45+'Alliance Data'!W45+'Alliance Data'!AG45+'Alliance Data'!AQ45+'Alliance Data'!BA45+'Alliance Data'!BK45+'Alliance Data'!BU45+'Alliance Data'!CE45+'Alliance Data'!CO45)/Value!Q44</f>
        <v>0</v>
      </c>
      <c r="AE46" s="118">
        <f>('Alliance Data'!D45+'Alliance Data'!N45+'Alliance Data'!X45+'Alliance Data'!AH45+'Alliance Data'!AR45+'Alliance Data'!BB45+'Alliance Data'!BL45+'Alliance Data'!BV45+'Alliance Data'!CF45+'Alliance Data'!CP45)/Value!Q44</f>
        <v>0</v>
      </c>
      <c r="AF46" s="118">
        <f>('Alliance Data'!E45+'Alliance Data'!O45+'Alliance Data'!Y45+'Alliance Data'!AI45+'Alliance Data'!AS45+'Alliance Data'!BC45+'Alliance Data'!BM45+'Alliance Data'!BW45+'Alliance Data'!CG45+'Alliance Data'!CQ45)/Value!Q44</f>
        <v>0</v>
      </c>
      <c r="AG46" s="118">
        <f>('Alliance Data'!F45+'Alliance Data'!P45+'Alliance Data'!Z45+'Alliance Data'!AJ45+'Alliance Data'!AT45+'Alliance Data'!BD45+'Alliance Data'!BN45+'Alliance Data'!BX45+'Alliance Data'!CH45+'Alliance Data'!CR45)/Value!Q44</f>
        <v>0</v>
      </c>
      <c r="AH46" s="118">
        <f>('Alliance Data'!G45+'Alliance Data'!Q45+'Alliance Data'!AA45+'Alliance Data'!AK45+'Alliance Data'!AU45+'Alliance Data'!BE45+'Alliance Data'!BO45+'Alliance Data'!BY45+'Alliance Data'!CI45+'Alliance Data'!CS45)/Value!Q44</f>
        <v>0</v>
      </c>
      <c r="AI46" s="118">
        <f>('Alliance Data'!H45+'Alliance Data'!R45+'Alliance Data'!AB45+'Alliance Data'!AL45+'Alliance Data'!AV45+'Alliance Data'!BF45+'Alliance Data'!BP45+'Alliance Data'!BZ45+'Alliance Data'!CJ45+'Alliance Data'!CT45)/Value!Q44</f>
        <v>0</v>
      </c>
      <c r="AJ46" s="118">
        <f>('Alliance Data'!I45+'Alliance Data'!S45+'Alliance Data'!AC45+'Alliance Data'!AM45+'Alliance Data'!AW45+'Alliance Data'!BG45+'Alliance Data'!BQ45+'Alliance Data'!CA45+'Alliance Data'!CK45+'Alliance Data'!CU45)/Value!Q44</f>
        <v>0</v>
      </c>
      <c r="AK46" s="118">
        <f>'Alliance Data'!J45+'Alliance Data'!T45+'Alliance Data'!AD45+'Alliance Data'!AN45+'Alliance Data'!AX45+'Alliance Data'!BH45+'Alliance Data'!BR45+'Alliance Data'!CB45+'Alliance Data'!CL45+'Alliance Data'!CV45</f>
        <v>0</v>
      </c>
      <c r="AL46" s="119">
        <f>'Alliance Data'!K45+'Alliance Data'!U45+'Alliance Data'!AE45+'Alliance Data'!AO45+'Alliance Data'!AY45+'Alliance Data'!BI45+'Alliance Data'!BS45+'Alliance Data'!CC45+'Alliance Data'!CM45+'Alliance Data'!CW45</f>
        <v>0</v>
      </c>
    </row>
    <row r="47" spans="1:38" x14ac:dyDescent="0.25">
      <c r="A47" s="86">
        <v>4656</v>
      </c>
      <c r="B47" s="99">
        <f>'Match Data'!B47+'Match Data'!AA47+'Match Data'!AZ47+'Match Data'!BY47+'Match Data'!CX47+'Match Data'!DW47+'Match Data'!EV47+'Match Data'!FU47+'Match Data'!GT47+'Match Data'!HS47</f>
        <v>0</v>
      </c>
      <c r="C47" s="94">
        <f>'Match Data'!C47+'Match Data'!AB47+'Match Data'!BA47+'Match Data'!BZ47+'Match Data'!CY47+'Match Data'!DX47+'Match Data'!EW47+'Match Data'!FV47+'Match Data'!GU47+'Match Data'!HT47</f>
        <v>0</v>
      </c>
      <c r="D47" s="94">
        <f>'Match Data'!D47+'Match Data'!AC47+'Match Data'!BB47+'Match Data'!CA47+'Match Data'!CZ47+'Match Data'!DY47+'Match Data'!EX47+'Match Data'!FW47+'Match Data'!GV47+'Match Data'!HU47</f>
        <v>0</v>
      </c>
      <c r="E47" s="94">
        <f>'Match Data'!E47+'Match Data'!AD47+'Match Data'!BC47+'Match Data'!CB47+'Match Data'!DA47+'Match Data'!DZ47+'Match Data'!EY47+'Match Data'!FX47+'Match Data'!GW47+'Match Data'!HV47</f>
        <v>0</v>
      </c>
      <c r="F47" s="94">
        <f>'Match Data'!F47+'Match Data'!AE47+'Match Data'!BD47+'Match Data'!CC47+'Match Data'!DB47+'Match Data'!EA47+'Match Data'!EZ47+'Match Data'!FY47+'Match Data'!GX47+'Match Data'!HW47</f>
        <v>0</v>
      </c>
      <c r="G47" s="94">
        <f>'Match Data'!G47+'Match Data'!AF47+'Match Data'!BE47+'Match Data'!CD47+'Match Data'!DC47+'Match Data'!EB47+'Match Data'!FA47+'Match Data'!FZ47+'Match Data'!GY47+'Match Data'!HX47</f>
        <v>0</v>
      </c>
      <c r="H47" s="94">
        <f>'Match Data'!H47+'Match Data'!AG47+'Match Data'!BF47+'Match Data'!CE47+'Match Data'!DD47+'Match Data'!EC47+'Match Data'!FB47+'Match Data'!GA47+'Match Data'!GZ47+'Match Data'!HY47</f>
        <v>0</v>
      </c>
      <c r="I47" s="94">
        <f>'Match Data'!I47+'Match Data'!AH47+'Match Data'!BG47+'Match Data'!CF47+'Match Data'!DE47+'Match Data'!ED47+'Match Data'!FC47+'Match Data'!GB47+'Match Data'!HA47+'Match Data'!HZ47</f>
        <v>0</v>
      </c>
      <c r="J47" s="94" t="e">
        <f>(Table5[[#This Row],[High Made]]+Table5[[#This Row],[Low Made]])/(SUM(Table5[[#This Row],[High Made]:[Low Miss]]))</f>
        <v>#DIV/0!</v>
      </c>
      <c r="K47" s="94">
        <f>'Match Data'!J47+'Match Data'!AI47+'Match Data'!BH47+'Match Data'!CG47+'Match Data'!DF47+'Match Data'!EE47+'Match Data'!FD47+'Match Data'!GC47+'Match Data'!HB47+'Match Data'!IA47</f>
        <v>0</v>
      </c>
      <c r="L47" s="94">
        <f>'Match Data'!K47+'Match Data'!AJ47+'Match Data'!BI47+'Match Data'!CH47+'Match Data'!DG47+'Match Data'!EF47+'Match Data'!FE47+'Match Data'!GD47+'Match Data'!HC47+'Match Data'!IB47</f>
        <v>0</v>
      </c>
      <c r="M47" s="94">
        <f>'Match Data'!L47+'Match Data'!AK47+'Match Data'!BJ47+'Match Data'!CI47+'Match Data'!DH47+'Match Data'!EG47+'Match Data'!FF47+'Match Data'!GE47+'Match Data'!HD47+'Match Data'!IC47</f>
        <v>0</v>
      </c>
      <c r="N47" s="94">
        <f>'Match Data'!M47+'Match Data'!AL47+'Match Data'!BK47+'Match Data'!CJ47+'Match Data'!DI47+'Match Data'!EH47+'Match Data'!FG47+'Match Data'!GF47+'Match Data'!HE47+'Match Data'!ID47</f>
        <v>0</v>
      </c>
      <c r="O47" s="94">
        <f>'Match Data'!N47+'Match Data'!AM47+'Match Data'!BL47+'Match Data'!CK47+'Match Data'!DJ47+'Match Data'!EI47+'Match Data'!FH47+'Match Data'!GG47+'Match Data'!HF47+'Match Data'!IE47</f>
        <v>0</v>
      </c>
      <c r="P47" s="94">
        <f>'Match Data'!O47+'Match Data'!AN47+'Match Data'!BM47+'Match Data'!CL47+'Match Data'!DK47+'Match Data'!EJ47+'Match Data'!FI47+'Match Data'!GH47+'Match Data'!HG47+'Match Data'!IF47</f>
        <v>0</v>
      </c>
      <c r="Q47" s="94">
        <f>'Match Data'!P47+'Match Data'!AO47+'Match Data'!BN47+'Match Data'!CM47+'Match Data'!DL47+'Match Data'!EK47+'Match Data'!FJ47+'Match Data'!GI47+'Match Data'!HH47+'Match Data'!IG47</f>
        <v>0</v>
      </c>
      <c r="R47" s="94">
        <f>'Match Data'!Q47+'Match Data'!AP47+'Match Data'!BO47+'Match Data'!CN47+'Match Data'!DM47+'Match Data'!EL47+'Match Data'!FK47+'Match Data'!GJ47+'Match Data'!HI47+'Match Data'!IH47</f>
        <v>0</v>
      </c>
      <c r="S47" s="94">
        <v>0</v>
      </c>
      <c r="T47" s="94">
        <v>0</v>
      </c>
      <c r="U47" s="94">
        <f>'Match Data'!S47+'Match Data'!AR47+'Match Data'!BQ47+'Match Data'!CP47+'Match Data'!DO47+'Match Data'!EN47+'Match Data'!FM47+'Match Data'!GL47+'Match Data'!HK47+'Match Data'!IJ47</f>
        <v>0</v>
      </c>
      <c r="V47" s="95">
        <f>'Match Data'!T47+'Match Data'!AS47+'Match Data'!BR47+'Match Data'!CQ47+'Match Data'!DP47+'Match Data'!EO47+'Match Data'!FN47+'Match Data'!GM47+'Match Data'!HL47+'Match Data'!IK47</f>
        <v>0</v>
      </c>
      <c r="W47" s="94">
        <f>'Match Data'!U47+'Match Data'!AT47+'Match Data'!BS47+'Match Data'!CR47+'Match Data'!DQ47+'Match Data'!EP47+'Match Data'!FO47+'Match Data'!GN47+'Match Data'!HM47+'Match Data'!IL47</f>
        <v>0</v>
      </c>
      <c r="X47" s="94">
        <f>'Match Data'!V47+'Match Data'!AU47+'Match Data'!BT47+'Match Data'!CS47+'Match Data'!DR47+'Match Data'!EQ47+'Match Data'!FP47+'Match Data'!GO47+'Match Data'!HN47+'Match Data'!IM47</f>
        <v>0</v>
      </c>
      <c r="Y47" s="94">
        <f>'Match Data'!W47+'Match Data'!AV47+'Match Data'!BU47+'Match Data'!CT47+'Match Data'!DS47+'Match Data'!ER47+'Match Data'!FQ47+'Match Data'!GP47+'Match Data'!HO47+'Match Data'!IN47</f>
        <v>0</v>
      </c>
      <c r="Z47" s="94">
        <f>'Match Data'!X47+'Match Data'!AW47+'Match Data'!BV47+'Match Data'!CU47+'Match Data'!DT47+'Match Data'!ES47+'Match Data'!FR47+'Match Data'!GQ47+'Match Data'!HP47+'Match Data'!IO47</f>
        <v>0</v>
      </c>
      <c r="AA47" s="94">
        <f>'Match Data'!Y47+'Match Data'!AX47+'Match Data'!BW47+'Match Data'!CV47+'Match Data'!DU47+'Match Data'!ET47+'Match Data'!FS47+'Match Data'!GR47+'Match Data'!HQ47+'Match Data'!IP47</f>
        <v>0</v>
      </c>
      <c r="AB47" s="102">
        <f>'Match Data'!Z47+'Match Data'!AY47+'Match Data'!BX47+'Match Data'!CW47+'Match Data'!DV47+'Match Data'!EU47+'Match Data'!FT47+'Match Data'!GS47+'Match Data'!HR47+'Match Data'!IQ47</f>
        <v>0</v>
      </c>
      <c r="AC47" s="99">
        <f>'Alliance Data'!B46+'Alliance Data'!L46+'Alliance Data'!V46+'Alliance Data'!AF46+'Alliance Data'!AP46+'Alliance Data'!AZ46+'Alliance Data'!BJ46+'Alliance Data'!BT46+'Alliance Data'!CD46+'Alliance Data'!CN46</f>
        <v>0</v>
      </c>
      <c r="AD47" s="118">
        <f>('Alliance Data'!C46+'Alliance Data'!M46+'Alliance Data'!W46+'Alliance Data'!AG46+'Alliance Data'!AQ46+'Alliance Data'!BA46+'Alliance Data'!BK46+'Alliance Data'!BU46+'Alliance Data'!CE46+'Alliance Data'!CO46)/Value!Q45</f>
        <v>0</v>
      </c>
      <c r="AE47" s="118">
        <f>('Alliance Data'!D46+'Alliance Data'!N46+'Alliance Data'!X46+'Alliance Data'!AH46+'Alliance Data'!AR46+'Alliance Data'!BB46+'Alliance Data'!BL46+'Alliance Data'!BV46+'Alliance Data'!CF46+'Alliance Data'!CP46)/Value!Q45</f>
        <v>0</v>
      </c>
      <c r="AF47" s="118">
        <f>('Alliance Data'!E46+'Alliance Data'!O46+'Alliance Data'!Y46+'Alliance Data'!AI46+'Alliance Data'!AS46+'Alliance Data'!BC46+'Alliance Data'!BM46+'Alliance Data'!BW46+'Alliance Data'!CG46+'Alliance Data'!CQ46)/Value!Q45</f>
        <v>0</v>
      </c>
      <c r="AG47" s="118">
        <f>('Alliance Data'!F46+'Alliance Data'!P46+'Alliance Data'!Z46+'Alliance Data'!AJ46+'Alliance Data'!AT46+'Alliance Data'!BD46+'Alliance Data'!BN46+'Alliance Data'!BX46+'Alliance Data'!CH46+'Alliance Data'!CR46)/Value!Q45</f>
        <v>0</v>
      </c>
      <c r="AH47" s="118">
        <f>('Alliance Data'!G46+'Alliance Data'!Q46+'Alliance Data'!AA46+'Alliance Data'!AK46+'Alliance Data'!AU46+'Alliance Data'!BE46+'Alliance Data'!BO46+'Alliance Data'!BY46+'Alliance Data'!CI46+'Alliance Data'!CS46)/Value!Q45</f>
        <v>0</v>
      </c>
      <c r="AI47" s="118">
        <f>('Alliance Data'!H46+'Alliance Data'!R46+'Alliance Data'!AB46+'Alliance Data'!AL46+'Alliance Data'!AV46+'Alliance Data'!BF46+'Alliance Data'!BP46+'Alliance Data'!BZ46+'Alliance Data'!CJ46+'Alliance Data'!CT46)/Value!Q45</f>
        <v>0</v>
      </c>
      <c r="AJ47" s="118">
        <f>('Alliance Data'!I46+'Alliance Data'!S46+'Alliance Data'!AC46+'Alliance Data'!AM46+'Alliance Data'!AW46+'Alliance Data'!BG46+'Alliance Data'!BQ46+'Alliance Data'!CA46+'Alliance Data'!CK46+'Alliance Data'!CU46)/Value!Q45</f>
        <v>0</v>
      </c>
      <c r="AK47" s="118">
        <f>'Alliance Data'!J46+'Alliance Data'!T46+'Alliance Data'!AD46+'Alliance Data'!AN46+'Alliance Data'!AX46+'Alliance Data'!BH46+'Alliance Data'!BR46+'Alliance Data'!CB46+'Alliance Data'!CL46+'Alliance Data'!CV46</f>
        <v>0</v>
      </c>
      <c r="AL47" s="119">
        <f>'Alliance Data'!K46+'Alliance Data'!U46+'Alliance Data'!AE46+'Alliance Data'!AO46+'Alliance Data'!AY46+'Alliance Data'!BI46+'Alliance Data'!BS46+'Alliance Data'!CC46+'Alliance Data'!CM46+'Alliance Data'!CW46</f>
        <v>0</v>
      </c>
    </row>
    <row r="48" spans="1:38" x14ac:dyDescent="0.25">
      <c r="A48" s="86">
        <v>4657</v>
      </c>
      <c r="B48" s="99">
        <f>'Match Data'!B48+'Match Data'!AA48+'Match Data'!AZ48+'Match Data'!BY48+'Match Data'!CX48+'Match Data'!DW48+'Match Data'!EV48+'Match Data'!FU48+'Match Data'!GT48+'Match Data'!HS48</f>
        <v>0</v>
      </c>
      <c r="C48" s="94">
        <f>'Match Data'!C48+'Match Data'!AB48+'Match Data'!BA48+'Match Data'!BZ48+'Match Data'!CY48+'Match Data'!DX48+'Match Data'!EW48+'Match Data'!FV48+'Match Data'!GU48+'Match Data'!HT48</f>
        <v>0</v>
      </c>
      <c r="D48" s="94">
        <f>'Match Data'!D48+'Match Data'!AC48+'Match Data'!BB48+'Match Data'!CA48+'Match Data'!CZ48+'Match Data'!DY48+'Match Data'!EX48+'Match Data'!FW48+'Match Data'!GV48+'Match Data'!HU48</f>
        <v>0</v>
      </c>
      <c r="E48" s="94">
        <f>'Match Data'!E48+'Match Data'!AD48+'Match Data'!BC48+'Match Data'!CB48+'Match Data'!DA48+'Match Data'!DZ48+'Match Data'!EY48+'Match Data'!FX48+'Match Data'!GW48+'Match Data'!HV48</f>
        <v>0</v>
      </c>
      <c r="F48" s="94">
        <f>'Match Data'!F48+'Match Data'!AE48+'Match Data'!BD48+'Match Data'!CC48+'Match Data'!DB48+'Match Data'!EA48+'Match Data'!EZ48+'Match Data'!FY48+'Match Data'!GX48+'Match Data'!HW48</f>
        <v>0</v>
      </c>
      <c r="G48" s="94">
        <f>'Match Data'!G48+'Match Data'!AF48+'Match Data'!BE48+'Match Data'!CD48+'Match Data'!DC48+'Match Data'!EB48+'Match Data'!FA48+'Match Data'!FZ48+'Match Data'!GY48+'Match Data'!HX48</f>
        <v>0</v>
      </c>
      <c r="H48" s="94">
        <f>'Match Data'!H48+'Match Data'!AG48+'Match Data'!BF48+'Match Data'!CE48+'Match Data'!DD48+'Match Data'!EC48+'Match Data'!FB48+'Match Data'!GA48+'Match Data'!GZ48+'Match Data'!HY48</f>
        <v>0</v>
      </c>
      <c r="I48" s="94">
        <f>'Match Data'!I48+'Match Data'!AH48+'Match Data'!BG48+'Match Data'!CF48+'Match Data'!DE48+'Match Data'!ED48+'Match Data'!FC48+'Match Data'!GB48+'Match Data'!HA48+'Match Data'!HZ48</f>
        <v>0</v>
      </c>
      <c r="J48" s="94" t="e">
        <f>(Table5[[#This Row],[High Made]]+Table5[[#This Row],[Low Made]])/(SUM(Table5[[#This Row],[High Made]:[Low Miss]]))</f>
        <v>#DIV/0!</v>
      </c>
      <c r="K48" s="94">
        <f>'Match Data'!J48+'Match Data'!AI48+'Match Data'!BH48+'Match Data'!CG48+'Match Data'!DF48+'Match Data'!EE48+'Match Data'!FD48+'Match Data'!GC48+'Match Data'!HB48+'Match Data'!IA48</f>
        <v>0</v>
      </c>
      <c r="L48" s="94">
        <f>'Match Data'!K48+'Match Data'!AJ48+'Match Data'!BI48+'Match Data'!CH48+'Match Data'!DG48+'Match Data'!EF48+'Match Data'!FE48+'Match Data'!GD48+'Match Data'!HC48+'Match Data'!IB48</f>
        <v>0</v>
      </c>
      <c r="M48" s="94">
        <f>'Match Data'!L48+'Match Data'!AK48+'Match Data'!BJ48+'Match Data'!CI48+'Match Data'!DH48+'Match Data'!EG48+'Match Data'!FF48+'Match Data'!GE48+'Match Data'!HD48+'Match Data'!IC48</f>
        <v>0</v>
      </c>
      <c r="N48" s="94">
        <f>'Match Data'!M48+'Match Data'!AL48+'Match Data'!BK48+'Match Data'!CJ48+'Match Data'!DI48+'Match Data'!EH48+'Match Data'!FG48+'Match Data'!GF48+'Match Data'!HE48+'Match Data'!ID48</f>
        <v>0</v>
      </c>
      <c r="O48" s="94">
        <f>'Match Data'!N48+'Match Data'!AM48+'Match Data'!BL48+'Match Data'!CK48+'Match Data'!DJ48+'Match Data'!EI48+'Match Data'!FH48+'Match Data'!GG48+'Match Data'!HF48+'Match Data'!IE48</f>
        <v>0</v>
      </c>
      <c r="P48" s="94">
        <f>'Match Data'!O48+'Match Data'!AN48+'Match Data'!BM48+'Match Data'!CL48+'Match Data'!DK48+'Match Data'!EJ48+'Match Data'!FI48+'Match Data'!GH48+'Match Data'!HG48+'Match Data'!IF48</f>
        <v>0</v>
      </c>
      <c r="Q48" s="94">
        <f>'Match Data'!P48+'Match Data'!AO48+'Match Data'!BN48+'Match Data'!CM48+'Match Data'!DL48+'Match Data'!EK48+'Match Data'!FJ48+'Match Data'!GI48+'Match Data'!HH48+'Match Data'!IG48</f>
        <v>0</v>
      </c>
      <c r="R48" s="94">
        <f>'Match Data'!Q48+'Match Data'!AP48+'Match Data'!BO48+'Match Data'!CN48+'Match Data'!DM48+'Match Data'!EL48+'Match Data'!FK48+'Match Data'!GJ48+'Match Data'!HI48+'Match Data'!IH48</f>
        <v>0</v>
      </c>
      <c r="S48" s="94">
        <v>0</v>
      </c>
      <c r="T48" s="94">
        <v>0</v>
      </c>
      <c r="U48" s="94">
        <f>'Match Data'!S48+'Match Data'!AR48+'Match Data'!BQ48+'Match Data'!CP48+'Match Data'!DO48+'Match Data'!EN48+'Match Data'!FM48+'Match Data'!GL48+'Match Data'!HK48+'Match Data'!IJ48</f>
        <v>0</v>
      </c>
      <c r="V48" s="95">
        <f>'Match Data'!T48+'Match Data'!AS48+'Match Data'!BR48+'Match Data'!CQ48+'Match Data'!DP48+'Match Data'!EO48+'Match Data'!FN48+'Match Data'!GM48+'Match Data'!HL48+'Match Data'!IK48</f>
        <v>0</v>
      </c>
      <c r="W48" s="94">
        <f>'Match Data'!U48+'Match Data'!AT48+'Match Data'!BS48+'Match Data'!CR48+'Match Data'!DQ48+'Match Data'!EP48+'Match Data'!FO48+'Match Data'!GN48+'Match Data'!HM48+'Match Data'!IL48</f>
        <v>0</v>
      </c>
      <c r="X48" s="94">
        <f>'Match Data'!V48+'Match Data'!AU48+'Match Data'!BT48+'Match Data'!CS48+'Match Data'!DR48+'Match Data'!EQ48+'Match Data'!FP48+'Match Data'!GO48+'Match Data'!HN48+'Match Data'!IM48</f>
        <v>0</v>
      </c>
      <c r="Y48" s="94">
        <f>'Match Data'!W48+'Match Data'!AV48+'Match Data'!BU48+'Match Data'!CT48+'Match Data'!DS48+'Match Data'!ER48+'Match Data'!FQ48+'Match Data'!GP48+'Match Data'!HO48+'Match Data'!IN48</f>
        <v>0</v>
      </c>
      <c r="Z48" s="94">
        <f>'Match Data'!X48+'Match Data'!AW48+'Match Data'!BV48+'Match Data'!CU48+'Match Data'!DT48+'Match Data'!ES48+'Match Data'!FR48+'Match Data'!GQ48+'Match Data'!HP48+'Match Data'!IO48</f>
        <v>0</v>
      </c>
      <c r="AA48" s="94">
        <f>'Match Data'!Y48+'Match Data'!AX48+'Match Data'!BW48+'Match Data'!CV48+'Match Data'!DU48+'Match Data'!ET48+'Match Data'!FS48+'Match Data'!GR48+'Match Data'!HQ48+'Match Data'!IP48</f>
        <v>0</v>
      </c>
      <c r="AB48" s="102">
        <f>'Match Data'!Z48+'Match Data'!AY48+'Match Data'!BX48+'Match Data'!CW48+'Match Data'!DV48+'Match Data'!EU48+'Match Data'!FT48+'Match Data'!GS48+'Match Data'!HR48+'Match Data'!IQ48</f>
        <v>0</v>
      </c>
      <c r="AC48" s="99">
        <f>'Alliance Data'!B47+'Alliance Data'!L47+'Alliance Data'!V47+'Alliance Data'!AF47+'Alliance Data'!AP47+'Alliance Data'!AZ47+'Alliance Data'!BJ47+'Alliance Data'!BT47+'Alliance Data'!CD47+'Alliance Data'!CN47</f>
        <v>0</v>
      </c>
      <c r="AD48" s="118">
        <f>('Alliance Data'!C47+'Alliance Data'!M47+'Alliance Data'!W47+'Alliance Data'!AG47+'Alliance Data'!AQ47+'Alliance Data'!BA47+'Alliance Data'!BK47+'Alliance Data'!BU47+'Alliance Data'!CE47+'Alliance Data'!CO47)/Value!Q46</f>
        <v>0</v>
      </c>
      <c r="AE48" s="118">
        <f>('Alliance Data'!D47+'Alliance Data'!N47+'Alliance Data'!X47+'Alliance Data'!AH47+'Alliance Data'!AR47+'Alliance Data'!BB47+'Alliance Data'!BL47+'Alliance Data'!BV47+'Alliance Data'!CF47+'Alliance Data'!CP47)/Value!Q46</f>
        <v>0</v>
      </c>
      <c r="AF48" s="118">
        <f>('Alliance Data'!E47+'Alliance Data'!O47+'Alliance Data'!Y47+'Alliance Data'!AI47+'Alliance Data'!AS47+'Alliance Data'!BC47+'Alliance Data'!BM47+'Alliance Data'!BW47+'Alliance Data'!CG47+'Alliance Data'!CQ47)/Value!Q46</f>
        <v>0</v>
      </c>
      <c r="AG48" s="118">
        <f>('Alliance Data'!F47+'Alliance Data'!P47+'Alliance Data'!Z47+'Alliance Data'!AJ47+'Alliance Data'!AT47+'Alliance Data'!BD47+'Alliance Data'!BN47+'Alliance Data'!BX47+'Alliance Data'!CH47+'Alliance Data'!CR47)/Value!Q46</f>
        <v>0</v>
      </c>
      <c r="AH48" s="118">
        <f>('Alliance Data'!G47+'Alliance Data'!Q47+'Alliance Data'!AA47+'Alliance Data'!AK47+'Alliance Data'!AU47+'Alliance Data'!BE47+'Alliance Data'!BO47+'Alliance Data'!BY47+'Alliance Data'!CI47+'Alliance Data'!CS47)/Value!Q46</f>
        <v>0</v>
      </c>
      <c r="AI48" s="118">
        <f>('Alliance Data'!H47+'Alliance Data'!R47+'Alliance Data'!AB47+'Alliance Data'!AL47+'Alliance Data'!AV47+'Alliance Data'!BF47+'Alliance Data'!BP47+'Alliance Data'!BZ47+'Alliance Data'!CJ47+'Alliance Data'!CT47)/Value!Q46</f>
        <v>0</v>
      </c>
      <c r="AJ48" s="118">
        <f>('Alliance Data'!I47+'Alliance Data'!S47+'Alliance Data'!AC47+'Alliance Data'!AM47+'Alliance Data'!AW47+'Alliance Data'!BG47+'Alliance Data'!BQ47+'Alliance Data'!CA47+'Alliance Data'!CK47+'Alliance Data'!CU47)/Value!Q46</f>
        <v>0</v>
      </c>
      <c r="AK48" s="118">
        <f>'Alliance Data'!J47+'Alliance Data'!T47+'Alliance Data'!AD47+'Alliance Data'!AN47+'Alliance Data'!AX47+'Alliance Data'!BH47+'Alliance Data'!BR47+'Alliance Data'!CB47+'Alliance Data'!CL47+'Alliance Data'!CV47</f>
        <v>0</v>
      </c>
      <c r="AL48" s="119">
        <f>'Alliance Data'!K47+'Alliance Data'!U47+'Alliance Data'!AE47+'Alliance Data'!AO47+'Alliance Data'!AY47+'Alliance Data'!BI47+'Alliance Data'!BS47+'Alliance Data'!CC47+'Alliance Data'!CM47+'Alliance Data'!CW47</f>
        <v>0</v>
      </c>
    </row>
    <row r="49" spans="1:38" x14ac:dyDescent="0.25">
      <c r="A49" s="86">
        <v>4671</v>
      </c>
      <c r="B49" s="99">
        <f>'Match Data'!B49+'Match Data'!AA49+'Match Data'!AZ49+'Match Data'!BY49+'Match Data'!CX49+'Match Data'!DW49+'Match Data'!EV49+'Match Data'!FU49+'Match Data'!GT49+'Match Data'!HS49</f>
        <v>0</v>
      </c>
      <c r="C49" s="94">
        <f>'Match Data'!C49+'Match Data'!AB49+'Match Data'!BA49+'Match Data'!BZ49+'Match Data'!CY49+'Match Data'!DX49+'Match Data'!EW49+'Match Data'!FV49+'Match Data'!GU49+'Match Data'!HT49</f>
        <v>0</v>
      </c>
      <c r="D49" s="94">
        <f>'Match Data'!D49+'Match Data'!AC49+'Match Data'!BB49+'Match Data'!CA49+'Match Data'!CZ49+'Match Data'!DY49+'Match Data'!EX49+'Match Data'!FW49+'Match Data'!GV49+'Match Data'!HU49</f>
        <v>0</v>
      </c>
      <c r="E49" s="94">
        <f>'Match Data'!E49+'Match Data'!AD49+'Match Data'!BC49+'Match Data'!CB49+'Match Data'!DA49+'Match Data'!DZ49+'Match Data'!EY49+'Match Data'!FX49+'Match Data'!GW49+'Match Data'!HV49</f>
        <v>0</v>
      </c>
      <c r="F49" s="94">
        <f>'Match Data'!F49+'Match Data'!AE49+'Match Data'!BD49+'Match Data'!CC49+'Match Data'!DB49+'Match Data'!EA49+'Match Data'!EZ49+'Match Data'!FY49+'Match Data'!GX49+'Match Data'!HW49</f>
        <v>0</v>
      </c>
      <c r="G49" s="94">
        <f>'Match Data'!G49+'Match Data'!AF49+'Match Data'!BE49+'Match Data'!CD49+'Match Data'!DC49+'Match Data'!EB49+'Match Data'!FA49+'Match Data'!FZ49+'Match Data'!GY49+'Match Data'!HX49</f>
        <v>0</v>
      </c>
      <c r="H49" s="94">
        <f>'Match Data'!H49+'Match Data'!AG49+'Match Data'!BF49+'Match Data'!CE49+'Match Data'!DD49+'Match Data'!EC49+'Match Data'!FB49+'Match Data'!GA49+'Match Data'!GZ49+'Match Data'!HY49</f>
        <v>0</v>
      </c>
      <c r="I49" s="94">
        <f>'Match Data'!I49+'Match Data'!AH49+'Match Data'!BG49+'Match Data'!CF49+'Match Data'!DE49+'Match Data'!ED49+'Match Data'!FC49+'Match Data'!GB49+'Match Data'!HA49+'Match Data'!HZ49</f>
        <v>0</v>
      </c>
      <c r="J49" s="94" t="e">
        <f>(Table5[[#This Row],[High Made]]+Table5[[#This Row],[Low Made]])/(SUM(Table5[[#This Row],[High Made]:[Low Miss]]))</f>
        <v>#DIV/0!</v>
      </c>
      <c r="K49" s="94">
        <f>'Match Data'!J49+'Match Data'!AI49+'Match Data'!BH49+'Match Data'!CG49+'Match Data'!DF49+'Match Data'!EE49+'Match Data'!FD49+'Match Data'!GC49+'Match Data'!HB49+'Match Data'!IA49</f>
        <v>0</v>
      </c>
      <c r="L49" s="94">
        <f>'Match Data'!K49+'Match Data'!AJ49+'Match Data'!BI49+'Match Data'!CH49+'Match Data'!DG49+'Match Data'!EF49+'Match Data'!FE49+'Match Data'!GD49+'Match Data'!HC49+'Match Data'!IB49</f>
        <v>0</v>
      </c>
      <c r="M49" s="94">
        <f>'Match Data'!L49+'Match Data'!AK49+'Match Data'!BJ49+'Match Data'!CI49+'Match Data'!DH49+'Match Data'!EG49+'Match Data'!FF49+'Match Data'!GE49+'Match Data'!HD49+'Match Data'!IC49</f>
        <v>0</v>
      </c>
      <c r="N49" s="94">
        <f>'Match Data'!M49+'Match Data'!AL49+'Match Data'!BK49+'Match Data'!CJ49+'Match Data'!DI49+'Match Data'!EH49+'Match Data'!FG49+'Match Data'!GF49+'Match Data'!HE49+'Match Data'!ID49</f>
        <v>0</v>
      </c>
      <c r="O49" s="94">
        <f>'Match Data'!N49+'Match Data'!AM49+'Match Data'!BL49+'Match Data'!CK49+'Match Data'!DJ49+'Match Data'!EI49+'Match Data'!FH49+'Match Data'!GG49+'Match Data'!HF49+'Match Data'!IE49</f>
        <v>0</v>
      </c>
      <c r="P49" s="94">
        <f>'Match Data'!O49+'Match Data'!AN49+'Match Data'!BM49+'Match Data'!CL49+'Match Data'!DK49+'Match Data'!EJ49+'Match Data'!FI49+'Match Data'!GH49+'Match Data'!HG49+'Match Data'!IF49</f>
        <v>0</v>
      </c>
      <c r="Q49" s="94">
        <f>'Match Data'!P49+'Match Data'!AO49+'Match Data'!BN49+'Match Data'!CM49+'Match Data'!DL49+'Match Data'!EK49+'Match Data'!FJ49+'Match Data'!GI49+'Match Data'!HH49+'Match Data'!IG49</f>
        <v>0</v>
      </c>
      <c r="R49" s="94">
        <f>'Match Data'!Q49+'Match Data'!AP49+'Match Data'!BO49+'Match Data'!CN49+'Match Data'!DM49+'Match Data'!EL49+'Match Data'!FK49+'Match Data'!GJ49+'Match Data'!HI49+'Match Data'!IH49</f>
        <v>0</v>
      </c>
      <c r="S49" s="94">
        <v>0</v>
      </c>
      <c r="T49" s="94">
        <v>0</v>
      </c>
      <c r="U49" s="94">
        <f>'Match Data'!S49+'Match Data'!AR49+'Match Data'!BQ49+'Match Data'!CP49+'Match Data'!DO49+'Match Data'!EN49+'Match Data'!FM49+'Match Data'!GL49+'Match Data'!HK49+'Match Data'!IJ49</f>
        <v>0</v>
      </c>
      <c r="V49" s="95">
        <f>'Match Data'!T49+'Match Data'!AS49+'Match Data'!BR49+'Match Data'!CQ49+'Match Data'!DP49+'Match Data'!EO49+'Match Data'!FN49+'Match Data'!GM49+'Match Data'!HL49+'Match Data'!IK49</f>
        <v>0</v>
      </c>
      <c r="W49" s="94">
        <f>'Match Data'!U49+'Match Data'!AT49+'Match Data'!BS49+'Match Data'!CR49+'Match Data'!DQ49+'Match Data'!EP49+'Match Data'!FO49+'Match Data'!GN49+'Match Data'!HM49+'Match Data'!IL49</f>
        <v>0</v>
      </c>
      <c r="X49" s="94">
        <f>'Match Data'!V49+'Match Data'!AU49+'Match Data'!BT49+'Match Data'!CS49+'Match Data'!DR49+'Match Data'!EQ49+'Match Data'!FP49+'Match Data'!GO49+'Match Data'!HN49+'Match Data'!IM49</f>
        <v>0</v>
      </c>
      <c r="Y49" s="94">
        <f>'Match Data'!W49+'Match Data'!AV49+'Match Data'!BU49+'Match Data'!CT49+'Match Data'!DS49+'Match Data'!ER49+'Match Data'!FQ49+'Match Data'!GP49+'Match Data'!HO49+'Match Data'!IN49</f>
        <v>0</v>
      </c>
      <c r="Z49" s="94">
        <f>'Match Data'!X49+'Match Data'!AW49+'Match Data'!BV49+'Match Data'!CU49+'Match Data'!DT49+'Match Data'!ES49+'Match Data'!FR49+'Match Data'!GQ49+'Match Data'!HP49+'Match Data'!IO49</f>
        <v>0</v>
      </c>
      <c r="AA49" s="94">
        <f>'Match Data'!Y49+'Match Data'!AX49+'Match Data'!BW49+'Match Data'!CV49+'Match Data'!DU49+'Match Data'!ET49+'Match Data'!FS49+'Match Data'!GR49+'Match Data'!HQ49+'Match Data'!IP49</f>
        <v>0</v>
      </c>
      <c r="AB49" s="102">
        <f>'Match Data'!Z49+'Match Data'!AY49+'Match Data'!BX49+'Match Data'!CW49+'Match Data'!DV49+'Match Data'!EU49+'Match Data'!FT49+'Match Data'!GS49+'Match Data'!HR49+'Match Data'!IQ49</f>
        <v>0</v>
      </c>
      <c r="AC49" s="99">
        <f>'Alliance Data'!B48+'Alliance Data'!L48+'Alliance Data'!V48+'Alliance Data'!AF48+'Alliance Data'!AP48+'Alliance Data'!AZ48+'Alliance Data'!BJ48+'Alliance Data'!BT48+'Alliance Data'!CD48+'Alliance Data'!CN48</f>
        <v>0</v>
      </c>
      <c r="AD49" s="118">
        <f>('Alliance Data'!C48+'Alliance Data'!M48+'Alliance Data'!W48+'Alliance Data'!AG48+'Alliance Data'!AQ48+'Alliance Data'!BA48+'Alliance Data'!BK48+'Alliance Data'!BU48+'Alliance Data'!CE48+'Alliance Data'!CO48)/Value!Q47</f>
        <v>0</v>
      </c>
      <c r="AE49" s="118">
        <f>('Alliance Data'!D48+'Alliance Data'!N48+'Alliance Data'!X48+'Alliance Data'!AH48+'Alliance Data'!AR48+'Alliance Data'!BB48+'Alliance Data'!BL48+'Alliance Data'!BV48+'Alliance Data'!CF48+'Alliance Data'!CP48)/Value!Q47</f>
        <v>0</v>
      </c>
      <c r="AF49" s="118">
        <f>('Alliance Data'!E48+'Alliance Data'!O48+'Alliance Data'!Y48+'Alliance Data'!AI48+'Alliance Data'!AS48+'Alliance Data'!BC48+'Alliance Data'!BM48+'Alliance Data'!BW48+'Alliance Data'!CG48+'Alliance Data'!CQ48)/Value!Q47</f>
        <v>0</v>
      </c>
      <c r="AG49" s="118">
        <f>('Alliance Data'!F48+'Alliance Data'!P48+'Alliance Data'!Z48+'Alliance Data'!AJ48+'Alliance Data'!AT48+'Alliance Data'!BD48+'Alliance Data'!BN48+'Alliance Data'!BX48+'Alliance Data'!CH48+'Alliance Data'!CR48)/Value!Q47</f>
        <v>0</v>
      </c>
      <c r="AH49" s="118">
        <f>('Alliance Data'!G48+'Alliance Data'!Q48+'Alliance Data'!AA48+'Alliance Data'!AK48+'Alliance Data'!AU48+'Alliance Data'!BE48+'Alliance Data'!BO48+'Alliance Data'!BY48+'Alliance Data'!CI48+'Alliance Data'!CS48)/Value!Q47</f>
        <v>0</v>
      </c>
      <c r="AI49" s="118">
        <f>('Alliance Data'!H48+'Alliance Data'!R48+'Alliance Data'!AB48+'Alliance Data'!AL48+'Alliance Data'!AV48+'Alliance Data'!BF48+'Alliance Data'!BP48+'Alliance Data'!BZ48+'Alliance Data'!CJ48+'Alliance Data'!CT48)/Value!Q47</f>
        <v>0</v>
      </c>
      <c r="AJ49" s="118">
        <f>('Alliance Data'!I48+'Alliance Data'!S48+'Alliance Data'!AC48+'Alliance Data'!AM48+'Alliance Data'!AW48+'Alliance Data'!BG48+'Alliance Data'!BQ48+'Alliance Data'!CA48+'Alliance Data'!CK48+'Alliance Data'!CU48)/Value!Q47</f>
        <v>0</v>
      </c>
      <c r="AK49" s="118">
        <f>'Alliance Data'!J48+'Alliance Data'!T48+'Alliance Data'!AD48+'Alliance Data'!AN48+'Alliance Data'!AX48+'Alliance Data'!BH48+'Alliance Data'!BR48+'Alliance Data'!CB48+'Alliance Data'!CL48+'Alliance Data'!CV48</f>
        <v>0</v>
      </c>
      <c r="AL49" s="119">
        <f>'Alliance Data'!K48+'Alliance Data'!U48+'Alliance Data'!AE48+'Alliance Data'!AO48+'Alliance Data'!AY48+'Alliance Data'!BI48+'Alliance Data'!BS48+'Alliance Data'!CC48+'Alliance Data'!CM48+'Alliance Data'!CW48</f>
        <v>0</v>
      </c>
    </row>
    <row r="50" spans="1:38" x14ac:dyDescent="0.25">
      <c r="A50" s="86">
        <v>4674</v>
      </c>
      <c r="B50" s="99">
        <f>'Match Data'!B50+'Match Data'!AA50+'Match Data'!AZ50+'Match Data'!BY50+'Match Data'!CX50+'Match Data'!DW50+'Match Data'!EV50+'Match Data'!FU50+'Match Data'!GT50+'Match Data'!HS50</f>
        <v>0</v>
      </c>
      <c r="C50" s="94">
        <f>'Match Data'!C50+'Match Data'!AB50+'Match Data'!BA50+'Match Data'!BZ50+'Match Data'!CY50+'Match Data'!DX50+'Match Data'!EW50+'Match Data'!FV50+'Match Data'!GU50+'Match Data'!HT50</f>
        <v>0</v>
      </c>
      <c r="D50" s="94">
        <f>'Match Data'!D50+'Match Data'!AC50+'Match Data'!BB50+'Match Data'!CA50+'Match Data'!CZ50+'Match Data'!DY50+'Match Data'!EX50+'Match Data'!FW50+'Match Data'!GV50+'Match Data'!HU50</f>
        <v>0</v>
      </c>
      <c r="E50" s="94">
        <f>'Match Data'!E50+'Match Data'!AD50+'Match Data'!BC50+'Match Data'!CB50+'Match Data'!DA50+'Match Data'!DZ50+'Match Data'!EY50+'Match Data'!FX50+'Match Data'!GW50+'Match Data'!HV50</f>
        <v>0</v>
      </c>
      <c r="F50" s="94">
        <f>'Match Data'!F50+'Match Data'!AE50+'Match Data'!BD50+'Match Data'!CC50+'Match Data'!DB50+'Match Data'!EA50+'Match Data'!EZ50+'Match Data'!FY50+'Match Data'!GX50+'Match Data'!HW50</f>
        <v>0</v>
      </c>
      <c r="G50" s="94">
        <f>'Match Data'!G50+'Match Data'!AF50+'Match Data'!BE50+'Match Data'!CD50+'Match Data'!DC50+'Match Data'!EB50+'Match Data'!FA50+'Match Data'!FZ50+'Match Data'!GY50+'Match Data'!HX50</f>
        <v>0</v>
      </c>
      <c r="H50" s="94">
        <f>'Match Data'!H50+'Match Data'!AG50+'Match Data'!BF50+'Match Data'!CE50+'Match Data'!DD50+'Match Data'!EC50+'Match Data'!FB50+'Match Data'!GA50+'Match Data'!GZ50+'Match Data'!HY50</f>
        <v>0</v>
      </c>
      <c r="I50" s="94">
        <f>'Match Data'!I50+'Match Data'!AH50+'Match Data'!BG50+'Match Data'!CF50+'Match Data'!DE50+'Match Data'!ED50+'Match Data'!FC50+'Match Data'!GB50+'Match Data'!HA50+'Match Data'!HZ50</f>
        <v>0</v>
      </c>
      <c r="J50" s="94" t="e">
        <f>(Table5[[#This Row],[High Made]]+Table5[[#This Row],[Low Made]])/(SUM(Table5[[#This Row],[High Made]:[Low Miss]]))</f>
        <v>#DIV/0!</v>
      </c>
      <c r="K50" s="94">
        <f>'Match Data'!J50+'Match Data'!AI50+'Match Data'!BH50+'Match Data'!CG50+'Match Data'!DF50+'Match Data'!EE50+'Match Data'!FD50+'Match Data'!GC50+'Match Data'!HB50+'Match Data'!IA50</f>
        <v>0</v>
      </c>
      <c r="L50" s="94">
        <f>'Match Data'!K50+'Match Data'!AJ50+'Match Data'!BI50+'Match Data'!CH50+'Match Data'!DG50+'Match Data'!EF50+'Match Data'!FE50+'Match Data'!GD50+'Match Data'!HC50+'Match Data'!IB50</f>
        <v>0</v>
      </c>
      <c r="M50" s="94">
        <f>'Match Data'!L50+'Match Data'!AK50+'Match Data'!BJ50+'Match Data'!CI50+'Match Data'!DH50+'Match Data'!EG50+'Match Data'!FF50+'Match Data'!GE50+'Match Data'!HD50+'Match Data'!IC50</f>
        <v>0</v>
      </c>
      <c r="N50" s="94">
        <f>'Match Data'!M50+'Match Data'!AL50+'Match Data'!BK50+'Match Data'!CJ50+'Match Data'!DI50+'Match Data'!EH50+'Match Data'!FG50+'Match Data'!GF50+'Match Data'!HE50+'Match Data'!ID50</f>
        <v>0</v>
      </c>
      <c r="O50" s="94">
        <f>'Match Data'!N50+'Match Data'!AM50+'Match Data'!BL50+'Match Data'!CK50+'Match Data'!DJ50+'Match Data'!EI50+'Match Data'!FH50+'Match Data'!GG50+'Match Data'!HF50+'Match Data'!IE50</f>
        <v>0</v>
      </c>
      <c r="P50" s="94">
        <f>'Match Data'!O50+'Match Data'!AN50+'Match Data'!BM50+'Match Data'!CL50+'Match Data'!DK50+'Match Data'!EJ50+'Match Data'!FI50+'Match Data'!GH50+'Match Data'!HG50+'Match Data'!IF50</f>
        <v>0</v>
      </c>
      <c r="Q50" s="94">
        <f>'Match Data'!P50+'Match Data'!AO50+'Match Data'!BN50+'Match Data'!CM50+'Match Data'!DL50+'Match Data'!EK50+'Match Data'!FJ50+'Match Data'!GI50+'Match Data'!HH50+'Match Data'!IG50</f>
        <v>0</v>
      </c>
      <c r="R50" s="94">
        <f>'Match Data'!Q50+'Match Data'!AP50+'Match Data'!BO50+'Match Data'!CN50+'Match Data'!DM50+'Match Data'!EL50+'Match Data'!FK50+'Match Data'!GJ50+'Match Data'!HI50+'Match Data'!IH50</f>
        <v>0</v>
      </c>
      <c r="S50" s="94">
        <v>0</v>
      </c>
      <c r="T50" s="94">
        <v>0</v>
      </c>
      <c r="U50" s="94">
        <f>'Match Data'!S50+'Match Data'!AR50+'Match Data'!BQ50+'Match Data'!CP50+'Match Data'!DO50+'Match Data'!EN50+'Match Data'!FM50+'Match Data'!GL50+'Match Data'!HK50+'Match Data'!IJ50</f>
        <v>0</v>
      </c>
      <c r="V50" s="95">
        <f>'Match Data'!T50+'Match Data'!AS50+'Match Data'!BR50+'Match Data'!CQ50+'Match Data'!DP50+'Match Data'!EO50+'Match Data'!FN50+'Match Data'!GM50+'Match Data'!HL50+'Match Data'!IK50</f>
        <v>0</v>
      </c>
      <c r="W50" s="94">
        <f>'Match Data'!U50+'Match Data'!AT50+'Match Data'!BS50+'Match Data'!CR50+'Match Data'!DQ50+'Match Data'!EP50+'Match Data'!FO50+'Match Data'!GN50+'Match Data'!HM50+'Match Data'!IL50</f>
        <v>0</v>
      </c>
      <c r="X50" s="94">
        <f>'Match Data'!V50+'Match Data'!AU50+'Match Data'!BT50+'Match Data'!CS50+'Match Data'!DR50+'Match Data'!EQ50+'Match Data'!FP50+'Match Data'!GO50+'Match Data'!HN50+'Match Data'!IM50</f>
        <v>0</v>
      </c>
      <c r="Y50" s="94">
        <f>'Match Data'!W50+'Match Data'!AV50+'Match Data'!BU50+'Match Data'!CT50+'Match Data'!DS50+'Match Data'!ER50+'Match Data'!FQ50+'Match Data'!GP50+'Match Data'!HO50+'Match Data'!IN50</f>
        <v>0</v>
      </c>
      <c r="Z50" s="94">
        <f>'Match Data'!X50+'Match Data'!AW50+'Match Data'!BV50+'Match Data'!CU50+'Match Data'!DT50+'Match Data'!ES50+'Match Data'!FR50+'Match Data'!GQ50+'Match Data'!HP50+'Match Data'!IO50</f>
        <v>0</v>
      </c>
      <c r="AA50" s="94">
        <f>'Match Data'!Y50+'Match Data'!AX50+'Match Data'!BW50+'Match Data'!CV50+'Match Data'!DU50+'Match Data'!ET50+'Match Data'!FS50+'Match Data'!GR50+'Match Data'!HQ50+'Match Data'!IP50</f>
        <v>0</v>
      </c>
      <c r="AB50" s="102">
        <f>'Match Data'!Z50+'Match Data'!AY50+'Match Data'!BX50+'Match Data'!CW50+'Match Data'!DV50+'Match Data'!EU50+'Match Data'!FT50+'Match Data'!GS50+'Match Data'!HR50+'Match Data'!IQ50</f>
        <v>0</v>
      </c>
      <c r="AC50" s="99">
        <f>'Alliance Data'!B49+'Alliance Data'!L49+'Alliance Data'!V49+'Alliance Data'!AF49+'Alliance Data'!AP49+'Alliance Data'!AZ49+'Alliance Data'!BJ49+'Alliance Data'!BT49+'Alliance Data'!CD49+'Alliance Data'!CN49</f>
        <v>0</v>
      </c>
      <c r="AD50" s="118">
        <f>('Alliance Data'!C49+'Alliance Data'!M49+'Alliance Data'!W49+'Alliance Data'!AG49+'Alliance Data'!AQ49+'Alliance Data'!BA49+'Alliance Data'!BK49+'Alliance Data'!BU49+'Alliance Data'!CE49+'Alliance Data'!CO49)/Value!Q48</f>
        <v>0</v>
      </c>
      <c r="AE50" s="118">
        <f>('Alliance Data'!D49+'Alliance Data'!N49+'Alliance Data'!X49+'Alliance Data'!AH49+'Alliance Data'!AR49+'Alliance Data'!BB49+'Alliance Data'!BL49+'Alliance Data'!BV49+'Alliance Data'!CF49+'Alliance Data'!CP49)/Value!Q48</f>
        <v>0</v>
      </c>
      <c r="AF50" s="118">
        <f>('Alliance Data'!E49+'Alliance Data'!O49+'Alliance Data'!Y49+'Alliance Data'!AI49+'Alliance Data'!AS49+'Alliance Data'!BC49+'Alliance Data'!BM49+'Alliance Data'!BW49+'Alliance Data'!CG49+'Alliance Data'!CQ49)/Value!Q48</f>
        <v>0</v>
      </c>
      <c r="AG50" s="118">
        <f>('Alliance Data'!F49+'Alliance Data'!P49+'Alliance Data'!Z49+'Alliance Data'!AJ49+'Alliance Data'!AT49+'Alliance Data'!BD49+'Alliance Data'!BN49+'Alliance Data'!BX49+'Alliance Data'!CH49+'Alliance Data'!CR49)/Value!Q48</f>
        <v>0</v>
      </c>
      <c r="AH50" s="118">
        <f>('Alliance Data'!G49+'Alliance Data'!Q49+'Alliance Data'!AA49+'Alliance Data'!AK49+'Alliance Data'!AU49+'Alliance Data'!BE49+'Alliance Data'!BO49+'Alliance Data'!BY49+'Alliance Data'!CI49+'Alliance Data'!CS49)/Value!Q48</f>
        <v>0</v>
      </c>
      <c r="AI50" s="118">
        <f>('Alliance Data'!H49+'Alliance Data'!R49+'Alliance Data'!AB49+'Alliance Data'!AL49+'Alliance Data'!AV49+'Alliance Data'!BF49+'Alliance Data'!BP49+'Alliance Data'!BZ49+'Alliance Data'!CJ49+'Alliance Data'!CT49)/Value!Q48</f>
        <v>0</v>
      </c>
      <c r="AJ50" s="118">
        <f>('Alliance Data'!I49+'Alliance Data'!S49+'Alliance Data'!AC49+'Alliance Data'!AM49+'Alliance Data'!AW49+'Alliance Data'!BG49+'Alliance Data'!BQ49+'Alliance Data'!CA49+'Alliance Data'!CK49+'Alliance Data'!CU49)/Value!Q48</f>
        <v>0</v>
      </c>
      <c r="AK50" s="118">
        <f>'Alliance Data'!J49+'Alliance Data'!T49+'Alliance Data'!AD49+'Alliance Data'!AN49+'Alliance Data'!AX49+'Alliance Data'!BH49+'Alliance Data'!BR49+'Alliance Data'!CB49+'Alliance Data'!CL49+'Alliance Data'!CV49</f>
        <v>0</v>
      </c>
      <c r="AL50" s="119">
        <f>'Alliance Data'!K49+'Alliance Data'!U49+'Alliance Data'!AE49+'Alliance Data'!AO49+'Alliance Data'!AY49+'Alliance Data'!BI49+'Alliance Data'!BS49+'Alliance Data'!CC49+'Alliance Data'!CM49+'Alliance Data'!CW49</f>
        <v>0</v>
      </c>
    </row>
    <row r="51" spans="1:38" x14ac:dyDescent="0.25">
      <c r="A51" s="86">
        <v>4693</v>
      </c>
      <c r="B51" s="99">
        <f>'Match Data'!B51+'Match Data'!AA51+'Match Data'!AZ51+'Match Data'!BY51+'Match Data'!CX51+'Match Data'!DW51+'Match Data'!EV51+'Match Data'!FU51+'Match Data'!GT51+'Match Data'!HS51</f>
        <v>0</v>
      </c>
      <c r="C51" s="94">
        <f>'Match Data'!C51+'Match Data'!AB51+'Match Data'!BA51+'Match Data'!BZ51+'Match Data'!CY51+'Match Data'!DX51+'Match Data'!EW51+'Match Data'!FV51+'Match Data'!GU51+'Match Data'!HT51</f>
        <v>0</v>
      </c>
      <c r="D51" s="94">
        <f>'Match Data'!D51+'Match Data'!AC51+'Match Data'!BB51+'Match Data'!CA51+'Match Data'!CZ51+'Match Data'!DY51+'Match Data'!EX51+'Match Data'!FW51+'Match Data'!GV51+'Match Data'!HU51</f>
        <v>0</v>
      </c>
      <c r="E51" s="94">
        <f>'Match Data'!E51+'Match Data'!AD51+'Match Data'!BC51+'Match Data'!CB51+'Match Data'!DA51+'Match Data'!DZ51+'Match Data'!EY51+'Match Data'!FX51+'Match Data'!GW51+'Match Data'!HV51</f>
        <v>0</v>
      </c>
      <c r="F51" s="94">
        <f>'Match Data'!F51+'Match Data'!AE51+'Match Data'!BD51+'Match Data'!CC51+'Match Data'!DB51+'Match Data'!EA51+'Match Data'!EZ51+'Match Data'!FY51+'Match Data'!GX51+'Match Data'!HW51</f>
        <v>0</v>
      </c>
      <c r="G51" s="94">
        <f>'Match Data'!G51+'Match Data'!AF51+'Match Data'!BE51+'Match Data'!CD51+'Match Data'!DC51+'Match Data'!EB51+'Match Data'!FA51+'Match Data'!FZ51+'Match Data'!GY51+'Match Data'!HX51</f>
        <v>0</v>
      </c>
      <c r="H51" s="94">
        <f>'Match Data'!H51+'Match Data'!AG51+'Match Data'!BF51+'Match Data'!CE51+'Match Data'!DD51+'Match Data'!EC51+'Match Data'!FB51+'Match Data'!GA51+'Match Data'!GZ51+'Match Data'!HY51</f>
        <v>0</v>
      </c>
      <c r="I51" s="94">
        <f>'Match Data'!I51+'Match Data'!AH51+'Match Data'!BG51+'Match Data'!CF51+'Match Data'!DE51+'Match Data'!ED51+'Match Data'!FC51+'Match Data'!GB51+'Match Data'!HA51+'Match Data'!HZ51</f>
        <v>0</v>
      </c>
      <c r="J51" s="94" t="e">
        <f>(Table5[[#This Row],[High Made]]+Table5[[#This Row],[Low Made]])/(SUM(Table5[[#This Row],[High Made]:[Low Miss]]))</f>
        <v>#DIV/0!</v>
      </c>
      <c r="K51" s="94">
        <f>'Match Data'!J51+'Match Data'!AI51+'Match Data'!BH51+'Match Data'!CG51+'Match Data'!DF51+'Match Data'!EE51+'Match Data'!FD51+'Match Data'!GC51+'Match Data'!HB51+'Match Data'!IA51</f>
        <v>0</v>
      </c>
      <c r="L51" s="94">
        <f>'Match Data'!K51+'Match Data'!AJ51+'Match Data'!BI51+'Match Data'!CH51+'Match Data'!DG51+'Match Data'!EF51+'Match Data'!FE51+'Match Data'!GD51+'Match Data'!HC51+'Match Data'!IB51</f>
        <v>0</v>
      </c>
      <c r="M51" s="94">
        <f>'Match Data'!L51+'Match Data'!AK51+'Match Data'!BJ51+'Match Data'!CI51+'Match Data'!DH51+'Match Data'!EG51+'Match Data'!FF51+'Match Data'!GE51+'Match Data'!HD51+'Match Data'!IC51</f>
        <v>0</v>
      </c>
      <c r="N51" s="94">
        <f>'Match Data'!M51+'Match Data'!AL51+'Match Data'!BK51+'Match Data'!CJ51+'Match Data'!DI51+'Match Data'!EH51+'Match Data'!FG51+'Match Data'!GF51+'Match Data'!HE51+'Match Data'!ID51</f>
        <v>0</v>
      </c>
      <c r="O51" s="94">
        <f>'Match Data'!N51+'Match Data'!AM51+'Match Data'!BL51+'Match Data'!CK51+'Match Data'!DJ51+'Match Data'!EI51+'Match Data'!FH51+'Match Data'!GG51+'Match Data'!HF51+'Match Data'!IE51</f>
        <v>0</v>
      </c>
      <c r="P51" s="94">
        <f>'Match Data'!O51+'Match Data'!AN51+'Match Data'!BM51+'Match Data'!CL51+'Match Data'!DK51+'Match Data'!EJ51+'Match Data'!FI51+'Match Data'!GH51+'Match Data'!HG51+'Match Data'!IF51</f>
        <v>0</v>
      </c>
      <c r="Q51" s="94">
        <f>'Match Data'!P51+'Match Data'!AO51+'Match Data'!BN51+'Match Data'!CM51+'Match Data'!DL51+'Match Data'!EK51+'Match Data'!FJ51+'Match Data'!GI51+'Match Data'!HH51+'Match Data'!IG51</f>
        <v>0</v>
      </c>
      <c r="R51" s="94">
        <f>'Match Data'!Q51+'Match Data'!AP51+'Match Data'!BO51+'Match Data'!CN51+'Match Data'!DM51+'Match Data'!EL51+'Match Data'!FK51+'Match Data'!GJ51+'Match Data'!HI51+'Match Data'!IH51</f>
        <v>0</v>
      </c>
      <c r="S51" s="94">
        <v>0</v>
      </c>
      <c r="T51" s="94">
        <v>0</v>
      </c>
      <c r="U51" s="94">
        <f>'Match Data'!S51+'Match Data'!AR51+'Match Data'!BQ51+'Match Data'!CP51+'Match Data'!DO51+'Match Data'!EN51+'Match Data'!FM51+'Match Data'!GL51+'Match Data'!HK51+'Match Data'!IJ51</f>
        <v>0</v>
      </c>
      <c r="V51" s="95">
        <f>'Match Data'!T51+'Match Data'!AS51+'Match Data'!BR51+'Match Data'!CQ51+'Match Data'!DP51+'Match Data'!EO51+'Match Data'!FN51+'Match Data'!GM51+'Match Data'!HL51+'Match Data'!IK51</f>
        <v>0</v>
      </c>
      <c r="W51" s="94">
        <f>'Match Data'!U51+'Match Data'!AT51+'Match Data'!BS51+'Match Data'!CR51+'Match Data'!DQ51+'Match Data'!EP51+'Match Data'!FO51+'Match Data'!GN51+'Match Data'!HM51+'Match Data'!IL51</f>
        <v>0</v>
      </c>
      <c r="X51" s="94">
        <f>'Match Data'!V51+'Match Data'!AU51+'Match Data'!BT51+'Match Data'!CS51+'Match Data'!DR51+'Match Data'!EQ51+'Match Data'!FP51+'Match Data'!GO51+'Match Data'!HN51+'Match Data'!IM51</f>
        <v>0</v>
      </c>
      <c r="Y51" s="94">
        <f>'Match Data'!W51+'Match Data'!AV51+'Match Data'!BU51+'Match Data'!CT51+'Match Data'!DS51+'Match Data'!ER51+'Match Data'!FQ51+'Match Data'!GP51+'Match Data'!HO51+'Match Data'!IN51</f>
        <v>0</v>
      </c>
      <c r="Z51" s="94">
        <f>'Match Data'!X51+'Match Data'!AW51+'Match Data'!BV51+'Match Data'!CU51+'Match Data'!DT51+'Match Data'!ES51+'Match Data'!FR51+'Match Data'!GQ51+'Match Data'!HP51+'Match Data'!IO51</f>
        <v>0</v>
      </c>
      <c r="AA51" s="94">
        <f>'Match Data'!Y51+'Match Data'!AX51+'Match Data'!BW51+'Match Data'!CV51+'Match Data'!DU51+'Match Data'!ET51+'Match Data'!FS51+'Match Data'!GR51+'Match Data'!HQ51+'Match Data'!IP51</f>
        <v>0</v>
      </c>
      <c r="AB51" s="102">
        <f>'Match Data'!Y52+'Match Data'!AY51+'Match Data'!BX51+'Match Data'!CW51+'Match Data'!DV51+'Match Data'!EU51+'Match Data'!FT51+'Match Data'!GS51+'Match Data'!HR51+'Match Data'!IQ51</f>
        <v>0</v>
      </c>
      <c r="AC51" s="99">
        <f>'Alliance Data'!B50+'Alliance Data'!L50+'Alliance Data'!V50+'Alliance Data'!AF50+'Alliance Data'!AP50+'Alliance Data'!AZ50+'Alliance Data'!BJ50+'Alliance Data'!BT50+'Alliance Data'!CD50+'Alliance Data'!CN50</f>
        <v>0</v>
      </c>
      <c r="AD51" s="118">
        <f>('Alliance Data'!C50+'Alliance Data'!M50+'Alliance Data'!W50+'Alliance Data'!AG50+'Alliance Data'!AQ50+'Alliance Data'!BA50+'Alliance Data'!BK50+'Alliance Data'!BU50+'Alliance Data'!CE50+'Alliance Data'!CO50)/Value!Q49</f>
        <v>0</v>
      </c>
      <c r="AE51" s="118">
        <f>('Alliance Data'!D50+'Alliance Data'!N50+'Alliance Data'!X50+'Alliance Data'!AH50+'Alliance Data'!AR50+'Alliance Data'!BB50+'Alliance Data'!BL50+'Alliance Data'!BV50+'Alliance Data'!CF50+'Alliance Data'!CP50)/Value!Q49</f>
        <v>0</v>
      </c>
      <c r="AF51" s="118">
        <f>('Alliance Data'!E50+'Alliance Data'!O50+'Alliance Data'!Y50+'Alliance Data'!AI50+'Alliance Data'!AS50+'Alliance Data'!BC50+'Alliance Data'!BM50+'Alliance Data'!BW50+'Alliance Data'!CG50+'Alliance Data'!CQ50)/Value!Q49</f>
        <v>0</v>
      </c>
      <c r="AG51" s="118">
        <f>('Alliance Data'!F50+'Alliance Data'!P50+'Alliance Data'!Z50+'Alliance Data'!AJ50+'Alliance Data'!AT50+'Alliance Data'!BD50+'Alliance Data'!BN50+'Alliance Data'!BX50+'Alliance Data'!CH50+'Alliance Data'!CR50)/Value!Q49</f>
        <v>0</v>
      </c>
      <c r="AH51" s="118">
        <f>('Alliance Data'!G50+'Alliance Data'!Q50+'Alliance Data'!AA50+'Alliance Data'!AK50+'Alliance Data'!AU50+'Alliance Data'!BE50+'Alliance Data'!BO50+'Alliance Data'!BY50+'Alliance Data'!CI50+'Alliance Data'!CS50)/Value!Q49</f>
        <v>0</v>
      </c>
      <c r="AI51" s="118">
        <f>('Alliance Data'!H50+'Alliance Data'!R50+'Alliance Data'!AB50+'Alliance Data'!AL50+'Alliance Data'!AV50+'Alliance Data'!BF50+'Alliance Data'!BP50+'Alliance Data'!BZ50+'Alliance Data'!CJ50+'Alliance Data'!CT50)/Value!Q49</f>
        <v>0</v>
      </c>
      <c r="AJ51" s="118">
        <f>('Alliance Data'!I50+'Alliance Data'!S50+'Alliance Data'!AC50+'Alliance Data'!AM50+'Alliance Data'!AW50+'Alliance Data'!BG50+'Alliance Data'!BQ50+'Alliance Data'!CA50+'Alliance Data'!CK50+'Alliance Data'!CU50)/Value!Q49</f>
        <v>0</v>
      </c>
      <c r="AK51" s="118">
        <f>'Alliance Data'!J50+'Alliance Data'!T50+'Alliance Data'!AD50+'Alliance Data'!AN50+'Alliance Data'!AX50+'Alliance Data'!BH50+'Alliance Data'!BR50+'Alliance Data'!CB50+'Alliance Data'!CL50+'Alliance Data'!CV50</f>
        <v>0</v>
      </c>
      <c r="AL51" s="119">
        <f>'Alliance Data'!K50+'Alliance Data'!U50+'Alliance Data'!AE50+'Alliance Data'!AO50+'Alliance Data'!AY50+'Alliance Data'!BI50+'Alliance Data'!BS50+'Alliance Data'!CC50+'Alliance Data'!CM50+'Alliance Data'!CW50</f>
        <v>0</v>
      </c>
    </row>
    <row r="52" spans="1:38" x14ac:dyDescent="0.25">
      <c r="A52" s="86">
        <v>4703</v>
      </c>
      <c r="B52" s="99">
        <f>'Match Data'!B52+'Match Data'!AA52+'Match Data'!AZ52+'Match Data'!BY52+'Match Data'!CX52+'Match Data'!DW52+'Match Data'!EV52+'Match Data'!FU52+'Match Data'!GT52+'Match Data'!HS52</f>
        <v>0</v>
      </c>
      <c r="C52" s="94">
        <f>'Match Data'!C52+'Match Data'!AB52+'Match Data'!BA52+'Match Data'!BZ52+'Match Data'!CY52+'Match Data'!DX52+'Match Data'!EW52+'Match Data'!FV52+'Match Data'!GU52+'Match Data'!HT52</f>
        <v>0</v>
      </c>
      <c r="D52" s="94">
        <f>'Match Data'!D52+'Match Data'!AC52+'Match Data'!BB52+'Match Data'!CA52+'Match Data'!CZ52+'Match Data'!DY52+'Match Data'!EX52+'Match Data'!FW52+'Match Data'!GV52+'Match Data'!HU52</f>
        <v>0</v>
      </c>
      <c r="E52" s="94">
        <f>'Match Data'!E52+'Match Data'!AD52+'Match Data'!BC52+'Match Data'!CB52+'Match Data'!DA52+'Match Data'!DZ52+'Match Data'!EY52+'Match Data'!FX52+'Match Data'!GW52+'Match Data'!HV52</f>
        <v>0</v>
      </c>
      <c r="F52" s="94">
        <f>'Match Data'!F52+'Match Data'!AE52+'Match Data'!BD52+'Match Data'!CC52+'Match Data'!DB52+'Match Data'!EA52+'Match Data'!EZ52+'Match Data'!FY52+'Match Data'!GX52+'Match Data'!HW52</f>
        <v>0</v>
      </c>
      <c r="G52" s="94">
        <f>'Match Data'!G52+'Match Data'!AF52+'Match Data'!BE52+'Match Data'!CD52+'Match Data'!DC52+'Match Data'!EB52+'Match Data'!FA52+'Match Data'!FZ52+'Match Data'!GY52+'Match Data'!HX52</f>
        <v>0</v>
      </c>
      <c r="H52" s="94">
        <f>'Match Data'!H52+'Match Data'!AG52+'Match Data'!BF52+'Match Data'!CE52+'Match Data'!DD52+'Match Data'!EC52+'Match Data'!FB52+'Match Data'!GA52+'Match Data'!GZ52+'Match Data'!HY52</f>
        <v>0</v>
      </c>
      <c r="I52" s="94">
        <f>'Match Data'!I52+'Match Data'!AH52+'Match Data'!BG52+'Match Data'!CF52+'Match Data'!DE52+'Match Data'!ED52+'Match Data'!FC52+'Match Data'!GB52+'Match Data'!HA52+'Match Data'!HZ52</f>
        <v>0</v>
      </c>
      <c r="J52" s="94" t="e">
        <f>(Table5[[#This Row],[High Made]]+Table5[[#This Row],[Low Made]])/(SUM(Table5[[#This Row],[High Made]:[Low Miss]]))</f>
        <v>#DIV/0!</v>
      </c>
      <c r="K52" s="94">
        <f>'Match Data'!J52+'Match Data'!AI52+'Match Data'!BH52+'Match Data'!CG52+'Match Data'!DF52+'Match Data'!EE52+'Match Data'!FD52+'Match Data'!GC52+'Match Data'!HB52+'Match Data'!IA52</f>
        <v>0</v>
      </c>
      <c r="L52" s="94">
        <f>'Match Data'!K52+'Match Data'!AJ52+'Match Data'!BI52+'Match Data'!CH52+'Match Data'!DG52+'Match Data'!EF52+'Match Data'!FE52+'Match Data'!GD52+'Match Data'!HC52+'Match Data'!IB52</f>
        <v>0</v>
      </c>
      <c r="M52" s="94">
        <f>'Match Data'!L52+'Match Data'!AK52+'Match Data'!BJ52+'Match Data'!CI52+'Match Data'!DH52+'Match Data'!EG52+'Match Data'!FF52+'Match Data'!GE52+'Match Data'!HD52+'Match Data'!IC52</f>
        <v>0</v>
      </c>
      <c r="N52" s="94">
        <f>'Match Data'!M52+'Match Data'!AL52+'Match Data'!BK52+'Match Data'!CJ52+'Match Data'!DI52+'Match Data'!EH52+'Match Data'!FG52+'Match Data'!GF52+'Match Data'!HE52+'Match Data'!ID52</f>
        <v>0</v>
      </c>
      <c r="O52" s="94">
        <f>'Match Data'!N52+'Match Data'!AM52+'Match Data'!BL52+'Match Data'!CK52+'Match Data'!DJ52+'Match Data'!EI52+'Match Data'!FH52+'Match Data'!GG52+'Match Data'!HF52+'Match Data'!IE52</f>
        <v>0</v>
      </c>
      <c r="P52" s="94">
        <f>'Match Data'!O52+'Match Data'!AN52+'Match Data'!BM52+'Match Data'!CL52+'Match Data'!DK52+'Match Data'!EJ52+'Match Data'!FI52+'Match Data'!GH52+'Match Data'!HG52+'Match Data'!IF52</f>
        <v>0</v>
      </c>
      <c r="Q52" s="94">
        <f>'Match Data'!P52+'Match Data'!AO52+'Match Data'!BN52+'Match Data'!CM52+'Match Data'!DL52+'Match Data'!EK52+'Match Data'!FJ52+'Match Data'!GI52+'Match Data'!HH52+'Match Data'!IG52</f>
        <v>0</v>
      </c>
      <c r="R52" s="94">
        <f>'Match Data'!Q52+'Match Data'!AP52+'Match Data'!BO52+'Match Data'!CN52+'Match Data'!DM52+'Match Data'!EL52+'Match Data'!FK52+'Match Data'!GJ52+'Match Data'!HI52+'Match Data'!IH52</f>
        <v>0</v>
      </c>
      <c r="S52" s="94">
        <v>0</v>
      </c>
      <c r="T52" s="94">
        <v>0</v>
      </c>
      <c r="U52" s="94">
        <f>'Match Data'!S52+'Match Data'!AR52+'Match Data'!BQ52+'Match Data'!CP52+'Match Data'!DO52+'Match Data'!EN52+'Match Data'!FM52+'Match Data'!GL52+'Match Data'!HK52+'Match Data'!IJ52</f>
        <v>0</v>
      </c>
      <c r="V52" s="95">
        <f>'Match Data'!T52+'Match Data'!AS52+'Match Data'!BR52+'Match Data'!CQ52+'Match Data'!DP52+'Match Data'!EO52+'Match Data'!FN52+'Match Data'!GM52+'Match Data'!HL52+'Match Data'!IK52</f>
        <v>0</v>
      </c>
      <c r="W52" s="94">
        <f>'Match Data'!U52+'Match Data'!AT52+'Match Data'!BS52+'Match Data'!CR52+'Match Data'!DQ52+'Match Data'!EP52+'Match Data'!FO52+'Match Data'!GN52+'Match Data'!HM52+'Match Data'!IL52</f>
        <v>0</v>
      </c>
      <c r="X52" s="94">
        <f>'Match Data'!V52+'Match Data'!AU52+'Match Data'!BT52+'Match Data'!CS52+'Match Data'!DR52+'Match Data'!EQ52+'Match Data'!FP52+'Match Data'!GO52+'Match Data'!HN52+'Match Data'!IM52</f>
        <v>0</v>
      </c>
      <c r="Y52" s="94">
        <f>'Match Data'!W52+'Match Data'!AV52+'Match Data'!BU52+'Match Data'!CT52+'Match Data'!DS52+'Match Data'!ER52+'Match Data'!FQ52+'Match Data'!GP52+'Match Data'!HO52+'Match Data'!IN52</f>
        <v>0</v>
      </c>
      <c r="Z52" s="94">
        <f>'Match Data'!X52+'Match Data'!AW52+'Match Data'!BV52+'Match Data'!CU52+'Match Data'!DT52+'Match Data'!ES52+'Match Data'!FR52+'Match Data'!GQ52+'Match Data'!HP52+'Match Data'!IO52</f>
        <v>0</v>
      </c>
      <c r="AA52" s="94">
        <f>'Match Data'!Y52+'Match Data'!AX52+'Match Data'!BW52+'Match Data'!CV52+'Match Data'!DU52+'Match Data'!ET52+'Match Data'!FS52+'Match Data'!GR52+'Match Data'!HQ52+'Match Data'!IP52</f>
        <v>0</v>
      </c>
      <c r="AB52" s="102">
        <f>'Match Data'!Y55+'Match Data'!AY52+'Match Data'!BX52+'Match Data'!CW52+'Match Data'!DV52+'Match Data'!EU52+'Match Data'!FT52+'Match Data'!GS52+'Match Data'!HR52+'Match Data'!IQ52</f>
        <v>0</v>
      </c>
      <c r="AC52" s="99">
        <f>'Alliance Data'!B51+'Alliance Data'!L51+'Alliance Data'!V51+'Alliance Data'!AF51+'Alliance Data'!AP51+'Alliance Data'!AZ51+'Alliance Data'!BJ51+'Alliance Data'!BT51+'Alliance Data'!CD51+'Alliance Data'!CN51</f>
        <v>0</v>
      </c>
      <c r="AD52" s="118">
        <f>('Alliance Data'!C51+'Alliance Data'!M51+'Alliance Data'!W51+'Alliance Data'!AG51+'Alliance Data'!AQ51+'Alliance Data'!BA51+'Alliance Data'!BK51+'Alliance Data'!BU51+'Alliance Data'!CE51+'Alliance Data'!CO51)/Value!Q50</f>
        <v>0</v>
      </c>
      <c r="AE52" s="118">
        <f>('Alliance Data'!D51+'Alliance Data'!N51+'Alliance Data'!X51+'Alliance Data'!AH51+'Alliance Data'!AR51+'Alliance Data'!BB51+'Alliance Data'!BL51+'Alliance Data'!BV51+'Alliance Data'!CF51+'Alliance Data'!CP51)/Value!Q50</f>
        <v>0</v>
      </c>
      <c r="AF52" s="118">
        <f>('Alliance Data'!E51+'Alliance Data'!O51+'Alliance Data'!Y51+'Alliance Data'!AI51+'Alliance Data'!AS51+'Alliance Data'!BC51+'Alliance Data'!BM51+'Alliance Data'!BW51+'Alliance Data'!CG51+'Alliance Data'!CQ51)/Value!Q50</f>
        <v>0</v>
      </c>
      <c r="AG52" s="118">
        <f>('Alliance Data'!F51+'Alliance Data'!P51+'Alliance Data'!Z51+'Alliance Data'!AJ51+'Alliance Data'!AT51+'Alliance Data'!BD51+'Alliance Data'!BN51+'Alliance Data'!BX51+'Alliance Data'!CH51+'Alliance Data'!CR51)/Value!Q50</f>
        <v>0</v>
      </c>
      <c r="AH52" s="118">
        <f>('Alliance Data'!G51+'Alliance Data'!Q51+'Alliance Data'!AA51+'Alliance Data'!AK51+'Alliance Data'!AU51+'Alliance Data'!BE51+'Alliance Data'!BO51+'Alliance Data'!BY51+'Alliance Data'!CI51+'Alliance Data'!CS51)/Value!Q50</f>
        <v>0</v>
      </c>
      <c r="AI52" s="118">
        <f>('Alliance Data'!H51+'Alliance Data'!R51+'Alliance Data'!AB51+'Alliance Data'!AL51+'Alliance Data'!AV51+'Alliance Data'!BF51+'Alliance Data'!BP51+'Alliance Data'!BZ51+'Alliance Data'!CJ51+'Alliance Data'!CT51)/Value!Q50</f>
        <v>0</v>
      </c>
      <c r="AJ52" s="118">
        <f>('Alliance Data'!I51+'Alliance Data'!S51+'Alliance Data'!AC51+'Alliance Data'!AM51+'Alliance Data'!AW51+'Alliance Data'!BG51+'Alliance Data'!BQ51+'Alliance Data'!CA51+'Alliance Data'!CK51+'Alliance Data'!CU51)/Value!Q50</f>
        <v>0</v>
      </c>
      <c r="AK52" s="118">
        <f>'Alliance Data'!J51+'Alliance Data'!T51+'Alliance Data'!AD51+'Alliance Data'!AN51+'Alliance Data'!AX51+'Alliance Data'!BH51+'Alliance Data'!BR51+'Alliance Data'!CB51+'Alliance Data'!CL51+'Alliance Data'!CV51</f>
        <v>0</v>
      </c>
      <c r="AL52" s="119">
        <f>'Alliance Data'!K51+'Alliance Data'!U51+'Alliance Data'!AE51+'Alliance Data'!AO51+'Alliance Data'!AY51+'Alliance Data'!BI51+'Alliance Data'!BS51+'Alliance Data'!CC51+'Alliance Data'!CM51+'Alliance Data'!CW51</f>
        <v>0</v>
      </c>
    </row>
    <row r="53" spans="1:38" x14ac:dyDescent="0.25">
      <c r="A53" s="86">
        <v>4728</v>
      </c>
      <c r="B53" s="99">
        <f>'Match Data'!B53+'Match Data'!AA53+'Match Data'!AZ53+'Match Data'!BY53+'Match Data'!CX53+'Match Data'!DW53+'Match Data'!EV53+'Match Data'!FU53+'Match Data'!GT53+'Match Data'!HS53</f>
        <v>0</v>
      </c>
      <c r="C53" s="94">
        <f>'Match Data'!C53+'Match Data'!AB53+'Match Data'!BA53+'Match Data'!BZ53+'Match Data'!CY53+'Match Data'!DX53+'Match Data'!EW53+'Match Data'!FV53+'Match Data'!GU53+'Match Data'!HT53</f>
        <v>0</v>
      </c>
      <c r="D53" s="94">
        <f>'Match Data'!D53+'Match Data'!AC53+'Match Data'!BB53+'Match Data'!CA53+'Match Data'!CZ53+'Match Data'!DY53+'Match Data'!EX53+'Match Data'!FW53+'Match Data'!GV53+'Match Data'!HU53</f>
        <v>0</v>
      </c>
      <c r="E53" s="94">
        <f>'Match Data'!E53+'Match Data'!AD53+'Match Data'!BC53+'Match Data'!CB53+'Match Data'!DA53+'Match Data'!DZ53+'Match Data'!EY53+'Match Data'!FX53+'Match Data'!GW53+'Match Data'!HV53</f>
        <v>0</v>
      </c>
      <c r="F53" s="94">
        <f>'Match Data'!F53+'Match Data'!AE53+'Match Data'!BD53+'Match Data'!CC53+'Match Data'!DB53+'Match Data'!EA53+'Match Data'!EZ53+'Match Data'!FY53+'Match Data'!GX53+'Match Data'!HW53</f>
        <v>0</v>
      </c>
      <c r="G53" s="94">
        <f>'Match Data'!G53+'Match Data'!AF53+'Match Data'!BE53+'Match Data'!CD53+'Match Data'!DC53+'Match Data'!EB53+'Match Data'!FA53+'Match Data'!FZ53+'Match Data'!GY53+'Match Data'!HX53</f>
        <v>0</v>
      </c>
      <c r="H53" s="94">
        <f>'Match Data'!H53+'Match Data'!AG53+'Match Data'!BF53+'Match Data'!CE53+'Match Data'!DD53+'Match Data'!EC53+'Match Data'!FB53+'Match Data'!GA53+'Match Data'!GZ53+'Match Data'!HY53</f>
        <v>0</v>
      </c>
      <c r="I53" s="94">
        <f>'Match Data'!I53+'Match Data'!AH53+'Match Data'!BG53+'Match Data'!CF53+'Match Data'!DE53+'Match Data'!ED53+'Match Data'!FC53+'Match Data'!GB53+'Match Data'!HA53+'Match Data'!HZ53</f>
        <v>0</v>
      </c>
      <c r="J53" s="94" t="e">
        <f>(Table5[[#This Row],[High Made]]+Table5[[#This Row],[Low Made]])/(SUM(Table5[[#This Row],[High Made]:[Low Miss]]))</f>
        <v>#DIV/0!</v>
      </c>
      <c r="K53" s="94">
        <f>'Match Data'!J53+'Match Data'!AI53+'Match Data'!BH53+'Match Data'!CG53+'Match Data'!DF53+'Match Data'!EE53+'Match Data'!FD53+'Match Data'!GC53+'Match Data'!HB53+'Match Data'!IA53</f>
        <v>0</v>
      </c>
      <c r="L53" s="94">
        <f>'Match Data'!K53+'Match Data'!AJ53+'Match Data'!BI53+'Match Data'!CH53+'Match Data'!DG53+'Match Data'!EF53+'Match Data'!FE53+'Match Data'!GD53+'Match Data'!HC53+'Match Data'!IB53</f>
        <v>0</v>
      </c>
      <c r="M53" s="94">
        <f>'Match Data'!L53+'Match Data'!AK53+'Match Data'!BJ53+'Match Data'!CI53+'Match Data'!DH53+'Match Data'!EG53+'Match Data'!FF53+'Match Data'!GE53+'Match Data'!HD53+'Match Data'!IC53</f>
        <v>0</v>
      </c>
      <c r="N53" s="94">
        <f>'Match Data'!M53+'Match Data'!AL53+'Match Data'!BK53+'Match Data'!CJ53+'Match Data'!DI53+'Match Data'!EH53+'Match Data'!FG53+'Match Data'!GF53+'Match Data'!HE53+'Match Data'!ID53</f>
        <v>0</v>
      </c>
      <c r="O53" s="94">
        <f>'Match Data'!N53+'Match Data'!AM53+'Match Data'!BL53+'Match Data'!CK53+'Match Data'!DJ53+'Match Data'!EI53+'Match Data'!FH53+'Match Data'!GG53+'Match Data'!HF53+'Match Data'!IE53</f>
        <v>0</v>
      </c>
      <c r="P53" s="94">
        <f>'Match Data'!O53+'Match Data'!AN53+'Match Data'!BM53+'Match Data'!CL53+'Match Data'!DK53+'Match Data'!EJ53+'Match Data'!FI53+'Match Data'!GH53+'Match Data'!HG53+'Match Data'!IF53</f>
        <v>0</v>
      </c>
      <c r="Q53" s="94">
        <f>'Match Data'!P53+'Match Data'!AO53+'Match Data'!BN53+'Match Data'!CM53+'Match Data'!DL53+'Match Data'!EK53+'Match Data'!FJ53+'Match Data'!GI53+'Match Data'!HH53+'Match Data'!IG53</f>
        <v>0</v>
      </c>
      <c r="R53" s="94">
        <f>'Match Data'!Q53+'Match Data'!AP53+'Match Data'!BO53+'Match Data'!CN53+'Match Data'!DM53+'Match Data'!EL53+'Match Data'!FK53+'Match Data'!GJ53+'Match Data'!HI53+'Match Data'!IH53</f>
        <v>0</v>
      </c>
      <c r="S53" s="94">
        <v>0</v>
      </c>
      <c r="T53" s="94">
        <v>0</v>
      </c>
      <c r="U53" s="94">
        <f>'Match Data'!S53+'Match Data'!AR53+'Match Data'!BQ53+'Match Data'!CP53+'Match Data'!DO53+'Match Data'!EN53+'Match Data'!FM53+'Match Data'!GL53+'Match Data'!HK53+'Match Data'!IJ53</f>
        <v>0</v>
      </c>
      <c r="V53" s="95">
        <f>'Match Data'!T53+'Match Data'!AS53+'Match Data'!BR53+'Match Data'!CQ53+'Match Data'!DP53+'Match Data'!EO53+'Match Data'!FN53+'Match Data'!GM53+'Match Data'!HL53+'Match Data'!IK53</f>
        <v>0</v>
      </c>
      <c r="W53" s="94">
        <f>'Match Data'!U53+'Match Data'!AT53+'Match Data'!BS53+'Match Data'!CR53+'Match Data'!DQ53+'Match Data'!EP53+'Match Data'!FO53+'Match Data'!GN53+'Match Data'!HM53+'Match Data'!IL53</f>
        <v>0</v>
      </c>
      <c r="X53" s="94">
        <f>'Match Data'!V53+'Match Data'!AU53+'Match Data'!BT53+'Match Data'!CS53+'Match Data'!DR53+'Match Data'!EQ53+'Match Data'!FP53+'Match Data'!GO53+'Match Data'!HN53+'Match Data'!IM53</f>
        <v>0</v>
      </c>
      <c r="Y53" s="94">
        <f>'Match Data'!W53+'Match Data'!AV53+'Match Data'!BU53+'Match Data'!CT53+'Match Data'!DS53+'Match Data'!ER53+'Match Data'!FQ53+'Match Data'!GP53+'Match Data'!HO53+'Match Data'!IN53</f>
        <v>0</v>
      </c>
      <c r="Z53" s="94">
        <f>'Match Data'!X53+'Match Data'!AW53+'Match Data'!BV53+'Match Data'!CU53+'Match Data'!DT53+'Match Data'!ES53+'Match Data'!FR53+'Match Data'!GQ53+'Match Data'!HP53+'Match Data'!IO53</f>
        <v>0</v>
      </c>
      <c r="AA53" s="94">
        <f>'Match Data'!Y53+'Match Data'!AX53+'Match Data'!BW53+'Match Data'!CV53+'Match Data'!DU53+'Match Data'!ET53+'Match Data'!FS53+'Match Data'!GR53+'Match Data'!HQ53+'Match Data'!IP53</f>
        <v>0</v>
      </c>
      <c r="AB53" s="102">
        <f>'Match Data'!Z53+'Match Data'!AY53+'Match Data'!BX53+'Match Data'!CW53+'Match Data'!DV53+'Match Data'!EU53+'Match Data'!FT53+'Match Data'!GS53+'Match Data'!HR53+'Match Data'!IQ53</f>
        <v>0</v>
      </c>
      <c r="AC53" s="99">
        <f>'Alliance Data'!B52+'Alliance Data'!L52+'Alliance Data'!V52+'Alliance Data'!AF52+'Alliance Data'!AP52+'Alliance Data'!AZ52+'Alliance Data'!BJ52+'Alliance Data'!BT52+'Alliance Data'!CD52+'Alliance Data'!CN52</f>
        <v>0</v>
      </c>
      <c r="AD53" s="118">
        <f>('Alliance Data'!C52+'Alliance Data'!M52+'Alliance Data'!W52+'Alliance Data'!AG52+'Alliance Data'!AQ52+'Alliance Data'!BA52+'Alliance Data'!BK52+'Alliance Data'!BU52+'Alliance Data'!CE52+'Alliance Data'!CO52)/Value!Q51</f>
        <v>0</v>
      </c>
      <c r="AE53" s="118">
        <f>('Alliance Data'!D52+'Alliance Data'!N52+'Alliance Data'!X52+'Alliance Data'!AH52+'Alliance Data'!AR52+'Alliance Data'!BB52+'Alliance Data'!BL52+'Alliance Data'!BV52+'Alliance Data'!CF52+'Alliance Data'!CP52)/Value!Q51</f>
        <v>0</v>
      </c>
      <c r="AF53" s="118">
        <f>('Alliance Data'!E52+'Alliance Data'!O52+'Alliance Data'!Y52+'Alliance Data'!AI52+'Alliance Data'!AS52+'Alliance Data'!BC52+'Alliance Data'!BM52+'Alliance Data'!BW52+'Alliance Data'!CG52+'Alliance Data'!CQ52)/Value!Q51</f>
        <v>0</v>
      </c>
      <c r="AG53" s="118">
        <f>('Alliance Data'!F52+'Alliance Data'!P52+'Alliance Data'!Z52+'Alliance Data'!AJ52+'Alliance Data'!AT52+'Alliance Data'!BD52+'Alliance Data'!BN52+'Alliance Data'!BX52+'Alliance Data'!CH52+'Alliance Data'!CR52)/Value!Q51</f>
        <v>0</v>
      </c>
      <c r="AH53" s="118">
        <f>('Alliance Data'!G52+'Alliance Data'!Q52+'Alliance Data'!AA52+'Alliance Data'!AK52+'Alliance Data'!AU52+'Alliance Data'!BE52+'Alliance Data'!BO52+'Alliance Data'!BY52+'Alliance Data'!CI52+'Alliance Data'!CS52)/Value!Q51</f>
        <v>0</v>
      </c>
      <c r="AI53" s="118">
        <f>('Alliance Data'!H52+'Alliance Data'!R52+'Alliance Data'!AB52+'Alliance Data'!AL52+'Alliance Data'!AV52+'Alliance Data'!BF52+'Alliance Data'!BP52+'Alliance Data'!BZ52+'Alliance Data'!CJ52+'Alliance Data'!CT52)/Value!Q51</f>
        <v>0</v>
      </c>
      <c r="AJ53" s="118">
        <f>('Alliance Data'!I52+'Alliance Data'!S52+'Alliance Data'!AC52+'Alliance Data'!AM52+'Alliance Data'!AW52+'Alliance Data'!BG52+'Alliance Data'!BQ52+'Alliance Data'!CA52+'Alliance Data'!CK52+'Alliance Data'!CU52)/Value!Q51</f>
        <v>0</v>
      </c>
      <c r="AK53" s="118">
        <f>'Alliance Data'!J52+'Alliance Data'!T52+'Alliance Data'!AD52+'Alliance Data'!AN52+'Alliance Data'!AX52+'Alliance Data'!BH52+'Alliance Data'!BR52+'Alliance Data'!CB52+'Alliance Data'!CL52+'Alliance Data'!CV52</f>
        <v>0</v>
      </c>
      <c r="AL53" s="119">
        <f>'Alliance Data'!K52+'Alliance Data'!U52+'Alliance Data'!AE52+'Alliance Data'!AO52+'Alliance Data'!AY52+'Alliance Data'!BI52+'Alliance Data'!BS52+'Alliance Data'!CC52+'Alliance Data'!CM52+'Alliance Data'!CW52</f>
        <v>0</v>
      </c>
    </row>
    <row r="54" spans="1:38" x14ac:dyDescent="0.25">
      <c r="A54" s="86">
        <v>5172</v>
      </c>
      <c r="B54" s="99">
        <f>'Match Data'!B54+'Match Data'!AA54+'Match Data'!AZ54+'Match Data'!BY54+'Match Data'!CX54+'Match Data'!DW54+'Match Data'!EV54+'Match Data'!FU54+'Match Data'!GT54+'Match Data'!HS54</f>
        <v>0</v>
      </c>
      <c r="C54" s="94">
        <f>'Match Data'!C54+'Match Data'!AB54+'Match Data'!BA54+'Match Data'!BZ54+'Match Data'!CY54+'Match Data'!DX54+'Match Data'!EW54+'Match Data'!FV54+'Match Data'!GU54+'Match Data'!HT54</f>
        <v>0</v>
      </c>
      <c r="D54" s="94">
        <f>'Match Data'!D54+'Match Data'!AC54+'Match Data'!BB54+'Match Data'!CA54+'Match Data'!CZ54+'Match Data'!DY54+'Match Data'!EX54+'Match Data'!FW54+'Match Data'!GV54+'Match Data'!HU54</f>
        <v>0</v>
      </c>
      <c r="E54" s="94">
        <f>'Match Data'!E54+'Match Data'!AD54+'Match Data'!BC54+'Match Data'!CB54+'Match Data'!DA54+'Match Data'!DZ54+'Match Data'!EY54+'Match Data'!FX54+'Match Data'!GW54+'Match Data'!HV54</f>
        <v>0</v>
      </c>
      <c r="F54" s="94">
        <f>'Match Data'!F54+'Match Data'!AE54+'Match Data'!BD54+'Match Data'!CC54+'Match Data'!DB54+'Match Data'!EA54+'Match Data'!EZ54+'Match Data'!FY54+'Match Data'!GX54+'Match Data'!HW54</f>
        <v>0</v>
      </c>
      <c r="G54" s="94">
        <f>'Match Data'!G54+'Match Data'!AF54+'Match Data'!BE54+'Match Data'!CD54+'Match Data'!DC54+'Match Data'!EB54+'Match Data'!FA54+'Match Data'!FZ54+'Match Data'!GY54+'Match Data'!HX54</f>
        <v>0</v>
      </c>
      <c r="H54" s="94">
        <f>'Match Data'!H54+'Match Data'!AG54+'Match Data'!BF54+'Match Data'!CE54+'Match Data'!DD54+'Match Data'!EC54+'Match Data'!FB54+'Match Data'!GA54+'Match Data'!GZ54+'Match Data'!HY54</f>
        <v>0</v>
      </c>
      <c r="I54" s="94">
        <f>'Match Data'!I54+'Match Data'!AH54+'Match Data'!BG54+'Match Data'!CF54+'Match Data'!DE54+'Match Data'!ED54+'Match Data'!FC54+'Match Data'!GB54+'Match Data'!HA54+'Match Data'!HZ54</f>
        <v>0</v>
      </c>
      <c r="J54" s="94" t="e">
        <f>(Table5[[#This Row],[High Made]]+Table5[[#This Row],[Low Made]])/(SUM(Table5[[#This Row],[High Made]:[Low Miss]]))</f>
        <v>#DIV/0!</v>
      </c>
      <c r="K54" s="94">
        <f>'Match Data'!J54+'Match Data'!AI54+'Match Data'!BH54+'Match Data'!CG54+'Match Data'!DF54+'Match Data'!EE54+'Match Data'!FD54+'Match Data'!GC54+'Match Data'!HB54+'Match Data'!IA54</f>
        <v>0</v>
      </c>
      <c r="L54" s="94">
        <f>'Match Data'!K54+'Match Data'!AJ54+'Match Data'!BI54+'Match Data'!CH54+'Match Data'!DG54+'Match Data'!EF54+'Match Data'!FE54+'Match Data'!GD54+'Match Data'!HC54+'Match Data'!IB54</f>
        <v>0</v>
      </c>
      <c r="M54" s="94">
        <f>'Match Data'!L54+'Match Data'!AK54+'Match Data'!BJ54+'Match Data'!CI54+'Match Data'!DH54+'Match Data'!EG54+'Match Data'!FF54+'Match Data'!GE54+'Match Data'!HD54+'Match Data'!IC54</f>
        <v>0</v>
      </c>
      <c r="N54" s="94">
        <f>'Match Data'!M54+'Match Data'!AL54+'Match Data'!BK54+'Match Data'!CJ54+'Match Data'!DI54+'Match Data'!EH54+'Match Data'!FG54+'Match Data'!GF54+'Match Data'!HE54+'Match Data'!ID54</f>
        <v>0</v>
      </c>
      <c r="O54" s="94">
        <f>'Match Data'!N54+'Match Data'!AM54+'Match Data'!BL54+'Match Data'!CK54+'Match Data'!DJ54+'Match Data'!EI54+'Match Data'!FH54+'Match Data'!GG54+'Match Data'!HF54+'Match Data'!IE54</f>
        <v>0</v>
      </c>
      <c r="P54" s="94">
        <f>'Match Data'!O54+'Match Data'!AN54+'Match Data'!BM54+'Match Data'!CL54+'Match Data'!DK54+'Match Data'!EJ54+'Match Data'!FI54+'Match Data'!GH54+'Match Data'!HG54+'Match Data'!IF54</f>
        <v>0</v>
      </c>
      <c r="Q54" s="94">
        <f>'Match Data'!P54+'Match Data'!AO54+'Match Data'!BN54+'Match Data'!CM54+'Match Data'!DL54+'Match Data'!EK54+'Match Data'!FJ54+'Match Data'!GI54+'Match Data'!HH54+'Match Data'!IG54</f>
        <v>0</v>
      </c>
      <c r="R54" s="94">
        <f>'Match Data'!Q54+'Match Data'!AP54+'Match Data'!BO54+'Match Data'!CN54+'Match Data'!DM54+'Match Data'!EL54+'Match Data'!FK54+'Match Data'!GJ54+'Match Data'!HI54+'Match Data'!IH54</f>
        <v>0</v>
      </c>
      <c r="S54" s="94">
        <v>0</v>
      </c>
      <c r="T54" s="94">
        <v>0</v>
      </c>
      <c r="U54" s="94">
        <f>'Match Data'!S54+'Match Data'!AR54+'Match Data'!BQ54+'Match Data'!CP54+'Match Data'!DO54+'Match Data'!EN54+'Match Data'!FM54+'Match Data'!GL54+'Match Data'!HK54+'Match Data'!IJ54</f>
        <v>0</v>
      </c>
      <c r="V54" s="95">
        <f>'Match Data'!T54+'Match Data'!AS54+'Match Data'!BR54+'Match Data'!CQ54+'Match Data'!DP54+'Match Data'!EO54+'Match Data'!FN54+'Match Data'!GM54+'Match Data'!HL54+'Match Data'!IK54</f>
        <v>0</v>
      </c>
      <c r="W54" s="94">
        <f>'Match Data'!U54+'Match Data'!AT54+'Match Data'!BS54+'Match Data'!CR54+'Match Data'!DQ54+'Match Data'!EP54+'Match Data'!FO54+'Match Data'!GN54+'Match Data'!HM54+'Match Data'!IL54</f>
        <v>0</v>
      </c>
      <c r="X54" s="94">
        <f>'Match Data'!V54+'Match Data'!AU54+'Match Data'!BT54+'Match Data'!CS54+'Match Data'!DR54+'Match Data'!EQ54+'Match Data'!FP54+'Match Data'!GO54+'Match Data'!HN54+'Match Data'!IM54</f>
        <v>0</v>
      </c>
      <c r="Y54" s="94">
        <f>'Match Data'!W54+'Match Data'!AV54+'Match Data'!BU54+'Match Data'!CT54+'Match Data'!DS54+'Match Data'!ER54+'Match Data'!FQ54+'Match Data'!GP54+'Match Data'!HO54+'Match Data'!IN54</f>
        <v>0</v>
      </c>
      <c r="Z54" s="94">
        <f>'Match Data'!X54+'Match Data'!AW54+'Match Data'!BV54+'Match Data'!CU54+'Match Data'!DT54+'Match Data'!ES54+'Match Data'!FR54+'Match Data'!GQ54+'Match Data'!HP54+'Match Data'!IO54</f>
        <v>0</v>
      </c>
      <c r="AA54" s="94">
        <f>'Match Data'!Y54+'Match Data'!AX54+'Match Data'!BW54+'Match Data'!CV54+'Match Data'!DU54+'Match Data'!ET54+'Match Data'!FS54+'Match Data'!GR54+'Match Data'!HQ54+'Match Data'!IP54</f>
        <v>0</v>
      </c>
      <c r="AB54" s="102">
        <f>'Match Data'!Z54+'Match Data'!AY54+'Match Data'!BX54+'Match Data'!CW54+'Match Data'!DV54+'Match Data'!EU54+'Match Data'!FT54+'Match Data'!GS54+'Match Data'!HR54+'Match Data'!IQ54</f>
        <v>0</v>
      </c>
      <c r="AC54" s="99">
        <f>'Alliance Data'!B53+'Alliance Data'!L53+'Alliance Data'!V53+'Alliance Data'!AF53+'Alliance Data'!AP53+'Alliance Data'!AZ53+'Alliance Data'!BJ53+'Alliance Data'!BT53+'Alliance Data'!CD53+'Alliance Data'!CN53</f>
        <v>0</v>
      </c>
      <c r="AD54" s="118">
        <f>('Alliance Data'!C53+'Alliance Data'!M53+'Alliance Data'!W53+'Alliance Data'!AG53+'Alliance Data'!AQ53+'Alliance Data'!BA53+'Alliance Data'!BK53+'Alliance Data'!BU53+'Alliance Data'!CE53+'Alliance Data'!CO53)/Value!Q52</f>
        <v>0</v>
      </c>
      <c r="AE54" s="118">
        <f>('Alliance Data'!D53+'Alliance Data'!N53+'Alliance Data'!X53+'Alliance Data'!AH53+'Alliance Data'!AR53+'Alliance Data'!BB53+'Alliance Data'!BL53+'Alliance Data'!BV53+'Alliance Data'!CF53+'Alliance Data'!CP53)/Value!Q52</f>
        <v>0</v>
      </c>
      <c r="AF54" s="118">
        <f>('Alliance Data'!E53+'Alliance Data'!O53+'Alliance Data'!Y53+'Alliance Data'!AI53+'Alliance Data'!AS53+'Alliance Data'!BC53+'Alliance Data'!BM53+'Alliance Data'!BW53+'Alliance Data'!CG53+'Alliance Data'!CQ53)/Value!Q52</f>
        <v>0</v>
      </c>
      <c r="AG54" s="118">
        <f>('Alliance Data'!F53+'Alliance Data'!P53+'Alliance Data'!Z53+'Alliance Data'!AJ53+'Alliance Data'!AT53+'Alliance Data'!BD53+'Alliance Data'!BN53+'Alliance Data'!BX53+'Alliance Data'!CH53+'Alliance Data'!CR53)/Value!Q52</f>
        <v>0</v>
      </c>
      <c r="AH54" s="118">
        <f>('Alliance Data'!G53+'Alliance Data'!Q53+'Alliance Data'!AA53+'Alliance Data'!AK53+'Alliance Data'!AU53+'Alliance Data'!BE53+'Alliance Data'!BO53+'Alliance Data'!BY53+'Alliance Data'!CI53+'Alliance Data'!CS53)/Value!Q52</f>
        <v>0</v>
      </c>
      <c r="AI54" s="118">
        <f>('Alliance Data'!H53+'Alliance Data'!R53+'Alliance Data'!AB53+'Alliance Data'!AL53+'Alliance Data'!AV53+'Alliance Data'!BF53+'Alliance Data'!BP53+'Alliance Data'!BZ53+'Alliance Data'!CJ53+'Alliance Data'!CT53)/Value!Q52</f>
        <v>0</v>
      </c>
      <c r="AJ54" s="118">
        <f>('Alliance Data'!I53+'Alliance Data'!S53+'Alliance Data'!AC53+'Alliance Data'!AM53+'Alliance Data'!AW53+'Alliance Data'!BG53+'Alliance Data'!BQ53+'Alliance Data'!CA53+'Alliance Data'!CK53+'Alliance Data'!CU53)/Value!Q52</f>
        <v>0</v>
      </c>
      <c r="AK54" s="118">
        <f>'Alliance Data'!J53+'Alliance Data'!T53+'Alliance Data'!AD53+'Alliance Data'!AN53+'Alliance Data'!AX53+'Alliance Data'!BH53+'Alliance Data'!BR53+'Alliance Data'!CB53+'Alliance Data'!CL53+'Alliance Data'!CV53</f>
        <v>0</v>
      </c>
      <c r="AL54" s="119">
        <f>'Alliance Data'!K53+'Alliance Data'!U53+'Alliance Data'!AE53+'Alliance Data'!AO53+'Alliance Data'!AY53+'Alliance Data'!BI53+'Alliance Data'!BS53+'Alliance Data'!CC53+'Alliance Data'!CM53+'Alliance Data'!CW53</f>
        <v>0</v>
      </c>
    </row>
    <row r="55" spans="1:38" x14ac:dyDescent="0.25">
      <c r="A55" s="86">
        <v>5232</v>
      </c>
      <c r="B55" s="99">
        <f>'Match Data'!B55+'Match Data'!AA55+'Match Data'!AZ55+'Match Data'!BY55+'Match Data'!CX55+'Match Data'!DW55+'Match Data'!EV55+'Match Data'!FU55+'Match Data'!GT55+'Match Data'!HS55</f>
        <v>0</v>
      </c>
      <c r="C55" s="94">
        <f>'Match Data'!C55+'Match Data'!AB55+'Match Data'!BA55+'Match Data'!BZ55+'Match Data'!CY55+'Match Data'!DX55+'Match Data'!EW55+'Match Data'!FV55+'Match Data'!GU55+'Match Data'!HT55</f>
        <v>0</v>
      </c>
      <c r="D55" s="94">
        <f>'Match Data'!D55+'Match Data'!AC55+'Match Data'!BB55+'Match Data'!CA55+'Match Data'!CZ55+'Match Data'!DY55+'Match Data'!EX55+'Match Data'!FW55+'Match Data'!GV55+'Match Data'!HU55</f>
        <v>0</v>
      </c>
      <c r="E55" s="94">
        <f>'Match Data'!E55+'Match Data'!AD55+'Match Data'!BC55+'Match Data'!CB55+'Match Data'!DA55+'Match Data'!DZ55+'Match Data'!EY55+'Match Data'!FX55+'Match Data'!GW55+'Match Data'!HV55</f>
        <v>0</v>
      </c>
      <c r="F55" s="94">
        <f>'Match Data'!F55+'Match Data'!AE55+'Match Data'!BD55+'Match Data'!CC55+'Match Data'!DB55+'Match Data'!EA55+'Match Data'!EZ55+'Match Data'!FY55+'Match Data'!GX55+'Match Data'!HW55</f>
        <v>0</v>
      </c>
      <c r="G55" s="94">
        <f>'Match Data'!G55+'Match Data'!AF55+'Match Data'!BE55+'Match Data'!CD55+'Match Data'!DC55+'Match Data'!EB55+'Match Data'!FA55+'Match Data'!FZ55+'Match Data'!GY55+'Match Data'!HX55</f>
        <v>0</v>
      </c>
      <c r="H55" s="94">
        <f>'Match Data'!H55+'Match Data'!AG55+'Match Data'!BF55+'Match Data'!CE55+'Match Data'!DD55+'Match Data'!EC55+'Match Data'!FB55+'Match Data'!GA55+'Match Data'!GZ55+'Match Data'!HY55</f>
        <v>0</v>
      </c>
      <c r="I55" s="94">
        <f>'Match Data'!I55+'Match Data'!AH55+'Match Data'!BG55+'Match Data'!CF55+'Match Data'!DE55+'Match Data'!ED55+'Match Data'!FC55+'Match Data'!GB55+'Match Data'!HA55+'Match Data'!HZ55</f>
        <v>0</v>
      </c>
      <c r="J55" s="94" t="e">
        <f>(Table5[[#This Row],[High Made]]+Table5[[#This Row],[Low Made]])/(SUM(Table5[[#This Row],[High Made]:[Low Miss]]))</f>
        <v>#DIV/0!</v>
      </c>
      <c r="K55" s="94">
        <f>'Match Data'!J55+'Match Data'!AI55+'Match Data'!BH55+'Match Data'!CG55+'Match Data'!DF55+'Match Data'!EE55+'Match Data'!FD55+'Match Data'!GC55+'Match Data'!HB55+'Match Data'!IA55</f>
        <v>0</v>
      </c>
      <c r="L55" s="94">
        <f>'Match Data'!K55+'Match Data'!AJ55+'Match Data'!BI55+'Match Data'!CH55+'Match Data'!DG55+'Match Data'!EF55+'Match Data'!FE55+'Match Data'!GD55+'Match Data'!HC55+'Match Data'!IB55</f>
        <v>0</v>
      </c>
      <c r="M55" s="94">
        <f>'Match Data'!L55+'Match Data'!AK55+'Match Data'!BJ55+'Match Data'!CI55+'Match Data'!DH55+'Match Data'!EG55+'Match Data'!FF55+'Match Data'!GE55+'Match Data'!HD55+'Match Data'!IC55</f>
        <v>0</v>
      </c>
      <c r="N55" s="94">
        <f>'Match Data'!M55+'Match Data'!AL55+'Match Data'!BK55+'Match Data'!CJ55+'Match Data'!DI55+'Match Data'!EH55+'Match Data'!FG55+'Match Data'!GF55+'Match Data'!HE55+'Match Data'!ID55</f>
        <v>0</v>
      </c>
      <c r="O55" s="94">
        <f>'Match Data'!N55+'Match Data'!AM55+'Match Data'!BL55+'Match Data'!CK55+'Match Data'!DJ55+'Match Data'!EI55+'Match Data'!FH55+'Match Data'!GG55+'Match Data'!HF55+'Match Data'!IE55</f>
        <v>0</v>
      </c>
      <c r="P55" s="94">
        <f>'Match Data'!O55+'Match Data'!AN55+'Match Data'!BM55+'Match Data'!CL55+'Match Data'!DK55+'Match Data'!EJ55+'Match Data'!FI55+'Match Data'!GH55+'Match Data'!HG55+'Match Data'!IF55</f>
        <v>0</v>
      </c>
      <c r="Q55" s="94">
        <f>'Match Data'!P55+'Match Data'!AO55+'Match Data'!BN55+'Match Data'!CM55+'Match Data'!DL55+'Match Data'!EK55+'Match Data'!FJ55+'Match Data'!GI55+'Match Data'!HH55+'Match Data'!IG55</f>
        <v>0</v>
      </c>
      <c r="R55" s="94">
        <f>'Match Data'!Q55+'Match Data'!AP55+'Match Data'!BO55+'Match Data'!CN55+'Match Data'!DM55+'Match Data'!EL55+'Match Data'!FK55+'Match Data'!GJ55+'Match Data'!HI55+'Match Data'!IH55</f>
        <v>0</v>
      </c>
      <c r="S55" s="94">
        <v>0</v>
      </c>
      <c r="T55" s="94">
        <v>0</v>
      </c>
      <c r="U55" s="94">
        <f>'Match Data'!S55+'Match Data'!AR55+'Match Data'!BQ55+'Match Data'!CP55+'Match Data'!DO55+'Match Data'!EN55+'Match Data'!FM55+'Match Data'!GL55+'Match Data'!HK55+'Match Data'!IJ55</f>
        <v>0</v>
      </c>
      <c r="V55" s="95">
        <f>'Match Data'!T55+'Match Data'!AS55+'Match Data'!BR55+'Match Data'!CQ55+'Match Data'!DP55+'Match Data'!EO55+'Match Data'!FN55+'Match Data'!GM55+'Match Data'!HL55+'Match Data'!IK55</f>
        <v>0</v>
      </c>
      <c r="W55" s="94">
        <f>'Match Data'!U55+'Match Data'!AT55+'Match Data'!BS55+'Match Data'!CR55+'Match Data'!DQ55+'Match Data'!EP55+'Match Data'!FO55+'Match Data'!GN55+'Match Data'!HM55+'Match Data'!IL55</f>
        <v>0</v>
      </c>
      <c r="X55" s="94">
        <f>'Match Data'!V55+'Match Data'!AU55+'Match Data'!BT55+'Match Data'!CS55+'Match Data'!DR55+'Match Data'!EQ55+'Match Data'!FP55+'Match Data'!GO55+'Match Data'!HN55+'Match Data'!IM55</f>
        <v>0</v>
      </c>
      <c r="Y55" s="94">
        <f>'Match Data'!W55+'Match Data'!AV55+'Match Data'!BU55+'Match Data'!CT55+'Match Data'!DS55+'Match Data'!ER55+'Match Data'!FQ55+'Match Data'!GP55+'Match Data'!HO55+'Match Data'!IN55</f>
        <v>0</v>
      </c>
      <c r="Z55" s="94">
        <f>'Match Data'!X55+'Match Data'!AW55+'Match Data'!BV55+'Match Data'!CU55+'Match Data'!DT55+'Match Data'!ES55+'Match Data'!FR55+'Match Data'!GQ55+'Match Data'!HP55+'Match Data'!IO55</f>
        <v>0</v>
      </c>
      <c r="AA55" s="94">
        <f>'Match Data'!Y55+'Match Data'!AX55+'Match Data'!BW55+'Match Data'!CV55+'Match Data'!DU55+'Match Data'!ET55+'Match Data'!FS55+'Match Data'!GR55+'Match Data'!HQ55+'Match Data'!IP55</f>
        <v>0</v>
      </c>
      <c r="AB55" s="102">
        <f>'Match Data'!Z55+'Match Data'!AY55+'Match Data'!BX55+'Match Data'!CW55+'Match Data'!DV55+'Match Data'!EU55+'Match Data'!FT55+'Match Data'!GS55+'Match Data'!HR55+'Match Data'!IQ55</f>
        <v>0</v>
      </c>
      <c r="AC55" s="99">
        <f>'Alliance Data'!B54+'Alliance Data'!L54+'Alliance Data'!V54+'Alliance Data'!AF54+'Alliance Data'!AP54+'Alliance Data'!AZ54+'Alliance Data'!BJ54+'Alliance Data'!BT54+'Alliance Data'!CD54+'Alliance Data'!CN54</f>
        <v>0</v>
      </c>
      <c r="AD55" s="118">
        <f>('Alliance Data'!C54+'Alliance Data'!M54+'Alliance Data'!W54+'Alliance Data'!AG54+'Alliance Data'!AQ54+'Alliance Data'!BA54+'Alliance Data'!BK54+'Alliance Data'!BU54+'Alliance Data'!CE54+'Alliance Data'!CO54)/Value!Q53</f>
        <v>0</v>
      </c>
      <c r="AE55" s="118">
        <f>('Alliance Data'!D54+'Alliance Data'!N54+'Alliance Data'!X54+'Alliance Data'!AH54+'Alliance Data'!AR54+'Alliance Data'!BB54+'Alliance Data'!BL54+'Alliance Data'!BV54+'Alliance Data'!CF54+'Alliance Data'!CP54)/Value!Q53</f>
        <v>0</v>
      </c>
      <c r="AF55" s="118">
        <f>('Alliance Data'!E54+'Alliance Data'!O54+'Alliance Data'!Y54+'Alliance Data'!AI54+'Alliance Data'!AS54+'Alliance Data'!BC54+'Alliance Data'!BM54+'Alliance Data'!BW54+'Alliance Data'!CG54+'Alliance Data'!CQ54)/Value!Q53</f>
        <v>0</v>
      </c>
      <c r="AG55" s="118">
        <f>('Alliance Data'!F54+'Alliance Data'!P54+'Alliance Data'!Z54+'Alliance Data'!AJ54+'Alliance Data'!AT54+'Alliance Data'!BD54+'Alliance Data'!BN54+'Alliance Data'!BX54+'Alliance Data'!CH54+'Alliance Data'!CR54)/Value!Q53</f>
        <v>0</v>
      </c>
      <c r="AH55" s="118">
        <f>('Alliance Data'!G54+'Alliance Data'!Q54+'Alliance Data'!AA54+'Alliance Data'!AK54+'Alliance Data'!AU54+'Alliance Data'!BE54+'Alliance Data'!BO54+'Alliance Data'!BY54+'Alliance Data'!CI54+'Alliance Data'!CS54)/Value!Q53</f>
        <v>0</v>
      </c>
      <c r="AI55" s="118">
        <f>('Alliance Data'!H54+'Alliance Data'!R54+'Alliance Data'!AB54+'Alliance Data'!AL54+'Alliance Data'!AV54+'Alliance Data'!BF54+'Alliance Data'!BP54+'Alliance Data'!BZ54+'Alliance Data'!CJ54+'Alliance Data'!CT54)/Value!Q53</f>
        <v>0</v>
      </c>
      <c r="AJ55" s="118">
        <f>('Alliance Data'!I54+'Alliance Data'!S54+'Alliance Data'!AC54+'Alliance Data'!AM54+'Alliance Data'!AW54+'Alliance Data'!BG54+'Alliance Data'!BQ54+'Alliance Data'!CA54+'Alliance Data'!CK54+'Alliance Data'!CU54)/Value!Q53</f>
        <v>0</v>
      </c>
      <c r="AK55" s="118">
        <f>'Alliance Data'!J54+'Alliance Data'!T54+'Alliance Data'!AD54+'Alliance Data'!AN54+'Alliance Data'!AX54+'Alliance Data'!BH54+'Alliance Data'!BR54+'Alliance Data'!CB54+'Alliance Data'!CL54+'Alliance Data'!CV54</f>
        <v>0</v>
      </c>
      <c r="AL55" s="119">
        <f>'Alliance Data'!K54+'Alliance Data'!U54+'Alliance Data'!AE54+'Alliance Data'!AO54+'Alliance Data'!AY54+'Alliance Data'!BI54+'Alliance Data'!BS54+'Alliance Data'!CC54+'Alliance Data'!CM54+'Alliance Data'!CW54</f>
        <v>0</v>
      </c>
    </row>
    <row r="56" spans="1:38" x14ac:dyDescent="0.25">
      <c r="A56" s="86">
        <v>5253</v>
      </c>
      <c r="B56" s="99">
        <f>'Match Data'!B56+'Match Data'!AA56+'Match Data'!AZ56+'Match Data'!BY56+'Match Data'!CX56+'Match Data'!DW56+'Match Data'!EV56+'Match Data'!FU56+'Match Data'!GT56+'Match Data'!HS56</f>
        <v>0</v>
      </c>
      <c r="C56" s="94">
        <f>'Match Data'!C56+'Match Data'!AB56+'Match Data'!BA56+'Match Data'!BZ56+'Match Data'!CY56+'Match Data'!DX56+'Match Data'!EW56+'Match Data'!FV56+'Match Data'!GU56+'Match Data'!HT56</f>
        <v>0</v>
      </c>
      <c r="D56" s="94">
        <f>'Match Data'!D56+'Match Data'!AC56+'Match Data'!BB56+'Match Data'!CA56+'Match Data'!CZ56+'Match Data'!DY56+'Match Data'!EX56+'Match Data'!FW56+'Match Data'!GV56+'Match Data'!HU56</f>
        <v>0</v>
      </c>
      <c r="E56" s="94">
        <f>'Match Data'!E56+'Match Data'!AD56+'Match Data'!BC56+'Match Data'!CB56+'Match Data'!DA56+'Match Data'!DZ56+'Match Data'!EY56+'Match Data'!FX56+'Match Data'!GW56+'Match Data'!HV56</f>
        <v>0</v>
      </c>
      <c r="F56" s="94">
        <f>'Match Data'!F56+'Match Data'!AE56+'Match Data'!BD56+'Match Data'!CC56+'Match Data'!DB56+'Match Data'!EA56+'Match Data'!EZ56+'Match Data'!FY56+'Match Data'!GX56+'Match Data'!HW56</f>
        <v>0</v>
      </c>
      <c r="G56" s="94">
        <f>'Match Data'!G56+'Match Data'!AF56+'Match Data'!BE56+'Match Data'!CD56+'Match Data'!DC56+'Match Data'!EB56+'Match Data'!FA56+'Match Data'!FZ56+'Match Data'!GY56+'Match Data'!HX56</f>
        <v>0</v>
      </c>
      <c r="H56" s="94">
        <f>'Match Data'!H56+'Match Data'!AG56+'Match Data'!BF56+'Match Data'!CE56+'Match Data'!DD56+'Match Data'!EC56+'Match Data'!FB56+'Match Data'!GA56+'Match Data'!GZ56+'Match Data'!HY56</f>
        <v>0</v>
      </c>
      <c r="I56" s="94">
        <f>'Match Data'!I56+'Match Data'!AH56+'Match Data'!BG56+'Match Data'!CF56+'Match Data'!DE56+'Match Data'!ED56+'Match Data'!FC56+'Match Data'!GB56+'Match Data'!HA56+'Match Data'!HZ56</f>
        <v>0</v>
      </c>
      <c r="J56" s="94" t="e">
        <f>(Table5[[#This Row],[High Made]]+Table5[[#This Row],[Low Made]])/(SUM(Table5[[#This Row],[High Made]:[Low Miss]]))</f>
        <v>#DIV/0!</v>
      </c>
      <c r="K56" s="94">
        <f>'Match Data'!J56+'Match Data'!AI56+'Match Data'!BH56+'Match Data'!CG56+'Match Data'!DF56+'Match Data'!EE56+'Match Data'!FD56+'Match Data'!GC56+'Match Data'!HB56+'Match Data'!IA56</f>
        <v>0</v>
      </c>
      <c r="L56" s="94">
        <f>'Match Data'!K56+'Match Data'!AJ56+'Match Data'!BI56+'Match Data'!CH56+'Match Data'!DG56+'Match Data'!EF56+'Match Data'!FE56+'Match Data'!GD56+'Match Data'!HC56+'Match Data'!IB56</f>
        <v>0</v>
      </c>
      <c r="M56" s="94">
        <f>'Match Data'!L56+'Match Data'!AK56+'Match Data'!BJ56+'Match Data'!CI56+'Match Data'!DH56+'Match Data'!EG56+'Match Data'!FF56+'Match Data'!GE56+'Match Data'!HD56+'Match Data'!IC56</f>
        <v>0</v>
      </c>
      <c r="N56" s="94">
        <f>'Match Data'!M56+'Match Data'!AL56+'Match Data'!BK56+'Match Data'!CJ56+'Match Data'!DI56+'Match Data'!EH56+'Match Data'!FG56+'Match Data'!GF56+'Match Data'!HE56+'Match Data'!ID56</f>
        <v>0</v>
      </c>
      <c r="O56" s="94">
        <f>'Match Data'!N56+'Match Data'!AM56+'Match Data'!BL56+'Match Data'!CK56+'Match Data'!DJ56+'Match Data'!EI56+'Match Data'!FH56+'Match Data'!GG56+'Match Data'!HF56+'Match Data'!IE56</f>
        <v>0</v>
      </c>
      <c r="P56" s="94">
        <f>'Match Data'!O56+'Match Data'!AN56+'Match Data'!BM56+'Match Data'!CL56+'Match Data'!DK56+'Match Data'!EJ56+'Match Data'!FI56+'Match Data'!GH56+'Match Data'!HG56+'Match Data'!IF56</f>
        <v>0</v>
      </c>
      <c r="Q56" s="94">
        <f>'Match Data'!P56+'Match Data'!AO56+'Match Data'!BN56+'Match Data'!CM56+'Match Data'!DL56+'Match Data'!EK56+'Match Data'!FJ56+'Match Data'!GI56+'Match Data'!HH56+'Match Data'!IG56</f>
        <v>0</v>
      </c>
      <c r="R56" s="94">
        <f>'Match Data'!Q56+'Match Data'!AP56+'Match Data'!BO56+'Match Data'!CN56+'Match Data'!DM56+'Match Data'!EL56+'Match Data'!FK56+'Match Data'!GJ56+'Match Data'!HI56+'Match Data'!IH56</f>
        <v>0</v>
      </c>
      <c r="S56" s="94">
        <v>0</v>
      </c>
      <c r="T56" s="94">
        <v>0</v>
      </c>
      <c r="U56" s="94">
        <f>'Match Data'!S56+'Match Data'!AR56+'Match Data'!BQ56+'Match Data'!CP56+'Match Data'!DO56+'Match Data'!EN56+'Match Data'!FM56+'Match Data'!GL56+'Match Data'!HK56+'Match Data'!IJ56</f>
        <v>0</v>
      </c>
      <c r="V56" s="95">
        <f>'Match Data'!T56+'Match Data'!AS56+'Match Data'!BR56+'Match Data'!CQ56+'Match Data'!DP56+'Match Data'!EO56+'Match Data'!FN56+'Match Data'!GM56+'Match Data'!HL56+'Match Data'!IK56</f>
        <v>0</v>
      </c>
      <c r="W56" s="94">
        <f>'Match Data'!U56+'Match Data'!AT56+'Match Data'!BS56+'Match Data'!CR56+'Match Data'!DQ56+'Match Data'!EP56+'Match Data'!FO56+'Match Data'!GN56+'Match Data'!HM56+'Match Data'!IL56</f>
        <v>0</v>
      </c>
      <c r="X56" s="94">
        <f>'Match Data'!V56+'Match Data'!AU56+'Match Data'!BT56+'Match Data'!CS56+'Match Data'!DR56+'Match Data'!EQ56+'Match Data'!FP56+'Match Data'!GO56+'Match Data'!HN56+'Match Data'!IM56</f>
        <v>0</v>
      </c>
      <c r="Y56" s="94">
        <f>'Match Data'!W56+'Match Data'!AV56+'Match Data'!BU56+'Match Data'!CT56+'Match Data'!DS56+'Match Data'!ER56+'Match Data'!FQ56+'Match Data'!GP56+'Match Data'!HO56+'Match Data'!IN56</f>
        <v>0</v>
      </c>
      <c r="Z56" s="94">
        <f>'Match Data'!X56+'Match Data'!AW56+'Match Data'!BV56+'Match Data'!CU56+'Match Data'!DT56+'Match Data'!ES56+'Match Data'!FR56+'Match Data'!GQ56+'Match Data'!HP56+'Match Data'!IO56</f>
        <v>0</v>
      </c>
      <c r="AA56" s="94">
        <f>'Match Data'!Y56+'Match Data'!AX56+'Match Data'!BW56+'Match Data'!CV56+'Match Data'!DU56+'Match Data'!ET56+'Match Data'!FS56+'Match Data'!GR56+'Match Data'!HQ56+'Match Data'!IP56</f>
        <v>0</v>
      </c>
      <c r="AB56" s="102">
        <f>'Match Data'!Z56+'Match Data'!AY56+'Match Data'!BX56+'Match Data'!CW56+'Match Data'!DV56+'Match Data'!EU56+'Match Data'!FT56+'Match Data'!GS56+'Match Data'!HR56+'Match Data'!IQ56</f>
        <v>0</v>
      </c>
      <c r="AC56" s="99">
        <f>'Alliance Data'!B55+'Alliance Data'!L55+'Alliance Data'!V55+'Alliance Data'!AF55+'Alliance Data'!AP55+'Alliance Data'!AZ55+'Alliance Data'!BJ55+'Alliance Data'!BT55+'Alliance Data'!CD55+'Alliance Data'!CN55</f>
        <v>0</v>
      </c>
      <c r="AD56" s="118">
        <f>('Alliance Data'!C55+'Alliance Data'!M55+'Alliance Data'!W55+'Alliance Data'!AG55+'Alliance Data'!AQ55+'Alliance Data'!BA55+'Alliance Data'!BK55+'Alliance Data'!BU55+'Alliance Data'!CE55+'Alliance Data'!CO55)/Value!Q54</f>
        <v>0</v>
      </c>
      <c r="AE56" s="118">
        <f>('Alliance Data'!D55+'Alliance Data'!N55+'Alliance Data'!X55+'Alliance Data'!AH55+'Alliance Data'!AR55+'Alliance Data'!BB55+'Alliance Data'!BL55+'Alliance Data'!BV55+'Alliance Data'!CF55+'Alliance Data'!CP55)/Value!Q54</f>
        <v>0</v>
      </c>
      <c r="AF56" s="118">
        <f>('Alliance Data'!E55+'Alliance Data'!O55+'Alliance Data'!Y55+'Alliance Data'!AI55+'Alliance Data'!AS55+'Alliance Data'!BC55+'Alliance Data'!BM55+'Alliance Data'!BW55+'Alliance Data'!CG55+'Alliance Data'!CQ55)/Value!Q54</f>
        <v>0</v>
      </c>
      <c r="AG56" s="118">
        <f>('Alliance Data'!F55+'Alliance Data'!P55+'Alliance Data'!Z55+'Alliance Data'!AJ55+'Alliance Data'!AT55+'Alliance Data'!BD55+'Alliance Data'!BN55+'Alliance Data'!BX55+'Alliance Data'!CH55+'Alliance Data'!CR55)/Value!Q54</f>
        <v>0</v>
      </c>
      <c r="AH56" s="118">
        <f>('Alliance Data'!G55+'Alliance Data'!Q55+'Alliance Data'!AA55+'Alliance Data'!AK55+'Alliance Data'!AU55+'Alliance Data'!BE55+'Alliance Data'!BO55+'Alliance Data'!BY55+'Alliance Data'!CI55+'Alliance Data'!CS55)/Value!Q54</f>
        <v>0</v>
      </c>
      <c r="AI56" s="118">
        <f>('Alliance Data'!H55+'Alliance Data'!R55+'Alliance Data'!AB55+'Alliance Data'!AL55+'Alliance Data'!AV55+'Alliance Data'!BF55+'Alliance Data'!BP55+'Alliance Data'!BZ55+'Alliance Data'!CJ55+'Alliance Data'!CT55)/Value!Q54</f>
        <v>0</v>
      </c>
      <c r="AJ56" s="118">
        <f>('Alliance Data'!I55+'Alliance Data'!S55+'Alliance Data'!AC55+'Alliance Data'!AM55+'Alliance Data'!AW55+'Alliance Data'!BG55+'Alliance Data'!BQ55+'Alliance Data'!CA55+'Alliance Data'!CK55+'Alliance Data'!CU55)/Value!Q54</f>
        <v>0</v>
      </c>
      <c r="AK56" s="118">
        <f>'Alliance Data'!J55+'Alliance Data'!T55+'Alliance Data'!AD55+'Alliance Data'!AN55+'Alliance Data'!AX55+'Alliance Data'!BH55+'Alliance Data'!BR55+'Alliance Data'!CB55+'Alliance Data'!CL55+'Alliance Data'!CV55</f>
        <v>0</v>
      </c>
      <c r="AL56" s="119">
        <f>'Alliance Data'!K55+'Alliance Data'!U55+'Alliance Data'!AE55+'Alliance Data'!AO55+'Alliance Data'!AY55+'Alliance Data'!BI55+'Alliance Data'!BS55+'Alliance Data'!CC55+'Alliance Data'!CM55+'Alliance Data'!CW55</f>
        <v>0</v>
      </c>
    </row>
    <row r="57" spans="1:38" x14ac:dyDescent="0.25">
      <c r="A57" s="86">
        <v>5278</v>
      </c>
      <c r="B57" s="99">
        <f>'Match Data'!B57+'Match Data'!AA57+'Match Data'!AZ57+'Match Data'!BY57+'Match Data'!CX57+'Match Data'!DW57+'Match Data'!EV57+'Match Data'!FU57+'Match Data'!GT57+'Match Data'!HS57</f>
        <v>0</v>
      </c>
      <c r="C57" s="94">
        <f>'Match Data'!C57+'Match Data'!AB57+'Match Data'!BA57+'Match Data'!BZ57+'Match Data'!CY57+'Match Data'!DX57+'Match Data'!EW57+'Match Data'!FV57+'Match Data'!GU57+'Match Data'!HT57</f>
        <v>0</v>
      </c>
      <c r="D57" s="94">
        <f>'Match Data'!D57+'Match Data'!AC57+'Match Data'!BB57+'Match Data'!CA57+'Match Data'!CZ57+'Match Data'!DY57+'Match Data'!EX57+'Match Data'!FW57+'Match Data'!GV57+'Match Data'!HU57</f>
        <v>0</v>
      </c>
      <c r="E57" s="94">
        <f>'Match Data'!E57+'Match Data'!AD57+'Match Data'!BC57+'Match Data'!CB57+'Match Data'!DA57+'Match Data'!DZ57+'Match Data'!EY57+'Match Data'!FX57+'Match Data'!GW57+'Match Data'!HV57</f>
        <v>0</v>
      </c>
      <c r="F57" s="94">
        <f>'Match Data'!F57+'Match Data'!AE57+'Match Data'!BD57+'Match Data'!CC57+'Match Data'!DB57+'Match Data'!EA57+'Match Data'!EZ57+'Match Data'!FY57+'Match Data'!GX57+'Match Data'!HW57</f>
        <v>0</v>
      </c>
      <c r="G57" s="94">
        <f>'Match Data'!G57+'Match Data'!AF57+'Match Data'!BE57+'Match Data'!CD57+'Match Data'!DC57+'Match Data'!EB57+'Match Data'!FA57+'Match Data'!FZ57+'Match Data'!GY57+'Match Data'!HX57</f>
        <v>0</v>
      </c>
      <c r="H57" s="94">
        <f>'Match Data'!H57+'Match Data'!AG57+'Match Data'!BF57+'Match Data'!CE57+'Match Data'!DD57+'Match Data'!EC57+'Match Data'!FB57+'Match Data'!GA57+'Match Data'!GZ57+'Match Data'!HY57</f>
        <v>0</v>
      </c>
      <c r="I57" s="94">
        <f>'Match Data'!I57+'Match Data'!AH57+'Match Data'!BG57+'Match Data'!CF57+'Match Data'!DE57+'Match Data'!ED57+'Match Data'!FC57+'Match Data'!GB57+'Match Data'!HA57+'Match Data'!HZ57</f>
        <v>0</v>
      </c>
      <c r="J57" s="94" t="e">
        <f>(Table5[[#This Row],[High Made]]+Table5[[#This Row],[Low Made]])/(SUM(Table5[[#This Row],[High Made]:[Low Miss]]))</f>
        <v>#DIV/0!</v>
      </c>
      <c r="K57" s="94">
        <f>'Match Data'!J57+'Match Data'!AI57+'Match Data'!BH57+'Match Data'!CG57+'Match Data'!DF57+'Match Data'!EE57+'Match Data'!FD57+'Match Data'!GC57+'Match Data'!HB57+'Match Data'!IA57</f>
        <v>0</v>
      </c>
      <c r="L57" s="94">
        <f>'Match Data'!K57+'Match Data'!AJ57+'Match Data'!BI57+'Match Data'!CH57+'Match Data'!DG57+'Match Data'!EF57+'Match Data'!FE57+'Match Data'!GD57+'Match Data'!HC57+'Match Data'!IB57</f>
        <v>0</v>
      </c>
      <c r="M57" s="94">
        <f>'Match Data'!L57+'Match Data'!AK57+'Match Data'!BJ57+'Match Data'!CI57+'Match Data'!DH57+'Match Data'!EG57+'Match Data'!FF57+'Match Data'!GE57+'Match Data'!HD57+'Match Data'!IC57</f>
        <v>0</v>
      </c>
      <c r="N57" s="94">
        <f>'Match Data'!M57+'Match Data'!AL57+'Match Data'!BK57+'Match Data'!CJ57+'Match Data'!DI57+'Match Data'!EH57+'Match Data'!FG57+'Match Data'!GF57+'Match Data'!HE57+'Match Data'!ID57</f>
        <v>0</v>
      </c>
      <c r="O57" s="94">
        <f>'Match Data'!N57+'Match Data'!AM57+'Match Data'!BL57+'Match Data'!CK57+'Match Data'!DJ57+'Match Data'!EI57+'Match Data'!FH57+'Match Data'!GG57+'Match Data'!HF57+'Match Data'!IE57</f>
        <v>0</v>
      </c>
      <c r="P57" s="94">
        <f>'Match Data'!O57+'Match Data'!AN57+'Match Data'!BM57+'Match Data'!CL57+'Match Data'!DK57+'Match Data'!EJ57+'Match Data'!FI57+'Match Data'!GH57+'Match Data'!HG57+'Match Data'!IF57</f>
        <v>0</v>
      </c>
      <c r="Q57" s="94">
        <f>'Match Data'!P57+'Match Data'!AO57+'Match Data'!BN57+'Match Data'!CM57+'Match Data'!DL57+'Match Data'!EK57+'Match Data'!FJ57+'Match Data'!GI57+'Match Data'!HH57+'Match Data'!IG57</f>
        <v>0</v>
      </c>
      <c r="R57" s="94">
        <f>'Match Data'!Q57+'Match Data'!AP57+'Match Data'!BO57+'Match Data'!CN57+'Match Data'!DM57+'Match Data'!EL57+'Match Data'!FK57+'Match Data'!GJ57+'Match Data'!HI57+'Match Data'!IH57</f>
        <v>0</v>
      </c>
      <c r="S57" s="94">
        <v>0</v>
      </c>
      <c r="T57" s="94">
        <v>0</v>
      </c>
      <c r="U57" s="94">
        <f>'Match Data'!S57+'Match Data'!AR57+'Match Data'!BQ57+'Match Data'!CP57+'Match Data'!DO57+'Match Data'!EN57+'Match Data'!FM57+'Match Data'!GL57+'Match Data'!HK57+'Match Data'!IJ57</f>
        <v>0</v>
      </c>
      <c r="V57" s="95">
        <f>'Match Data'!T57+'Match Data'!AS57+'Match Data'!BR57+'Match Data'!CQ57+'Match Data'!DP57+'Match Data'!EO57+'Match Data'!FN57+'Match Data'!GM57+'Match Data'!HL57+'Match Data'!IK57</f>
        <v>0</v>
      </c>
      <c r="W57" s="94">
        <f>'Match Data'!U57+'Match Data'!AT57+'Match Data'!BS57+'Match Data'!CR57+'Match Data'!DQ57+'Match Data'!EP57+'Match Data'!FO57+'Match Data'!GN57+'Match Data'!HM57+'Match Data'!IL57</f>
        <v>0</v>
      </c>
      <c r="X57" s="94">
        <f>'Match Data'!V57+'Match Data'!AU57+'Match Data'!BT57+'Match Data'!CS57+'Match Data'!DR57+'Match Data'!EQ57+'Match Data'!FP57+'Match Data'!GO57+'Match Data'!HN57+'Match Data'!IM57</f>
        <v>0</v>
      </c>
      <c r="Y57" s="94">
        <f>'Match Data'!W57+'Match Data'!AV57+'Match Data'!BU57+'Match Data'!CT57+'Match Data'!DS57+'Match Data'!ER57+'Match Data'!FQ57+'Match Data'!GP57+'Match Data'!HO57+'Match Data'!IN57</f>
        <v>0</v>
      </c>
      <c r="Z57" s="94">
        <f>'Match Data'!X57+'Match Data'!AW57+'Match Data'!BV57+'Match Data'!CU57+'Match Data'!DT57+'Match Data'!ES57+'Match Data'!FR57+'Match Data'!GQ57+'Match Data'!HP57+'Match Data'!IO57</f>
        <v>0</v>
      </c>
      <c r="AA57" s="94">
        <f>'Match Data'!Y57+'Match Data'!AX57+'Match Data'!BW57+'Match Data'!CV57+'Match Data'!DU57+'Match Data'!ET57+'Match Data'!FS57+'Match Data'!GR57+'Match Data'!HQ57+'Match Data'!IP57</f>
        <v>0</v>
      </c>
      <c r="AB57" s="102">
        <f>'Match Data'!Z57+'Match Data'!AY57+'Match Data'!BX57+'Match Data'!CW57+'Match Data'!DV57+'Match Data'!EU57+'Match Data'!FT57+'Match Data'!GS57+'Match Data'!HR57+'Match Data'!IQ57</f>
        <v>0</v>
      </c>
      <c r="AC57" s="99">
        <f>'Alliance Data'!B56+'Alliance Data'!L56+'Alliance Data'!V56+'Alliance Data'!AF56+'Alliance Data'!AP56+'Alliance Data'!AZ56+'Alliance Data'!BJ56+'Alliance Data'!BT56+'Alliance Data'!CD56+'Alliance Data'!CN56</f>
        <v>0</v>
      </c>
      <c r="AD57" s="118">
        <f>('Alliance Data'!C56+'Alliance Data'!M56+'Alliance Data'!W56+'Alliance Data'!AG56+'Alliance Data'!AQ56+'Alliance Data'!BA56+'Alliance Data'!BK56+'Alliance Data'!BU56+'Alliance Data'!CE56+'Alliance Data'!CO56)/Value!Q55</f>
        <v>0</v>
      </c>
      <c r="AE57" s="118">
        <f>('Alliance Data'!D56+'Alliance Data'!N56+'Alliance Data'!X56+'Alliance Data'!AH56+'Alliance Data'!AR56+'Alliance Data'!BB56+'Alliance Data'!BL56+'Alliance Data'!BV56+'Alliance Data'!CF56+'Alliance Data'!CP56)/Value!Q55</f>
        <v>0</v>
      </c>
      <c r="AF57" s="118">
        <f>('Alliance Data'!E56+'Alliance Data'!O56+'Alliance Data'!Y56+'Alliance Data'!AI56+'Alliance Data'!AS56+'Alliance Data'!BC56+'Alliance Data'!BM56+'Alliance Data'!BW56+'Alliance Data'!CG56+'Alliance Data'!CQ56)/Value!Q55</f>
        <v>0</v>
      </c>
      <c r="AG57" s="118">
        <f>('Alliance Data'!F56+'Alliance Data'!P56+'Alliance Data'!Z56+'Alliance Data'!AJ56+'Alliance Data'!AT56+'Alliance Data'!BD56+'Alliance Data'!BN56+'Alliance Data'!BX56+'Alliance Data'!CH56+'Alliance Data'!CR56)/Value!Q55</f>
        <v>0</v>
      </c>
      <c r="AH57" s="118">
        <f>('Alliance Data'!G56+'Alliance Data'!Q56+'Alliance Data'!AA56+'Alliance Data'!AK56+'Alliance Data'!AU56+'Alliance Data'!BE56+'Alliance Data'!BO56+'Alliance Data'!BY56+'Alliance Data'!CI56+'Alliance Data'!CS56)/Value!Q55</f>
        <v>0</v>
      </c>
      <c r="AI57" s="118">
        <f>('Alliance Data'!H56+'Alliance Data'!R56+'Alliance Data'!AB56+'Alliance Data'!AL56+'Alliance Data'!AV56+'Alliance Data'!BF56+'Alliance Data'!BP56+'Alliance Data'!BZ56+'Alliance Data'!CJ56+'Alliance Data'!CT56)/Value!Q55</f>
        <v>0</v>
      </c>
      <c r="AJ57" s="118">
        <f>('Alliance Data'!I56+'Alliance Data'!S56+'Alliance Data'!AC56+'Alliance Data'!AM56+'Alliance Data'!AW56+'Alliance Data'!BG56+'Alliance Data'!BQ56+'Alliance Data'!CA56+'Alliance Data'!CK56+'Alliance Data'!CU56)/Value!Q55</f>
        <v>0</v>
      </c>
      <c r="AK57" s="118">
        <f>'Alliance Data'!J56+'Alliance Data'!T56+'Alliance Data'!AD56+'Alliance Data'!AN56+'Alliance Data'!AX56+'Alliance Data'!BH56+'Alliance Data'!BR56+'Alliance Data'!CB56+'Alliance Data'!CL56+'Alliance Data'!CV56</f>
        <v>0</v>
      </c>
      <c r="AL57" s="119">
        <f>'Alliance Data'!K56+'Alliance Data'!U56+'Alliance Data'!AE56+'Alliance Data'!AO56+'Alliance Data'!AY56+'Alliance Data'!BI56+'Alliance Data'!BS56+'Alliance Data'!CC56+'Alliance Data'!CM56+'Alliance Data'!CW56</f>
        <v>0</v>
      </c>
    </row>
    <row r="58" spans="1:38" ht="15.75" thickBot="1" x14ac:dyDescent="0.3">
      <c r="A58" s="86">
        <v>5348</v>
      </c>
      <c r="B58" s="100">
        <f>'Match Data'!B58+'Match Data'!AA58+'Match Data'!AZ58+'Match Data'!BY58+'Match Data'!CX58+'Match Data'!DW58+'Match Data'!EV58+'Match Data'!FU58+'Match Data'!GT58+'Match Data'!HS58</f>
        <v>0</v>
      </c>
      <c r="C58" s="90">
        <f>'Match Data'!C58+'Match Data'!AB58+'Match Data'!BA58+'Match Data'!BZ58+'Match Data'!CY58+'Match Data'!DX58+'Match Data'!EW58+'Match Data'!FV58+'Match Data'!GU58+'Match Data'!HT58</f>
        <v>0</v>
      </c>
      <c r="D58" s="90">
        <f>'Match Data'!D58+'Match Data'!AC58+'Match Data'!BB58+'Match Data'!CA58+'Match Data'!CZ58+'Match Data'!DY58+'Match Data'!EX58+'Match Data'!FW58+'Match Data'!GV58+'Match Data'!HU58</f>
        <v>0</v>
      </c>
      <c r="E58" s="90">
        <f>'Match Data'!E58+'Match Data'!AD58+'Match Data'!BC58+'Match Data'!CB58+'Match Data'!DA58+'Match Data'!DZ58+'Match Data'!EY58+'Match Data'!FX58+'Match Data'!GW58+'Match Data'!HV58</f>
        <v>0</v>
      </c>
      <c r="F58" s="90">
        <f>'Match Data'!F58+'Match Data'!AE58+'Match Data'!BD58+'Match Data'!CC58+'Match Data'!DB58+'Match Data'!EA58+'Match Data'!EZ58+'Match Data'!FY58+'Match Data'!GX58+'Match Data'!HW58</f>
        <v>0</v>
      </c>
      <c r="G58" s="90">
        <f>'Match Data'!G58+'Match Data'!AF58+'Match Data'!BE58+'Match Data'!CD58+'Match Data'!DC58+'Match Data'!EB58+'Match Data'!FA58+'Match Data'!FZ58+'Match Data'!GY58+'Match Data'!HX58</f>
        <v>0</v>
      </c>
      <c r="H58" s="90">
        <f>'Match Data'!H58+'Match Data'!AG58+'Match Data'!BF58+'Match Data'!CE58+'Match Data'!DD58+'Match Data'!EC58+'Match Data'!FB58+'Match Data'!GA58+'Match Data'!GZ58+'Match Data'!HY58</f>
        <v>0</v>
      </c>
      <c r="I58" s="90">
        <f>'Match Data'!I58+'Match Data'!AH58+'Match Data'!BG58+'Match Data'!CF58+'Match Data'!DE58+'Match Data'!ED58+'Match Data'!FC58+'Match Data'!GB58+'Match Data'!HA58+'Match Data'!HZ58</f>
        <v>0</v>
      </c>
      <c r="J58" s="90" t="e">
        <f>(Table5[[#This Row],[High Made]]+Table5[[#This Row],[Low Made]])/(SUM(Table5[[#This Row],[High Made]:[Low Miss]]))</f>
        <v>#DIV/0!</v>
      </c>
      <c r="K58" s="90">
        <f>'Match Data'!J58+'Match Data'!AI58+'Match Data'!BH58+'Match Data'!CG58+'Match Data'!DF58+'Match Data'!EE58+'Match Data'!FD58+'Match Data'!GC58+'Match Data'!HB58+'Match Data'!IA58</f>
        <v>0</v>
      </c>
      <c r="L58" s="90">
        <f>'Match Data'!K58+'Match Data'!AJ58+'Match Data'!BI58+'Match Data'!CH58+'Match Data'!DG58+'Match Data'!EF58+'Match Data'!FE58+'Match Data'!GD58+'Match Data'!HC58+'Match Data'!IB58</f>
        <v>0</v>
      </c>
      <c r="M58" s="90">
        <f>'Match Data'!L58+'Match Data'!AK58+'Match Data'!BJ58+'Match Data'!CI58+'Match Data'!DH58+'Match Data'!EG58+'Match Data'!FF58+'Match Data'!GE58+'Match Data'!HD58+'Match Data'!IC58</f>
        <v>0</v>
      </c>
      <c r="N58" s="90">
        <f>'Match Data'!M58+'Match Data'!AL58+'Match Data'!BK58+'Match Data'!CJ58+'Match Data'!DI58+'Match Data'!EH58+'Match Data'!FG58+'Match Data'!GF58+'Match Data'!HE58+'Match Data'!ID58</f>
        <v>0</v>
      </c>
      <c r="O58" s="90">
        <f>'Match Data'!N58+'Match Data'!AM58+'Match Data'!BL58+'Match Data'!CK58+'Match Data'!DJ58+'Match Data'!EI58+'Match Data'!FH58+'Match Data'!GG58+'Match Data'!HF58+'Match Data'!IE58</f>
        <v>0</v>
      </c>
      <c r="P58" s="90">
        <f>'Match Data'!O58+'Match Data'!AN58+'Match Data'!BM58+'Match Data'!CL58+'Match Data'!DK58+'Match Data'!EJ58+'Match Data'!FI58+'Match Data'!GH58+'Match Data'!HG58+'Match Data'!IF58</f>
        <v>0</v>
      </c>
      <c r="Q58" s="90">
        <f>'Match Data'!P58+'Match Data'!AO58+'Match Data'!BN58+'Match Data'!CM58+'Match Data'!DL58+'Match Data'!EK58+'Match Data'!FJ58+'Match Data'!GI58+'Match Data'!HH58+'Match Data'!IG58</f>
        <v>0</v>
      </c>
      <c r="R58" s="90">
        <f>'Match Data'!Q58+'Match Data'!AP58+'Match Data'!BO58+'Match Data'!CN58+'Match Data'!DM58+'Match Data'!EL58+'Match Data'!FK58+'Match Data'!GJ58+'Match Data'!HI58+'Match Data'!IH58</f>
        <v>0</v>
      </c>
      <c r="S58" s="90">
        <v>0</v>
      </c>
      <c r="T58" s="90">
        <v>0</v>
      </c>
      <c r="U58" s="90">
        <f>'Match Data'!S58+'Match Data'!AR58+'Match Data'!BQ58+'Match Data'!CP58+'Match Data'!DO58+'Match Data'!EN58+'Match Data'!FM58+'Match Data'!GL58+'Match Data'!HK58+'Match Data'!IJ58</f>
        <v>0</v>
      </c>
      <c r="V58" s="91">
        <f>'Match Data'!T58+'Match Data'!AS58+'Match Data'!BR58+'Match Data'!CQ58+'Match Data'!DP58+'Match Data'!EO58+'Match Data'!FN58+'Match Data'!GM58+'Match Data'!HL58+'Match Data'!IK58</f>
        <v>0</v>
      </c>
      <c r="W58" s="90">
        <f>'Match Data'!U58+'Match Data'!AT58+'Match Data'!BS58+'Match Data'!CR58+'Match Data'!DQ58+'Match Data'!EP58+'Match Data'!FO58+'Match Data'!GN58+'Match Data'!HM58+'Match Data'!IL58</f>
        <v>0</v>
      </c>
      <c r="X58" s="90">
        <f>'Match Data'!V58+'Match Data'!AU58+'Match Data'!BT58+'Match Data'!CS58+'Match Data'!DR58+'Match Data'!EQ58+'Match Data'!FP58+'Match Data'!GO58+'Match Data'!HN58+'Match Data'!IM58</f>
        <v>0</v>
      </c>
      <c r="Y58" s="90">
        <f>'Match Data'!W58+'Match Data'!AV58+'Match Data'!BU58+'Match Data'!CT58+'Match Data'!DS58+'Match Data'!ER58+'Match Data'!FQ58+'Match Data'!GP58+'Match Data'!HO58+'Match Data'!IN58</f>
        <v>0</v>
      </c>
      <c r="Z58" s="90">
        <f>'Match Data'!X58+'Match Data'!AW58+'Match Data'!BV58+'Match Data'!CU58+'Match Data'!DT58+'Match Data'!ES58+'Match Data'!FR58+'Match Data'!GQ58+'Match Data'!HP58+'Match Data'!IO58</f>
        <v>0</v>
      </c>
      <c r="AA58" s="90">
        <f>'Match Data'!Y58+'Match Data'!AX58+'Match Data'!BW58+'Match Data'!CV58+'Match Data'!DU58+'Match Data'!ET58+'Match Data'!FS58+'Match Data'!GR58+'Match Data'!HQ58+'Match Data'!IP58</f>
        <v>0</v>
      </c>
      <c r="AB58" s="101">
        <f>'Match Data'!Z58+'Match Data'!AY58+'Match Data'!BX58+'Match Data'!CW58+'Match Data'!DV58+'Match Data'!EU58+'Match Data'!FT58+'Match Data'!GS58+'Match Data'!HR58+'Match Data'!IQ58</f>
        <v>0</v>
      </c>
      <c r="AC58" s="100">
        <f>'Alliance Data'!B57+'Alliance Data'!L57+'Alliance Data'!V57+'Alliance Data'!AF57+'Alliance Data'!AP57+'Alliance Data'!AZ57+'Alliance Data'!BJ57+'Alliance Data'!BT57+'Alliance Data'!CD57+'Alliance Data'!CN57</f>
        <v>0</v>
      </c>
      <c r="AD58" s="120">
        <f>('Alliance Data'!C57+'Alliance Data'!M57+'Alliance Data'!W57+'Alliance Data'!AG57+'Alliance Data'!AQ57+'Alliance Data'!BA57+'Alliance Data'!BK57+'Alliance Data'!BU57+'Alliance Data'!CE57+'Alliance Data'!CO57)/Value!Q56</f>
        <v>0</v>
      </c>
      <c r="AE58" s="120">
        <f>('Alliance Data'!D57+'Alliance Data'!N57+'Alliance Data'!X57+'Alliance Data'!AH57+'Alliance Data'!AR57+'Alliance Data'!BB57+'Alliance Data'!BL57+'Alliance Data'!BV57+'Alliance Data'!CF57+'Alliance Data'!CP57)/Value!Q56</f>
        <v>0</v>
      </c>
      <c r="AF58" s="120">
        <f>('Alliance Data'!E57+'Alliance Data'!O57+'Alliance Data'!Y57+'Alliance Data'!AI57+'Alliance Data'!AS57+'Alliance Data'!BC57+'Alliance Data'!BM57+'Alliance Data'!BW57+'Alliance Data'!CG57+'Alliance Data'!CQ57)/Value!Q56</f>
        <v>0</v>
      </c>
      <c r="AG58" s="120">
        <f>('Alliance Data'!F57+'Alliance Data'!P57+'Alliance Data'!Z57+'Alliance Data'!AJ57+'Alliance Data'!AT57+'Alliance Data'!BD57+'Alliance Data'!BN57+'Alliance Data'!BX57+'Alliance Data'!CH57+'Alliance Data'!CR57)/Value!Q56</f>
        <v>0</v>
      </c>
      <c r="AH58" s="120">
        <f>('Alliance Data'!G57+'Alliance Data'!Q57+'Alliance Data'!AA57+'Alliance Data'!AK57+'Alliance Data'!AU57+'Alliance Data'!BE57+'Alliance Data'!BO57+'Alliance Data'!BY57+'Alliance Data'!CI57+'Alliance Data'!CS57)/Value!Q56</f>
        <v>0</v>
      </c>
      <c r="AI58" s="120">
        <f>('Alliance Data'!H57+'Alliance Data'!R57+'Alliance Data'!AB57+'Alliance Data'!AL57+'Alliance Data'!AV57+'Alliance Data'!BF57+'Alliance Data'!BP57+'Alliance Data'!BZ57+'Alliance Data'!CJ57+'Alliance Data'!CT57)/Value!Q56</f>
        <v>0</v>
      </c>
      <c r="AJ58" s="120">
        <f>('Alliance Data'!I57+'Alliance Data'!S57+'Alliance Data'!AC57+'Alliance Data'!AM57+'Alliance Data'!AW57+'Alliance Data'!BG57+'Alliance Data'!BQ57+'Alliance Data'!CA57+'Alliance Data'!CK57+'Alliance Data'!CU57)/Value!Q56</f>
        <v>0</v>
      </c>
      <c r="AK58" s="120">
        <f>'Alliance Data'!J57+'Alliance Data'!T57+'Alliance Data'!AD57+'Alliance Data'!AN57+'Alliance Data'!AX57+'Alliance Data'!BH57+'Alliance Data'!BR57+'Alliance Data'!CB57+'Alliance Data'!CL57+'Alliance Data'!CV57</f>
        <v>0</v>
      </c>
      <c r="AL58" s="121">
        <f>'Alliance Data'!K57+'Alliance Data'!U57+'Alliance Data'!AE57+'Alliance Data'!AO57+'Alliance Data'!AY57+'Alliance Data'!BI57+'Alliance Data'!BS57+'Alliance Data'!CC57+'Alliance Data'!CM57+'Alliance Data'!CW57</f>
        <v>0</v>
      </c>
    </row>
  </sheetData>
  <mergeCells count="7">
    <mergeCell ref="B1:AJ1"/>
    <mergeCell ref="B2:E2"/>
    <mergeCell ref="F2:Q2"/>
    <mergeCell ref="R2:V2"/>
    <mergeCell ref="W2:Z2"/>
    <mergeCell ref="AA2:AB2"/>
    <mergeCell ref="AC2:AL2"/>
  </mergeCell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26"/>
  <sheetViews>
    <sheetView topLeftCell="N1" workbookViewId="0">
      <selection activeCell="U11" sqref="U11"/>
    </sheetView>
  </sheetViews>
  <sheetFormatPr defaultRowHeight="15" x14ac:dyDescent="0.25"/>
  <sheetData>
    <row r="1" spans="1:25" x14ac:dyDescent="0.25">
      <c r="A1" s="151" t="s">
        <v>73</v>
      </c>
      <c r="B1" s="152"/>
      <c r="C1" s="22"/>
      <c r="D1" s="22"/>
      <c r="E1" s="22"/>
      <c r="F1" s="22"/>
      <c r="G1" s="22"/>
      <c r="H1" s="22"/>
      <c r="I1" s="22"/>
      <c r="J1" s="22"/>
      <c r="K1" s="22"/>
      <c r="L1" s="26"/>
      <c r="N1" s="151" t="s">
        <v>73</v>
      </c>
      <c r="O1" s="152"/>
      <c r="P1" s="22"/>
      <c r="Q1" s="22"/>
      <c r="R1" s="22"/>
      <c r="S1" s="22"/>
      <c r="T1" s="22"/>
      <c r="U1" s="22"/>
      <c r="V1" s="22"/>
      <c r="W1" s="22"/>
      <c r="X1" s="22"/>
      <c r="Y1" s="26"/>
    </row>
    <row r="2" spans="1:25" ht="15.75" thickBot="1" x14ac:dyDescent="0.3">
      <c r="A2" s="193">
        <v>1716</v>
      </c>
      <c r="B2" s="194"/>
      <c r="C2" s="75" t="s">
        <v>74</v>
      </c>
      <c r="D2" s="75" t="s">
        <v>75</v>
      </c>
      <c r="E2" s="75" t="s">
        <v>76</v>
      </c>
      <c r="F2" s="75" t="s">
        <v>77</v>
      </c>
      <c r="G2" s="75" t="s">
        <v>78</v>
      </c>
      <c r="H2" s="75" t="s">
        <v>79</v>
      </c>
      <c r="I2" s="75" t="s">
        <v>80</v>
      </c>
      <c r="J2" s="75" t="s">
        <v>81</v>
      </c>
      <c r="K2" s="75" t="s">
        <v>82</v>
      </c>
      <c r="L2" s="76" t="s">
        <v>83</v>
      </c>
      <c r="N2" s="197">
        <v>1716</v>
      </c>
      <c r="O2" s="198"/>
      <c r="P2" s="73" t="s">
        <v>74</v>
      </c>
      <c r="Q2" s="73" t="s">
        <v>75</v>
      </c>
      <c r="R2" s="73" t="s">
        <v>76</v>
      </c>
      <c r="S2" s="73" t="s">
        <v>77</v>
      </c>
      <c r="T2" s="73" t="s">
        <v>78</v>
      </c>
      <c r="U2" s="73" t="s">
        <v>79</v>
      </c>
      <c r="V2" s="73" t="s">
        <v>80</v>
      </c>
      <c r="W2" s="73" t="s">
        <v>81</v>
      </c>
      <c r="X2" s="73" t="s">
        <v>82</v>
      </c>
      <c r="Y2" s="74" t="s">
        <v>83</v>
      </c>
    </row>
    <row r="3" spans="1:25" x14ac:dyDescent="0.25">
      <c r="A3" s="158" t="s">
        <v>10</v>
      </c>
      <c r="B3" s="159"/>
      <c r="C3" s="22"/>
      <c r="D3" s="22"/>
      <c r="E3" s="22"/>
      <c r="F3" s="22"/>
      <c r="G3" s="22"/>
      <c r="H3" s="22"/>
      <c r="I3" s="22"/>
      <c r="J3" s="22"/>
      <c r="K3" s="22"/>
      <c r="L3" s="26"/>
      <c r="N3" s="199" t="s">
        <v>0</v>
      </c>
      <c r="O3" s="200"/>
      <c r="P3" s="1"/>
      <c r="Q3" s="1"/>
      <c r="R3" s="1"/>
      <c r="S3" s="1"/>
      <c r="T3" s="1"/>
      <c r="U3" s="1"/>
      <c r="V3" s="1"/>
      <c r="W3" s="1"/>
      <c r="X3" s="1"/>
      <c r="Y3" s="6"/>
    </row>
    <row r="4" spans="1:25" x14ac:dyDescent="0.25">
      <c r="A4" s="202" t="s">
        <v>86</v>
      </c>
      <c r="B4" s="203"/>
      <c r="C4" s="1"/>
      <c r="D4" s="1"/>
      <c r="E4" s="1"/>
      <c r="F4" s="1"/>
      <c r="G4" s="1"/>
      <c r="H4" s="1"/>
      <c r="I4" s="1"/>
      <c r="J4" s="1"/>
      <c r="K4" s="1"/>
      <c r="L4" s="6"/>
      <c r="N4" s="199" t="s">
        <v>91</v>
      </c>
      <c r="O4" s="200"/>
      <c r="P4" s="1"/>
      <c r="Q4" s="1"/>
      <c r="R4" s="1"/>
      <c r="S4" s="1"/>
      <c r="T4" s="1"/>
      <c r="U4" s="1"/>
      <c r="V4" s="1"/>
      <c r="W4" s="1"/>
      <c r="X4" s="1"/>
      <c r="Y4" s="6"/>
    </row>
    <row r="5" spans="1:25" x14ac:dyDescent="0.25">
      <c r="A5" s="202" t="s">
        <v>87</v>
      </c>
      <c r="B5" s="203"/>
      <c r="C5" s="1"/>
      <c r="D5" s="1"/>
      <c r="E5" s="1"/>
      <c r="F5" s="1"/>
      <c r="G5" s="1"/>
      <c r="H5" s="1"/>
      <c r="I5" s="1"/>
      <c r="J5" s="1"/>
      <c r="K5" s="1"/>
      <c r="L5" s="6"/>
      <c r="N5" s="199" t="s">
        <v>64</v>
      </c>
      <c r="O5" s="200"/>
      <c r="P5" s="1"/>
      <c r="Q5" s="1"/>
      <c r="R5" s="1"/>
      <c r="S5" s="1"/>
      <c r="T5" s="1"/>
      <c r="U5" s="1"/>
      <c r="V5" s="1"/>
      <c r="W5" s="1"/>
      <c r="X5" s="1"/>
      <c r="Y5" s="6"/>
    </row>
    <row r="6" spans="1:25" ht="15.75" thickBot="1" x14ac:dyDescent="0.3">
      <c r="A6" s="213" t="s">
        <v>12</v>
      </c>
      <c r="B6" s="206"/>
      <c r="C6" s="8"/>
      <c r="D6" s="8"/>
      <c r="E6" s="8"/>
      <c r="F6" s="8"/>
      <c r="G6" s="8"/>
      <c r="H6" s="8"/>
      <c r="I6" s="8"/>
      <c r="J6" s="8"/>
      <c r="K6" s="8"/>
      <c r="L6" s="9"/>
      <c r="N6" s="199" t="s">
        <v>65</v>
      </c>
      <c r="O6" s="200"/>
      <c r="P6" s="1"/>
      <c r="Q6" s="1"/>
      <c r="R6" s="1"/>
      <c r="S6" s="1"/>
      <c r="T6" s="1"/>
      <c r="U6" s="1"/>
      <c r="V6" s="1"/>
      <c r="W6" s="1"/>
      <c r="X6" s="1"/>
      <c r="Y6" s="6"/>
    </row>
    <row r="7" spans="1:25" ht="15.75" thickBot="1" x14ac:dyDescent="0.3">
      <c r="A7" s="151" t="s">
        <v>46</v>
      </c>
      <c r="B7" s="152"/>
      <c r="C7" s="41"/>
      <c r="D7" s="41"/>
      <c r="E7" s="41"/>
      <c r="F7" s="41"/>
      <c r="G7" s="41"/>
      <c r="H7" s="41"/>
      <c r="I7" s="41"/>
      <c r="J7" s="41"/>
      <c r="K7" s="41"/>
      <c r="L7" s="44"/>
      <c r="N7" s="195" t="s">
        <v>92</v>
      </c>
      <c r="O7" s="201"/>
      <c r="P7" s="8"/>
      <c r="Q7" s="8"/>
      <c r="R7" s="8"/>
      <c r="S7" s="8"/>
      <c r="T7" s="8"/>
      <c r="U7" s="8"/>
      <c r="V7" s="8"/>
      <c r="W7" s="8"/>
      <c r="X7" s="8"/>
      <c r="Y7" s="9"/>
    </row>
    <row r="8" spans="1:25" ht="15.75" thickBot="1" x14ac:dyDescent="0.3">
      <c r="A8" s="197" t="s">
        <v>88</v>
      </c>
      <c r="B8" s="198"/>
      <c r="C8" s="30"/>
      <c r="D8" s="30"/>
      <c r="E8" s="30"/>
      <c r="F8" s="30"/>
      <c r="G8" s="30"/>
      <c r="H8" s="30"/>
      <c r="I8" s="30"/>
      <c r="J8" s="30"/>
      <c r="K8" s="30"/>
      <c r="L8" s="31"/>
    </row>
    <row r="9" spans="1:25" x14ac:dyDescent="0.25">
      <c r="A9" s="197" t="s">
        <v>48</v>
      </c>
      <c r="B9" s="198"/>
      <c r="C9" s="30"/>
      <c r="D9" s="30"/>
      <c r="E9" s="30"/>
      <c r="F9" s="30"/>
      <c r="G9" s="30"/>
      <c r="H9" s="30"/>
      <c r="I9" s="30"/>
      <c r="J9" s="30"/>
      <c r="K9" s="30"/>
      <c r="L9" s="31"/>
      <c r="N9" s="158" t="s">
        <v>90</v>
      </c>
      <c r="O9" s="160"/>
    </row>
    <row r="10" spans="1:25" ht="15.75" thickBot="1" x14ac:dyDescent="0.3">
      <c r="A10" s="197" t="s">
        <v>89</v>
      </c>
      <c r="B10" s="198"/>
      <c r="C10" s="30"/>
      <c r="D10" s="30"/>
      <c r="E10" s="30"/>
      <c r="F10" s="30"/>
      <c r="G10" s="30"/>
      <c r="H10" s="30"/>
      <c r="I10" s="30"/>
      <c r="J10" s="30"/>
      <c r="K10" s="30"/>
      <c r="L10" s="31"/>
      <c r="N10" s="195"/>
      <c r="O10" s="196"/>
    </row>
    <row r="11" spans="1:25" x14ac:dyDescent="0.25">
      <c r="A11" s="197" t="s">
        <v>5</v>
      </c>
      <c r="B11" s="198"/>
      <c r="C11" s="30"/>
      <c r="D11" s="30"/>
      <c r="E11" s="30"/>
      <c r="F11" s="30"/>
      <c r="G11" s="30"/>
      <c r="H11" s="30"/>
      <c r="I11" s="30"/>
      <c r="J11" s="30"/>
      <c r="K11" s="30"/>
      <c r="L11" s="31"/>
    </row>
    <row r="12" spans="1:25" x14ac:dyDescent="0.25">
      <c r="A12" s="197" t="s">
        <v>6</v>
      </c>
      <c r="B12" s="198"/>
      <c r="C12" s="30"/>
      <c r="D12" s="30"/>
      <c r="E12" s="30"/>
      <c r="F12" s="30"/>
      <c r="G12" s="30"/>
      <c r="H12" s="30"/>
      <c r="I12" s="30"/>
      <c r="J12" s="30"/>
      <c r="K12" s="30"/>
      <c r="L12" s="31"/>
    </row>
    <row r="13" spans="1:25" x14ac:dyDescent="0.25">
      <c r="A13" s="197" t="s">
        <v>13</v>
      </c>
      <c r="B13" s="198"/>
      <c r="C13" s="30"/>
      <c r="D13" s="30"/>
      <c r="E13" s="30"/>
      <c r="F13" s="30"/>
      <c r="G13" s="30"/>
      <c r="H13" s="30"/>
      <c r="I13" s="30"/>
      <c r="J13" s="30"/>
      <c r="K13" s="30"/>
      <c r="L13" s="31"/>
    </row>
    <row r="14" spans="1:25" x14ac:dyDescent="0.25">
      <c r="A14" s="197" t="s">
        <v>84</v>
      </c>
      <c r="B14" s="198"/>
      <c r="C14" s="30"/>
      <c r="D14" s="30"/>
      <c r="E14" s="30"/>
      <c r="F14" s="30"/>
      <c r="G14" s="30"/>
      <c r="H14" s="30"/>
      <c r="I14" s="30"/>
      <c r="J14" s="30"/>
      <c r="K14" s="30"/>
      <c r="L14" s="31"/>
    </row>
    <row r="15" spans="1:25" x14ac:dyDescent="0.25">
      <c r="A15" s="197" t="s">
        <v>22</v>
      </c>
      <c r="B15" s="198"/>
      <c r="C15" s="30"/>
      <c r="D15" s="30"/>
      <c r="E15" s="30"/>
      <c r="F15" s="30"/>
      <c r="G15" s="30"/>
      <c r="H15" s="30"/>
      <c r="I15" s="30"/>
      <c r="J15" s="30"/>
      <c r="K15" s="30"/>
      <c r="L15" s="31"/>
    </row>
    <row r="16" spans="1:25" x14ac:dyDescent="0.25">
      <c r="A16" s="197" t="s">
        <v>85</v>
      </c>
      <c r="B16" s="198"/>
      <c r="C16" s="30"/>
      <c r="D16" s="30"/>
      <c r="E16" s="30"/>
      <c r="F16" s="30"/>
      <c r="G16" s="30"/>
      <c r="H16" s="30"/>
      <c r="I16" s="30"/>
      <c r="J16" s="30"/>
      <c r="K16" s="30"/>
      <c r="L16" s="31"/>
    </row>
    <row r="17" spans="1:12" ht="15.75" thickBot="1" x14ac:dyDescent="0.3">
      <c r="A17" s="214" t="s">
        <v>15</v>
      </c>
      <c r="B17" s="215"/>
      <c r="C17" s="33"/>
      <c r="D17" s="33"/>
      <c r="E17" s="33"/>
      <c r="F17" s="33"/>
      <c r="G17" s="33"/>
      <c r="H17" s="33"/>
      <c r="I17" s="33"/>
      <c r="J17" s="33"/>
      <c r="K17" s="33"/>
      <c r="L17" s="34"/>
    </row>
    <row r="18" spans="1:12" x14ac:dyDescent="0.25">
      <c r="A18" s="211" t="s">
        <v>7</v>
      </c>
      <c r="B18" s="212"/>
      <c r="C18" s="77"/>
      <c r="D18" s="77"/>
      <c r="E18" s="77"/>
      <c r="F18" s="77"/>
      <c r="G18" s="77"/>
      <c r="H18" s="77"/>
      <c r="I18" s="77"/>
      <c r="J18" s="77"/>
      <c r="K18" s="77"/>
      <c r="L18" s="78"/>
    </row>
    <row r="19" spans="1:12" x14ac:dyDescent="0.25">
      <c r="A19" s="202" t="s">
        <v>8</v>
      </c>
      <c r="B19" s="203"/>
      <c r="C19" s="1"/>
      <c r="D19" s="1"/>
      <c r="E19" s="1"/>
      <c r="F19" s="1"/>
      <c r="G19" s="1"/>
      <c r="H19" s="1"/>
      <c r="I19" s="1"/>
      <c r="J19" s="1"/>
      <c r="K19" s="1"/>
      <c r="L19" s="6"/>
    </row>
    <row r="20" spans="1:12" ht="15.75" thickBot="1" x14ac:dyDescent="0.3">
      <c r="A20" s="205" t="s">
        <v>9</v>
      </c>
      <c r="B20" s="206"/>
      <c r="C20" s="79"/>
      <c r="D20" s="79"/>
      <c r="E20" s="79"/>
      <c r="F20" s="79"/>
      <c r="G20" s="79"/>
      <c r="H20" s="79"/>
      <c r="I20" s="79"/>
      <c r="J20" s="79"/>
      <c r="K20" s="79"/>
      <c r="L20" s="80"/>
    </row>
    <row r="21" spans="1:12" x14ac:dyDescent="0.25">
      <c r="A21" s="207" t="s">
        <v>25</v>
      </c>
      <c r="B21" s="208"/>
      <c r="C21" s="41"/>
      <c r="D21" s="41"/>
      <c r="E21" s="41"/>
      <c r="F21" s="41"/>
      <c r="G21" s="41"/>
      <c r="H21" s="41"/>
      <c r="I21" s="41"/>
      <c r="J21" s="41"/>
      <c r="K21" s="41"/>
      <c r="L21" s="44"/>
    </row>
    <row r="22" spans="1:12" ht="15.75" thickBot="1" x14ac:dyDescent="0.3">
      <c r="A22" s="209" t="s">
        <v>26</v>
      </c>
      <c r="B22" s="210"/>
      <c r="C22" s="33"/>
      <c r="D22" s="33"/>
      <c r="E22" s="33"/>
      <c r="F22" s="33"/>
      <c r="G22" s="33"/>
      <c r="H22" s="33"/>
      <c r="I22" s="33"/>
      <c r="J22" s="33"/>
      <c r="K22" s="33"/>
      <c r="L22" s="34"/>
    </row>
    <row r="23" spans="1:12" x14ac:dyDescent="0.25">
      <c r="A23" s="211" t="s">
        <v>54</v>
      </c>
      <c r="B23" s="212"/>
      <c r="C23" s="77"/>
      <c r="D23" s="77"/>
      <c r="E23" s="77"/>
      <c r="F23" s="77"/>
      <c r="G23" s="77"/>
      <c r="H23" s="77"/>
      <c r="I23" s="77"/>
      <c r="J23" s="77"/>
      <c r="K23" s="77"/>
      <c r="L23" s="78"/>
    </row>
    <row r="24" spans="1:12" ht="15.75" thickBot="1" x14ac:dyDescent="0.3">
      <c r="A24" s="205" t="s">
        <v>55</v>
      </c>
      <c r="B24" s="206"/>
      <c r="C24" s="8"/>
      <c r="D24" s="8"/>
      <c r="E24" s="8"/>
      <c r="F24" s="8"/>
      <c r="G24" s="8"/>
      <c r="H24" s="8"/>
      <c r="I24" s="8"/>
      <c r="J24" s="8"/>
      <c r="K24" s="8"/>
      <c r="L24" s="9"/>
    </row>
    <row r="25" spans="1:12" x14ac:dyDescent="0.25">
      <c r="A25" s="204"/>
      <c r="B25" s="204"/>
    </row>
    <row r="26" spans="1:12" x14ac:dyDescent="0.25">
      <c r="A26" s="204"/>
      <c r="B26" s="204"/>
    </row>
    <row r="27" spans="1:12" x14ac:dyDescent="0.25">
      <c r="A27" s="204"/>
      <c r="B27" s="204"/>
    </row>
    <row r="28" spans="1:12" x14ac:dyDescent="0.25">
      <c r="A28" s="204"/>
      <c r="B28" s="204"/>
    </row>
    <row r="29" spans="1:12" x14ac:dyDescent="0.25">
      <c r="A29" s="204"/>
      <c r="B29" s="204"/>
    </row>
    <row r="30" spans="1:12" x14ac:dyDescent="0.25">
      <c r="A30" s="204"/>
      <c r="B30" s="204"/>
    </row>
    <row r="31" spans="1:12" x14ac:dyDescent="0.25">
      <c r="A31" s="204"/>
      <c r="B31" s="204"/>
    </row>
    <row r="32" spans="1:12" x14ac:dyDescent="0.25">
      <c r="A32" s="204"/>
      <c r="B32" s="204"/>
    </row>
    <row r="33" spans="1:2" x14ac:dyDescent="0.25">
      <c r="A33" s="204"/>
      <c r="B33" s="204"/>
    </row>
    <row r="34" spans="1:2" x14ac:dyDescent="0.25">
      <c r="A34" s="204"/>
      <c r="B34" s="204"/>
    </row>
    <row r="35" spans="1:2" x14ac:dyDescent="0.25">
      <c r="A35" s="204"/>
      <c r="B35" s="204"/>
    </row>
    <row r="36" spans="1:2" x14ac:dyDescent="0.25">
      <c r="A36" s="204"/>
      <c r="B36" s="204"/>
    </row>
    <row r="37" spans="1:2" x14ac:dyDescent="0.25">
      <c r="A37" s="204"/>
      <c r="B37" s="204"/>
    </row>
    <row r="38" spans="1:2" x14ac:dyDescent="0.25">
      <c r="A38" s="204"/>
      <c r="B38" s="204"/>
    </row>
    <row r="39" spans="1:2" x14ac:dyDescent="0.25">
      <c r="A39" s="204"/>
      <c r="B39" s="204"/>
    </row>
    <row r="40" spans="1:2" x14ac:dyDescent="0.25">
      <c r="A40" s="204"/>
      <c r="B40" s="204"/>
    </row>
    <row r="41" spans="1:2" x14ac:dyDescent="0.25">
      <c r="A41" s="204"/>
      <c r="B41" s="204"/>
    </row>
    <row r="42" spans="1:2" x14ac:dyDescent="0.25">
      <c r="A42" s="204"/>
      <c r="B42" s="204"/>
    </row>
    <row r="43" spans="1:2" x14ac:dyDescent="0.25">
      <c r="A43" s="204"/>
      <c r="B43" s="204"/>
    </row>
    <row r="44" spans="1:2" x14ac:dyDescent="0.25">
      <c r="A44" s="204"/>
      <c r="B44" s="204"/>
    </row>
    <row r="45" spans="1:2" x14ac:dyDescent="0.25">
      <c r="A45" s="204"/>
      <c r="B45" s="204"/>
    </row>
    <row r="46" spans="1:2" x14ac:dyDescent="0.25">
      <c r="A46" s="204"/>
      <c r="B46" s="204"/>
    </row>
    <row r="47" spans="1:2" x14ac:dyDescent="0.25">
      <c r="A47" s="204"/>
      <c r="B47" s="204"/>
    </row>
    <row r="48" spans="1:2" x14ac:dyDescent="0.25">
      <c r="A48" s="204"/>
      <c r="B48" s="204"/>
    </row>
    <row r="49" spans="1:2" x14ac:dyDescent="0.25">
      <c r="A49" s="204"/>
      <c r="B49" s="204"/>
    </row>
    <row r="50" spans="1:2" x14ac:dyDescent="0.25">
      <c r="A50" s="204"/>
      <c r="B50" s="204"/>
    </row>
    <row r="51" spans="1:2" x14ac:dyDescent="0.25">
      <c r="A51" s="204"/>
      <c r="B51" s="204"/>
    </row>
    <row r="52" spans="1:2" x14ac:dyDescent="0.25">
      <c r="A52" s="204"/>
      <c r="B52" s="204"/>
    </row>
    <row r="53" spans="1:2" x14ac:dyDescent="0.25">
      <c r="A53" s="204"/>
      <c r="B53" s="204"/>
    </row>
    <row r="54" spans="1:2" x14ac:dyDescent="0.25">
      <c r="A54" s="204"/>
      <c r="B54" s="204"/>
    </row>
    <row r="55" spans="1:2" x14ac:dyDescent="0.25">
      <c r="A55" s="204"/>
      <c r="B55" s="204"/>
    </row>
    <row r="56" spans="1:2" x14ac:dyDescent="0.25">
      <c r="A56" s="204"/>
      <c r="B56" s="204"/>
    </row>
    <row r="57" spans="1:2" x14ac:dyDescent="0.25">
      <c r="A57" s="204"/>
      <c r="B57" s="204"/>
    </row>
    <row r="58" spans="1:2" x14ac:dyDescent="0.25">
      <c r="A58" s="204"/>
      <c r="B58" s="204"/>
    </row>
    <row r="59" spans="1:2" x14ac:dyDescent="0.25">
      <c r="A59" s="204"/>
      <c r="B59" s="204"/>
    </row>
    <row r="60" spans="1:2" x14ac:dyDescent="0.25">
      <c r="A60" s="204"/>
      <c r="B60" s="204"/>
    </row>
    <row r="61" spans="1:2" x14ac:dyDescent="0.25">
      <c r="A61" s="204"/>
      <c r="B61" s="204"/>
    </row>
    <row r="62" spans="1:2" x14ac:dyDescent="0.25">
      <c r="A62" s="204"/>
      <c r="B62" s="204"/>
    </row>
    <row r="63" spans="1:2" x14ac:dyDescent="0.25">
      <c r="A63" s="204"/>
      <c r="B63" s="204"/>
    </row>
    <row r="64" spans="1:2" x14ac:dyDescent="0.25">
      <c r="A64" s="204"/>
      <c r="B64" s="204"/>
    </row>
    <row r="65" spans="1:2" x14ac:dyDescent="0.25">
      <c r="A65" s="204"/>
      <c r="B65" s="204"/>
    </row>
    <row r="66" spans="1:2" x14ac:dyDescent="0.25">
      <c r="A66" s="204"/>
      <c r="B66" s="204"/>
    </row>
    <row r="67" spans="1:2" x14ac:dyDescent="0.25">
      <c r="A67" s="204"/>
      <c r="B67" s="204"/>
    </row>
    <row r="68" spans="1:2" x14ac:dyDescent="0.25">
      <c r="A68" s="204"/>
      <c r="B68" s="204"/>
    </row>
    <row r="69" spans="1:2" x14ac:dyDescent="0.25">
      <c r="A69" s="204"/>
      <c r="B69" s="204"/>
    </row>
    <row r="70" spans="1:2" x14ac:dyDescent="0.25">
      <c r="A70" s="204"/>
      <c r="B70" s="204"/>
    </row>
    <row r="71" spans="1:2" x14ac:dyDescent="0.25">
      <c r="A71" s="204"/>
      <c r="B71" s="204"/>
    </row>
    <row r="72" spans="1:2" x14ac:dyDescent="0.25">
      <c r="A72" s="204"/>
      <c r="B72" s="204"/>
    </row>
    <row r="73" spans="1:2" x14ac:dyDescent="0.25">
      <c r="A73" s="204"/>
      <c r="B73" s="204"/>
    </row>
    <row r="74" spans="1:2" x14ac:dyDescent="0.25">
      <c r="A74" s="204"/>
      <c r="B74" s="204"/>
    </row>
    <row r="75" spans="1:2" x14ac:dyDescent="0.25">
      <c r="A75" s="204"/>
      <c r="B75" s="204"/>
    </row>
    <row r="76" spans="1:2" x14ac:dyDescent="0.25">
      <c r="A76" s="204"/>
      <c r="B76" s="204"/>
    </row>
    <row r="77" spans="1:2" x14ac:dyDescent="0.25">
      <c r="A77" s="204"/>
      <c r="B77" s="204"/>
    </row>
    <row r="78" spans="1:2" x14ac:dyDescent="0.25">
      <c r="A78" s="204"/>
      <c r="B78" s="204"/>
    </row>
    <row r="79" spans="1:2" x14ac:dyDescent="0.25">
      <c r="A79" s="204"/>
      <c r="B79" s="204"/>
    </row>
    <row r="80" spans="1:2" x14ac:dyDescent="0.25">
      <c r="A80" s="204"/>
      <c r="B80" s="204"/>
    </row>
    <row r="81" spans="1:2" x14ac:dyDescent="0.25">
      <c r="A81" s="204"/>
      <c r="B81" s="204"/>
    </row>
    <row r="82" spans="1:2" x14ac:dyDescent="0.25">
      <c r="A82" s="204"/>
      <c r="B82" s="204"/>
    </row>
    <row r="83" spans="1:2" x14ac:dyDescent="0.25">
      <c r="A83" s="204"/>
      <c r="B83" s="204"/>
    </row>
    <row r="84" spans="1:2" x14ac:dyDescent="0.25">
      <c r="A84" s="204"/>
      <c r="B84" s="204"/>
    </row>
    <row r="85" spans="1:2" x14ac:dyDescent="0.25">
      <c r="A85" s="204"/>
      <c r="B85" s="204"/>
    </row>
    <row r="86" spans="1:2" x14ac:dyDescent="0.25">
      <c r="A86" s="204"/>
      <c r="B86" s="204"/>
    </row>
    <row r="87" spans="1:2" x14ac:dyDescent="0.25">
      <c r="A87" s="204"/>
      <c r="B87" s="204"/>
    </row>
    <row r="88" spans="1:2" x14ac:dyDescent="0.25">
      <c r="A88" s="204"/>
      <c r="B88" s="204"/>
    </row>
    <row r="89" spans="1:2" x14ac:dyDescent="0.25">
      <c r="A89" s="204"/>
      <c r="B89" s="204"/>
    </row>
    <row r="90" spans="1:2" x14ac:dyDescent="0.25">
      <c r="A90" s="204"/>
      <c r="B90" s="204"/>
    </row>
    <row r="91" spans="1:2" x14ac:dyDescent="0.25">
      <c r="A91" s="204"/>
      <c r="B91" s="204"/>
    </row>
    <row r="92" spans="1:2" x14ac:dyDescent="0.25">
      <c r="A92" s="204"/>
      <c r="B92" s="204"/>
    </row>
    <row r="93" spans="1:2" x14ac:dyDescent="0.25">
      <c r="A93" s="204"/>
      <c r="B93" s="204"/>
    </row>
    <row r="94" spans="1:2" x14ac:dyDescent="0.25">
      <c r="A94" s="204"/>
      <c r="B94" s="204"/>
    </row>
    <row r="95" spans="1:2" x14ac:dyDescent="0.25">
      <c r="A95" s="204"/>
      <c r="B95" s="204"/>
    </row>
    <row r="96" spans="1:2" x14ac:dyDescent="0.25">
      <c r="A96" s="204"/>
      <c r="B96" s="204"/>
    </row>
    <row r="97" spans="1:2" x14ac:dyDescent="0.25">
      <c r="A97" s="204"/>
      <c r="B97" s="204"/>
    </row>
    <row r="98" spans="1:2" x14ac:dyDescent="0.25">
      <c r="A98" s="204"/>
      <c r="B98" s="204"/>
    </row>
    <row r="99" spans="1:2" x14ac:dyDescent="0.25">
      <c r="A99" s="204"/>
      <c r="B99" s="204"/>
    </row>
    <row r="100" spans="1:2" x14ac:dyDescent="0.25">
      <c r="A100" s="204"/>
      <c r="B100" s="204"/>
    </row>
    <row r="101" spans="1:2" x14ac:dyDescent="0.25">
      <c r="A101" s="204"/>
      <c r="B101" s="204"/>
    </row>
    <row r="102" spans="1:2" x14ac:dyDescent="0.25">
      <c r="A102" s="204"/>
      <c r="B102" s="204"/>
    </row>
    <row r="103" spans="1:2" x14ac:dyDescent="0.25">
      <c r="A103" s="204"/>
      <c r="B103" s="204"/>
    </row>
    <row r="104" spans="1:2" x14ac:dyDescent="0.25">
      <c r="A104" s="204"/>
      <c r="B104" s="204"/>
    </row>
    <row r="105" spans="1:2" x14ac:dyDescent="0.25">
      <c r="A105" s="204"/>
      <c r="B105" s="204"/>
    </row>
    <row r="106" spans="1:2" x14ac:dyDescent="0.25">
      <c r="A106" s="204"/>
      <c r="B106" s="204"/>
    </row>
    <row r="107" spans="1:2" x14ac:dyDescent="0.25">
      <c r="A107" s="204"/>
      <c r="B107" s="204"/>
    </row>
    <row r="108" spans="1:2" x14ac:dyDescent="0.25">
      <c r="A108" s="204"/>
      <c r="B108" s="204"/>
    </row>
    <row r="109" spans="1:2" x14ac:dyDescent="0.25">
      <c r="A109" s="204"/>
      <c r="B109" s="204"/>
    </row>
    <row r="110" spans="1:2" x14ac:dyDescent="0.25">
      <c r="A110" s="204"/>
      <c r="B110" s="204"/>
    </row>
    <row r="111" spans="1:2" x14ac:dyDescent="0.25">
      <c r="A111" s="204"/>
      <c r="B111" s="204"/>
    </row>
    <row r="112" spans="1:2" x14ac:dyDescent="0.25">
      <c r="A112" s="204"/>
      <c r="B112" s="204"/>
    </row>
    <row r="113" spans="1:2" x14ac:dyDescent="0.25">
      <c r="A113" s="204"/>
      <c r="B113" s="204"/>
    </row>
    <row r="114" spans="1:2" x14ac:dyDescent="0.25">
      <c r="A114" s="204"/>
      <c r="B114" s="204"/>
    </row>
    <row r="115" spans="1:2" x14ac:dyDescent="0.25">
      <c r="A115" s="204"/>
      <c r="B115" s="204"/>
    </row>
    <row r="116" spans="1:2" x14ac:dyDescent="0.25">
      <c r="A116" s="204"/>
      <c r="B116" s="204"/>
    </row>
    <row r="117" spans="1:2" x14ac:dyDescent="0.25">
      <c r="A117" s="204"/>
      <c r="B117" s="204"/>
    </row>
    <row r="118" spans="1:2" x14ac:dyDescent="0.25">
      <c r="A118" s="204"/>
      <c r="B118" s="204"/>
    </row>
    <row r="119" spans="1:2" x14ac:dyDescent="0.25">
      <c r="A119" s="204"/>
      <c r="B119" s="204"/>
    </row>
    <row r="120" spans="1:2" x14ac:dyDescent="0.25">
      <c r="A120" s="204"/>
      <c r="B120" s="204"/>
    </row>
    <row r="121" spans="1:2" x14ac:dyDescent="0.25">
      <c r="A121" s="204"/>
      <c r="B121" s="204"/>
    </row>
    <row r="122" spans="1:2" x14ac:dyDescent="0.25">
      <c r="A122" s="204"/>
      <c r="B122" s="204"/>
    </row>
    <row r="123" spans="1:2" x14ac:dyDescent="0.25">
      <c r="A123" s="204"/>
      <c r="B123" s="204"/>
    </row>
    <row r="124" spans="1:2" x14ac:dyDescent="0.25">
      <c r="A124" s="204"/>
      <c r="B124" s="204"/>
    </row>
    <row r="125" spans="1:2" x14ac:dyDescent="0.25">
      <c r="A125" s="204"/>
      <c r="B125" s="204"/>
    </row>
    <row r="126" spans="1:2" x14ac:dyDescent="0.25">
      <c r="A126" s="204"/>
      <c r="B126" s="204"/>
    </row>
  </sheetData>
  <mergeCells count="135">
    <mergeCell ref="A18:B18"/>
    <mergeCell ref="A16:B16"/>
    <mergeCell ref="A5:B5"/>
    <mergeCell ref="A6:B6"/>
    <mergeCell ref="A13:B13"/>
    <mergeCell ref="A14:B14"/>
    <mergeCell ref="A15:B15"/>
    <mergeCell ref="A17:B17"/>
    <mergeCell ref="A8:B8"/>
    <mergeCell ref="A9:B9"/>
    <mergeCell ref="A10:B10"/>
    <mergeCell ref="A11:B11"/>
    <mergeCell ref="A12:B12"/>
    <mergeCell ref="A25:B25"/>
    <mergeCell ref="A26:B26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49:B49"/>
    <mergeCell ref="A50:B50"/>
    <mergeCell ref="A51:B51"/>
    <mergeCell ref="A52:B52"/>
    <mergeCell ref="A53:B53"/>
    <mergeCell ref="A54:B54"/>
    <mergeCell ref="A43:B43"/>
    <mergeCell ref="A44:B44"/>
    <mergeCell ref="A45:B45"/>
    <mergeCell ref="A46:B46"/>
    <mergeCell ref="A47:B47"/>
    <mergeCell ref="A48:B48"/>
    <mergeCell ref="A61:B61"/>
    <mergeCell ref="A62:B62"/>
    <mergeCell ref="A63:B63"/>
    <mergeCell ref="A64:B64"/>
    <mergeCell ref="A65:B65"/>
    <mergeCell ref="A66:B66"/>
    <mergeCell ref="A55:B55"/>
    <mergeCell ref="A56:B56"/>
    <mergeCell ref="A57:B57"/>
    <mergeCell ref="A58:B58"/>
    <mergeCell ref="A59:B59"/>
    <mergeCell ref="A60:B60"/>
    <mergeCell ref="A73:B73"/>
    <mergeCell ref="A74:B74"/>
    <mergeCell ref="A75:B75"/>
    <mergeCell ref="A76:B76"/>
    <mergeCell ref="A77:B77"/>
    <mergeCell ref="A78:B78"/>
    <mergeCell ref="A67:B67"/>
    <mergeCell ref="A68:B68"/>
    <mergeCell ref="A69:B69"/>
    <mergeCell ref="A70:B70"/>
    <mergeCell ref="A71:B71"/>
    <mergeCell ref="A72:B72"/>
    <mergeCell ref="A85:B85"/>
    <mergeCell ref="A86:B86"/>
    <mergeCell ref="A87:B87"/>
    <mergeCell ref="A88:B88"/>
    <mergeCell ref="A89:B89"/>
    <mergeCell ref="A90:B90"/>
    <mergeCell ref="A79:B79"/>
    <mergeCell ref="A80:B80"/>
    <mergeCell ref="A81:B81"/>
    <mergeCell ref="A82:B82"/>
    <mergeCell ref="A83:B83"/>
    <mergeCell ref="A84:B84"/>
    <mergeCell ref="A97:B97"/>
    <mergeCell ref="A98:B98"/>
    <mergeCell ref="A99:B99"/>
    <mergeCell ref="A100:B100"/>
    <mergeCell ref="A101:B101"/>
    <mergeCell ref="A102:B102"/>
    <mergeCell ref="A91:B91"/>
    <mergeCell ref="A92:B92"/>
    <mergeCell ref="A93:B93"/>
    <mergeCell ref="A94:B94"/>
    <mergeCell ref="A95:B95"/>
    <mergeCell ref="A96:B96"/>
    <mergeCell ref="A109:B109"/>
    <mergeCell ref="A110:B110"/>
    <mergeCell ref="A111:B111"/>
    <mergeCell ref="A112:B112"/>
    <mergeCell ref="A113:B113"/>
    <mergeCell ref="A114:B114"/>
    <mergeCell ref="A103:B103"/>
    <mergeCell ref="A104:B104"/>
    <mergeCell ref="A105:B105"/>
    <mergeCell ref="A106:B106"/>
    <mergeCell ref="A107:B107"/>
    <mergeCell ref="A108:B108"/>
    <mergeCell ref="A121:B121"/>
    <mergeCell ref="A122:B122"/>
    <mergeCell ref="A123:B123"/>
    <mergeCell ref="A124:B124"/>
    <mergeCell ref="A125:B125"/>
    <mergeCell ref="A126:B126"/>
    <mergeCell ref="A115:B115"/>
    <mergeCell ref="A116:B116"/>
    <mergeCell ref="A117:B117"/>
    <mergeCell ref="A118:B118"/>
    <mergeCell ref="A119:B119"/>
    <mergeCell ref="A120:B120"/>
    <mergeCell ref="A1:B1"/>
    <mergeCell ref="A2:B2"/>
    <mergeCell ref="N9:O9"/>
    <mergeCell ref="N10:O10"/>
    <mergeCell ref="N1:O1"/>
    <mergeCell ref="N2:O2"/>
    <mergeCell ref="N3:O3"/>
    <mergeCell ref="N4:O4"/>
    <mergeCell ref="N5:O5"/>
    <mergeCell ref="N6:O6"/>
    <mergeCell ref="N7:O7"/>
    <mergeCell ref="A3:B3"/>
    <mergeCell ref="A4:B4"/>
    <mergeCell ref="A7:B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0"/>
  <sheetViews>
    <sheetView zoomScale="90" zoomScaleNormal="90" workbookViewId="0">
      <selection activeCell="C44" sqref="C44"/>
    </sheetView>
  </sheetViews>
  <sheetFormatPr defaultRowHeight="15" x14ac:dyDescent="0.25"/>
  <sheetData>
    <row r="1" spans="1:27" x14ac:dyDescent="0.25">
      <c r="A1" s="151" t="s">
        <v>93</v>
      </c>
      <c r="B1" s="152"/>
      <c r="C1" s="22"/>
      <c r="D1" s="22"/>
      <c r="E1" s="22"/>
      <c r="F1" s="22"/>
      <c r="G1" s="22"/>
      <c r="H1" s="22"/>
      <c r="I1" s="22"/>
      <c r="J1" s="22"/>
      <c r="K1" s="22"/>
      <c r="L1" s="26"/>
      <c r="P1" s="151" t="s">
        <v>94</v>
      </c>
      <c r="Q1" s="152"/>
      <c r="R1" s="22"/>
      <c r="S1" s="22"/>
      <c r="T1" s="22"/>
      <c r="U1" s="22"/>
      <c r="V1" s="22"/>
      <c r="W1" s="22"/>
      <c r="X1" s="22"/>
      <c r="Y1" s="22"/>
      <c r="Z1" s="22"/>
      <c r="AA1" s="26"/>
    </row>
    <row r="2" spans="1:27" ht="15.75" thickBot="1" x14ac:dyDescent="0.3">
      <c r="A2" s="193"/>
      <c r="B2" s="194"/>
      <c r="C2" s="75" t="s">
        <v>74</v>
      </c>
      <c r="D2" s="75" t="s">
        <v>75</v>
      </c>
      <c r="E2" s="75" t="s">
        <v>76</v>
      </c>
      <c r="F2" s="75" t="s">
        <v>77</v>
      </c>
      <c r="G2" s="75" t="s">
        <v>78</v>
      </c>
      <c r="H2" s="75" t="s">
        <v>79</v>
      </c>
      <c r="I2" s="75" t="s">
        <v>80</v>
      </c>
      <c r="J2" s="75" t="s">
        <v>81</v>
      </c>
      <c r="K2" s="75" t="s">
        <v>82</v>
      </c>
      <c r="L2" s="76" t="s">
        <v>83</v>
      </c>
      <c r="P2" s="193"/>
      <c r="Q2" s="194"/>
      <c r="R2" s="75" t="s">
        <v>74</v>
      </c>
      <c r="S2" s="75" t="s">
        <v>75</v>
      </c>
      <c r="T2" s="75" t="s">
        <v>76</v>
      </c>
      <c r="U2" s="75" t="s">
        <v>77</v>
      </c>
      <c r="V2" s="75" t="s">
        <v>78</v>
      </c>
      <c r="W2" s="75" t="s">
        <v>79</v>
      </c>
      <c r="X2" s="75" t="s">
        <v>80</v>
      </c>
      <c r="Y2" s="75" t="s">
        <v>81</v>
      </c>
      <c r="Z2" s="75" t="s">
        <v>82</v>
      </c>
      <c r="AA2" s="76" t="s">
        <v>83</v>
      </c>
    </row>
    <row r="3" spans="1:27" x14ac:dyDescent="0.25">
      <c r="A3" s="158" t="s">
        <v>10</v>
      </c>
      <c r="B3" s="159"/>
      <c r="C3" s="22"/>
      <c r="D3" s="22"/>
      <c r="E3" s="22"/>
      <c r="F3" s="22"/>
      <c r="G3" s="22"/>
      <c r="H3" s="22"/>
      <c r="I3" s="22"/>
      <c r="J3" s="22"/>
      <c r="K3" s="22"/>
      <c r="L3" s="26"/>
      <c r="P3" s="158" t="s">
        <v>10</v>
      </c>
      <c r="Q3" s="159"/>
      <c r="R3" s="22"/>
      <c r="S3" s="22"/>
      <c r="T3" s="22"/>
      <c r="U3" s="22"/>
      <c r="V3" s="22"/>
      <c r="W3" s="22"/>
      <c r="X3" s="22"/>
      <c r="Y3" s="22"/>
      <c r="Z3" s="22"/>
      <c r="AA3" s="26"/>
    </row>
    <row r="4" spans="1:27" x14ac:dyDescent="0.25">
      <c r="A4" s="202" t="s">
        <v>86</v>
      </c>
      <c r="B4" s="203"/>
      <c r="C4" s="1"/>
      <c r="D4" s="1"/>
      <c r="E4" s="1"/>
      <c r="F4" s="1"/>
      <c r="G4" s="1"/>
      <c r="H4" s="1"/>
      <c r="I4" s="1"/>
      <c r="J4" s="1"/>
      <c r="K4" s="1"/>
      <c r="L4" s="6"/>
      <c r="P4" s="202" t="s">
        <v>86</v>
      </c>
      <c r="Q4" s="203"/>
      <c r="R4" s="1"/>
      <c r="S4" s="1"/>
      <c r="T4" s="1"/>
      <c r="U4" s="1"/>
      <c r="V4" s="1"/>
      <c r="W4" s="1"/>
      <c r="X4" s="1"/>
      <c r="Y4" s="1"/>
      <c r="Z4" s="1"/>
      <c r="AA4" s="6"/>
    </row>
    <row r="5" spans="1:27" x14ac:dyDescent="0.25">
      <c r="A5" s="202" t="s">
        <v>87</v>
      </c>
      <c r="B5" s="203"/>
      <c r="C5" s="1"/>
      <c r="D5" s="1"/>
      <c r="E5" s="1"/>
      <c r="F5" s="1"/>
      <c r="G5" s="1"/>
      <c r="H5" s="1"/>
      <c r="I5" s="1"/>
      <c r="J5" s="1"/>
      <c r="K5" s="1"/>
      <c r="L5" s="6"/>
      <c r="N5" t="s">
        <v>95</v>
      </c>
      <c r="P5" s="202" t="s">
        <v>87</v>
      </c>
      <c r="Q5" s="203"/>
      <c r="R5" s="1"/>
      <c r="S5" s="1"/>
      <c r="T5" s="1"/>
      <c r="U5" s="1"/>
      <c r="V5" s="1"/>
      <c r="W5" s="1"/>
      <c r="X5" s="1"/>
      <c r="Y5" s="1"/>
      <c r="Z5" s="1"/>
      <c r="AA5" s="6"/>
    </row>
    <row r="6" spans="1:27" ht="15.75" thickBot="1" x14ac:dyDescent="0.3">
      <c r="A6" s="213" t="s">
        <v>12</v>
      </c>
      <c r="B6" s="206"/>
      <c r="C6" s="8"/>
      <c r="D6" s="8"/>
      <c r="E6" s="8"/>
      <c r="F6" s="8"/>
      <c r="G6" s="8"/>
      <c r="H6" s="8"/>
      <c r="I6" s="8"/>
      <c r="J6" s="8"/>
      <c r="K6" s="8"/>
      <c r="L6" s="9"/>
      <c r="P6" s="205" t="s">
        <v>12</v>
      </c>
      <c r="Q6" s="206"/>
      <c r="R6" s="8"/>
      <c r="S6" s="8"/>
      <c r="T6" s="8"/>
      <c r="U6" s="8"/>
      <c r="V6" s="8"/>
      <c r="W6" s="8"/>
      <c r="X6" s="8"/>
      <c r="Y6" s="8"/>
      <c r="Z6" s="8"/>
      <c r="AA6" s="9"/>
    </row>
    <row r="7" spans="1:27" x14ac:dyDescent="0.25">
      <c r="A7" s="151" t="s">
        <v>46</v>
      </c>
      <c r="B7" s="152"/>
      <c r="C7" s="41"/>
      <c r="D7" s="41"/>
      <c r="E7" s="41"/>
      <c r="F7" s="41"/>
      <c r="G7" s="41"/>
      <c r="H7" s="41"/>
      <c r="I7" s="41"/>
      <c r="J7" s="41"/>
      <c r="K7" s="41"/>
      <c r="L7" s="44"/>
      <c r="P7" s="151" t="s">
        <v>46</v>
      </c>
      <c r="Q7" s="152"/>
      <c r="R7" s="41"/>
      <c r="S7" s="41"/>
      <c r="T7" s="41"/>
      <c r="U7" s="41"/>
      <c r="V7" s="41"/>
      <c r="W7" s="41"/>
      <c r="X7" s="41"/>
      <c r="Y7" s="41"/>
      <c r="Z7" s="41"/>
      <c r="AA7" s="44"/>
    </row>
    <row r="8" spans="1:27" x14ac:dyDescent="0.25">
      <c r="A8" s="197" t="s">
        <v>88</v>
      </c>
      <c r="B8" s="198"/>
      <c r="C8" s="30"/>
      <c r="D8" s="30"/>
      <c r="E8" s="30"/>
      <c r="F8" s="30"/>
      <c r="G8" s="30"/>
      <c r="H8" s="30"/>
      <c r="I8" s="30"/>
      <c r="J8" s="30"/>
      <c r="K8" s="30"/>
      <c r="L8" s="31"/>
      <c r="N8" t="s">
        <v>96</v>
      </c>
      <c r="P8" s="197" t="s">
        <v>88</v>
      </c>
      <c r="Q8" s="198"/>
      <c r="R8" s="30"/>
      <c r="S8" s="30"/>
      <c r="T8" s="30"/>
      <c r="U8" s="30"/>
      <c r="V8" s="30"/>
      <c r="W8" s="30"/>
      <c r="X8" s="30"/>
      <c r="Y8" s="30"/>
      <c r="Z8" s="30"/>
      <c r="AA8" s="31"/>
    </row>
    <row r="9" spans="1:27" x14ac:dyDescent="0.25">
      <c r="A9" s="197" t="s">
        <v>48</v>
      </c>
      <c r="B9" s="198"/>
      <c r="C9" s="30"/>
      <c r="D9" s="30"/>
      <c r="E9" s="30"/>
      <c r="F9" s="30"/>
      <c r="G9" s="30"/>
      <c r="H9" s="30"/>
      <c r="I9" s="30"/>
      <c r="J9" s="30"/>
      <c r="K9" s="30"/>
      <c r="L9" s="31"/>
      <c r="P9" s="197" t="s">
        <v>48</v>
      </c>
      <c r="Q9" s="198"/>
      <c r="R9" s="30"/>
      <c r="S9" s="30"/>
      <c r="T9" s="30"/>
      <c r="U9" s="30"/>
      <c r="V9" s="30"/>
      <c r="W9" s="30"/>
      <c r="X9" s="30"/>
      <c r="Y9" s="30"/>
      <c r="Z9" s="30"/>
      <c r="AA9" s="31"/>
    </row>
    <row r="10" spans="1:27" x14ac:dyDescent="0.25">
      <c r="A10" s="197" t="s">
        <v>89</v>
      </c>
      <c r="B10" s="198"/>
      <c r="C10" s="30"/>
      <c r="D10" s="30"/>
      <c r="E10" s="30"/>
      <c r="F10" s="30"/>
      <c r="G10" s="30"/>
      <c r="H10" s="30"/>
      <c r="I10" s="30"/>
      <c r="J10" s="30"/>
      <c r="K10" s="30"/>
      <c r="L10" s="31"/>
      <c r="P10" s="197" t="s">
        <v>89</v>
      </c>
      <c r="Q10" s="198"/>
      <c r="R10" s="30"/>
      <c r="S10" s="30"/>
      <c r="T10" s="30"/>
      <c r="U10" s="30"/>
      <c r="V10" s="30"/>
      <c r="W10" s="30"/>
      <c r="X10" s="30"/>
      <c r="Y10" s="30"/>
      <c r="Z10" s="30"/>
      <c r="AA10" s="31"/>
    </row>
    <row r="11" spans="1:27" x14ac:dyDescent="0.25">
      <c r="A11" s="197" t="s">
        <v>5</v>
      </c>
      <c r="B11" s="198"/>
      <c r="C11" s="30"/>
      <c r="D11" s="30"/>
      <c r="E11" s="30"/>
      <c r="F11" s="30"/>
      <c r="G11" s="30"/>
      <c r="H11" s="30"/>
      <c r="I11" s="30"/>
      <c r="J11" s="30"/>
      <c r="K11" s="30"/>
      <c r="L11" s="31"/>
      <c r="P11" s="197" t="s">
        <v>5</v>
      </c>
      <c r="Q11" s="198"/>
      <c r="R11" s="30"/>
      <c r="S11" s="30"/>
      <c r="T11" s="30"/>
      <c r="U11" s="30"/>
      <c r="V11" s="30"/>
      <c r="W11" s="30"/>
      <c r="X11" s="30"/>
      <c r="Y11" s="30"/>
      <c r="Z11" s="30"/>
      <c r="AA11" s="31"/>
    </row>
    <row r="12" spans="1:27" x14ac:dyDescent="0.25">
      <c r="A12" s="197" t="s">
        <v>6</v>
      </c>
      <c r="B12" s="198"/>
      <c r="C12" s="30"/>
      <c r="D12" s="30"/>
      <c r="E12" s="30"/>
      <c r="F12" s="30"/>
      <c r="G12" s="30"/>
      <c r="H12" s="30"/>
      <c r="I12" s="30"/>
      <c r="J12" s="30"/>
      <c r="K12" s="30"/>
      <c r="L12" s="31"/>
      <c r="P12" s="197" t="s">
        <v>6</v>
      </c>
      <c r="Q12" s="198"/>
      <c r="R12" s="30"/>
      <c r="S12" s="30"/>
      <c r="T12" s="30"/>
      <c r="U12" s="30"/>
      <c r="V12" s="30"/>
      <c r="W12" s="30"/>
      <c r="X12" s="30"/>
      <c r="Y12" s="30"/>
      <c r="Z12" s="30"/>
      <c r="AA12" s="31"/>
    </row>
    <row r="13" spans="1:27" x14ac:dyDescent="0.25">
      <c r="A13" s="197" t="s">
        <v>13</v>
      </c>
      <c r="B13" s="198"/>
      <c r="C13" s="30"/>
      <c r="D13" s="30"/>
      <c r="E13" s="30"/>
      <c r="F13" s="30"/>
      <c r="G13" s="30"/>
      <c r="H13" s="30"/>
      <c r="I13" s="30"/>
      <c r="J13" s="30"/>
      <c r="K13" s="30"/>
      <c r="L13" s="31"/>
      <c r="P13" s="197" t="s">
        <v>13</v>
      </c>
      <c r="Q13" s="198"/>
      <c r="R13" s="30"/>
      <c r="S13" s="30"/>
      <c r="T13" s="30"/>
      <c r="U13" s="30"/>
      <c r="V13" s="30"/>
      <c r="W13" s="30"/>
      <c r="X13" s="30"/>
      <c r="Y13" s="30"/>
      <c r="Z13" s="30"/>
      <c r="AA13" s="31"/>
    </row>
    <row r="14" spans="1:27" x14ac:dyDescent="0.25">
      <c r="A14" s="197" t="s">
        <v>84</v>
      </c>
      <c r="B14" s="198"/>
      <c r="C14" s="30"/>
      <c r="D14" s="30"/>
      <c r="E14" s="30"/>
      <c r="F14" s="30"/>
      <c r="G14" s="30"/>
      <c r="H14" s="30"/>
      <c r="I14" s="30"/>
      <c r="J14" s="30"/>
      <c r="K14" s="30"/>
      <c r="L14" s="31"/>
      <c r="P14" s="197" t="s">
        <v>84</v>
      </c>
      <c r="Q14" s="198"/>
      <c r="R14" s="30"/>
      <c r="S14" s="30"/>
      <c r="T14" s="30"/>
      <c r="U14" s="30"/>
      <c r="V14" s="30"/>
      <c r="W14" s="30"/>
      <c r="X14" s="30"/>
      <c r="Y14" s="30"/>
      <c r="Z14" s="30"/>
      <c r="AA14" s="31"/>
    </row>
    <row r="15" spans="1:27" x14ac:dyDescent="0.25">
      <c r="A15" s="197" t="s">
        <v>22</v>
      </c>
      <c r="B15" s="198"/>
      <c r="C15" s="30"/>
      <c r="D15" s="30"/>
      <c r="E15" s="30"/>
      <c r="F15" s="30"/>
      <c r="G15" s="30"/>
      <c r="H15" s="30"/>
      <c r="I15" s="30"/>
      <c r="J15" s="30"/>
      <c r="K15" s="30"/>
      <c r="L15" s="31"/>
      <c r="P15" s="197" t="s">
        <v>22</v>
      </c>
      <c r="Q15" s="198"/>
      <c r="R15" s="30"/>
      <c r="S15" s="30"/>
      <c r="T15" s="30"/>
      <c r="U15" s="30"/>
      <c r="V15" s="30"/>
      <c r="W15" s="30"/>
      <c r="X15" s="30"/>
      <c r="Y15" s="30"/>
      <c r="Z15" s="30"/>
      <c r="AA15" s="31"/>
    </row>
    <row r="16" spans="1:27" x14ac:dyDescent="0.25">
      <c r="A16" s="197" t="s">
        <v>85</v>
      </c>
      <c r="B16" s="198"/>
      <c r="C16" s="30"/>
      <c r="D16" s="30"/>
      <c r="E16" s="30"/>
      <c r="F16" s="30"/>
      <c r="G16" s="30"/>
      <c r="H16" s="30"/>
      <c r="I16" s="30"/>
      <c r="J16" s="30"/>
      <c r="K16" s="30"/>
      <c r="L16" s="31"/>
      <c r="P16" s="197" t="s">
        <v>85</v>
      </c>
      <c r="Q16" s="198"/>
      <c r="R16" s="30"/>
      <c r="S16" s="30"/>
      <c r="T16" s="30"/>
      <c r="U16" s="30"/>
      <c r="V16" s="30"/>
      <c r="W16" s="30"/>
      <c r="X16" s="30"/>
      <c r="Y16" s="30"/>
      <c r="Z16" s="30"/>
      <c r="AA16" s="31"/>
    </row>
    <row r="17" spans="1:27" ht="15.75" thickBot="1" x14ac:dyDescent="0.3">
      <c r="A17" s="214" t="s">
        <v>15</v>
      </c>
      <c r="B17" s="215"/>
      <c r="C17" s="33"/>
      <c r="D17" s="33"/>
      <c r="E17" s="33"/>
      <c r="F17" s="33"/>
      <c r="G17" s="33"/>
      <c r="H17" s="33"/>
      <c r="I17" s="33"/>
      <c r="J17" s="33"/>
      <c r="K17" s="33"/>
      <c r="L17" s="34"/>
      <c r="P17" s="214" t="s">
        <v>15</v>
      </c>
      <c r="Q17" s="215"/>
      <c r="R17" s="33"/>
      <c r="S17" s="33"/>
      <c r="T17" s="33"/>
      <c r="U17" s="33"/>
      <c r="V17" s="33"/>
      <c r="W17" s="33"/>
      <c r="X17" s="33"/>
      <c r="Y17" s="33"/>
      <c r="Z17" s="33"/>
      <c r="AA17" s="34"/>
    </row>
    <row r="18" spans="1:27" x14ac:dyDescent="0.25">
      <c r="A18" s="211" t="s">
        <v>7</v>
      </c>
      <c r="B18" s="212"/>
      <c r="C18" s="77"/>
      <c r="D18" s="77"/>
      <c r="E18" s="77"/>
      <c r="F18" s="77"/>
      <c r="G18" s="77"/>
      <c r="H18" s="77"/>
      <c r="I18" s="77"/>
      <c r="J18" s="77"/>
      <c r="K18" s="77"/>
      <c r="L18" s="78"/>
      <c r="P18" s="211" t="s">
        <v>7</v>
      </c>
      <c r="Q18" s="212"/>
      <c r="R18" s="77"/>
      <c r="S18" s="77"/>
      <c r="T18" s="77"/>
      <c r="U18" s="77"/>
      <c r="V18" s="77"/>
      <c r="W18" s="77"/>
      <c r="X18" s="77"/>
      <c r="Y18" s="77"/>
      <c r="Z18" s="77"/>
      <c r="AA18" s="78"/>
    </row>
    <row r="19" spans="1:27" x14ac:dyDescent="0.25">
      <c r="A19" s="202" t="s">
        <v>8</v>
      </c>
      <c r="B19" s="203"/>
      <c r="C19" s="1"/>
      <c r="D19" s="1"/>
      <c r="E19" s="1"/>
      <c r="F19" s="1"/>
      <c r="G19" s="1"/>
      <c r="H19" s="1"/>
      <c r="I19" s="1"/>
      <c r="J19" s="1"/>
      <c r="K19" s="1"/>
      <c r="L19" s="6"/>
      <c r="P19" s="202" t="s">
        <v>8</v>
      </c>
      <c r="Q19" s="203"/>
      <c r="R19" s="1"/>
      <c r="S19" s="1"/>
      <c r="T19" s="1"/>
      <c r="U19" s="1"/>
      <c r="V19" s="1"/>
      <c r="W19" s="1"/>
      <c r="X19" s="1"/>
      <c r="Y19" s="1"/>
      <c r="Z19" s="1"/>
      <c r="AA19" s="6"/>
    </row>
    <row r="20" spans="1:27" ht="15.75" thickBot="1" x14ac:dyDescent="0.3">
      <c r="A20" s="205" t="s">
        <v>9</v>
      </c>
      <c r="B20" s="206"/>
      <c r="C20" s="79"/>
      <c r="D20" s="79"/>
      <c r="E20" s="79"/>
      <c r="F20" s="79"/>
      <c r="G20" s="79"/>
      <c r="H20" s="79"/>
      <c r="I20" s="79"/>
      <c r="J20" s="79"/>
      <c r="K20" s="79"/>
      <c r="L20" s="80"/>
      <c r="P20" s="205" t="s">
        <v>9</v>
      </c>
      <c r="Q20" s="206"/>
      <c r="R20" s="79"/>
      <c r="S20" s="79"/>
      <c r="T20" s="79"/>
      <c r="U20" s="79"/>
      <c r="V20" s="79"/>
      <c r="W20" s="79"/>
      <c r="X20" s="79"/>
      <c r="Y20" s="79"/>
      <c r="Z20" s="79"/>
      <c r="AA20" s="80"/>
    </row>
    <row r="21" spans="1:27" x14ac:dyDescent="0.25">
      <c r="A21" s="207" t="s">
        <v>25</v>
      </c>
      <c r="B21" s="208"/>
      <c r="C21" s="41"/>
      <c r="D21" s="41"/>
      <c r="E21" s="41"/>
      <c r="F21" s="41"/>
      <c r="G21" s="41"/>
      <c r="H21" s="41"/>
      <c r="I21" s="41"/>
      <c r="J21" s="41"/>
      <c r="K21" s="41"/>
      <c r="L21" s="44"/>
      <c r="P21" s="207" t="s">
        <v>25</v>
      </c>
      <c r="Q21" s="208"/>
      <c r="R21" s="41"/>
      <c r="S21" s="41"/>
      <c r="T21" s="41"/>
      <c r="U21" s="41"/>
      <c r="V21" s="41"/>
      <c r="W21" s="41"/>
      <c r="X21" s="41"/>
      <c r="Y21" s="41"/>
      <c r="Z21" s="41"/>
      <c r="AA21" s="44"/>
    </row>
    <row r="22" spans="1:27" ht="15.75" thickBot="1" x14ac:dyDescent="0.3">
      <c r="A22" s="209" t="s">
        <v>26</v>
      </c>
      <c r="B22" s="210"/>
      <c r="C22" s="33"/>
      <c r="D22" s="33"/>
      <c r="E22" s="33"/>
      <c r="F22" s="33"/>
      <c r="G22" s="33"/>
      <c r="H22" s="33"/>
      <c r="I22" s="33"/>
      <c r="J22" s="33"/>
      <c r="K22" s="33"/>
      <c r="L22" s="34"/>
      <c r="P22" s="209" t="s">
        <v>26</v>
      </c>
      <c r="Q22" s="210"/>
      <c r="R22" s="33"/>
      <c r="S22" s="33"/>
      <c r="T22" s="33"/>
      <c r="U22" s="33"/>
      <c r="V22" s="33"/>
      <c r="W22" s="33"/>
      <c r="X22" s="33"/>
      <c r="Y22" s="33"/>
      <c r="Z22" s="33"/>
      <c r="AA22" s="34"/>
    </row>
    <row r="23" spans="1:27" x14ac:dyDescent="0.25">
      <c r="A23" s="211" t="s">
        <v>54</v>
      </c>
      <c r="B23" s="212"/>
      <c r="C23" s="77"/>
      <c r="D23" s="77"/>
      <c r="E23" s="77"/>
      <c r="F23" s="77"/>
      <c r="G23" s="77"/>
      <c r="H23" s="77"/>
      <c r="I23" s="77"/>
      <c r="J23" s="77"/>
      <c r="K23" s="77"/>
      <c r="L23" s="78"/>
      <c r="P23" s="211" t="s">
        <v>54</v>
      </c>
      <c r="Q23" s="212"/>
      <c r="R23" s="77"/>
      <c r="S23" s="77"/>
      <c r="T23" s="77"/>
      <c r="U23" s="77"/>
      <c r="V23" s="77"/>
      <c r="W23" s="77"/>
      <c r="X23" s="77"/>
      <c r="Y23" s="77"/>
      <c r="Z23" s="77"/>
      <c r="AA23" s="78"/>
    </row>
    <row r="24" spans="1:27" ht="15.75" thickBot="1" x14ac:dyDescent="0.3">
      <c r="A24" s="205" t="s">
        <v>55</v>
      </c>
      <c r="B24" s="206"/>
      <c r="C24" s="8"/>
      <c r="D24" s="8"/>
      <c r="E24" s="8"/>
      <c r="F24" s="8"/>
      <c r="G24" s="8"/>
      <c r="H24" s="8"/>
      <c r="I24" s="8"/>
      <c r="J24" s="8"/>
      <c r="K24" s="8"/>
      <c r="L24" s="9"/>
      <c r="P24" s="205" t="s">
        <v>55</v>
      </c>
      <c r="Q24" s="206"/>
      <c r="R24" s="8"/>
      <c r="S24" s="8"/>
      <c r="T24" s="8"/>
      <c r="U24" s="8"/>
      <c r="V24" s="8"/>
      <c r="W24" s="8"/>
      <c r="X24" s="8"/>
      <c r="Y24" s="8"/>
      <c r="Z24" s="8"/>
      <c r="AA24" s="9"/>
    </row>
    <row r="25" spans="1:27" ht="15.75" thickBot="1" x14ac:dyDescent="0.3"/>
    <row r="26" spans="1:27" x14ac:dyDescent="0.25">
      <c r="A26" s="151" t="s">
        <v>93</v>
      </c>
      <c r="B26" s="152"/>
      <c r="C26" s="22"/>
      <c r="D26" s="22"/>
      <c r="E26" s="22"/>
      <c r="F26" s="22"/>
      <c r="G26" s="22"/>
      <c r="H26" s="22"/>
      <c r="I26" s="22"/>
      <c r="J26" s="22"/>
      <c r="K26" s="22"/>
      <c r="L26" s="26"/>
      <c r="O26" s="3"/>
      <c r="P26" s="151" t="s">
        <v>94</v>
      </c>
      <c r="Q26" s="152"/>
      <c r="R26" s="22"/>
      <c r="S26" s="22"/>
      <c r="T26" s="22"/>
      <c r="U26" s="22"/>
      <c r="V26" s="22"/>
      <c r="W26" s="22"/>
      <c r="X26" s="22"/>
      <c r="Y26" s="22"/>
      <c r="Z26" s="22"/>
      <c r="AA26" s="26"/>
    </row>
    <row r="27" spans="1:27" x14ac:dyDescent="0.25">
      <c r="A27" s="197"/>
      <c r="B27" s="198"/>
      <c r="C27" s="83" t="s">
        <v>74</v>
      </c>
      <c r="D27" s="83" t="s">
        <v>75</v>
      </c>
      <c r="E27" s="83" t="s">
        <v>76</v>
      </c>
      <c r="F27" s="83" t="s">
        <v>77</v>
      </c>
      <c r="G27" s="83" t="s">
        <v>78</v>
      </c>
      <c r="H27" s="83" t="s">
        <v>79</v>
      </c>
      <c r="I27" s="83" t="s">
        <v>80</v>
      </c>
      <c r="J27" s="83" t="s">
        <v>81</v>
      </c>
      <c r="K27" s="83" t="s">
        <v>82</v>
      </c>
      <c r="L27" s="74" t="s">
        <v>83</v>
      </c>
      <c r="O27" s="3"/>
      <c r="P27" s="197"/>
      <c r="Q27" s="198"/>
      <c r="R27" s="83" t="s">
        <v>74</v>
      </c>
      <c r="S27" s="83" t="s">
        <v>75</v>
      </c>
      <c r="T27" s="83" t="s">
        <v>76</v>
      </c>
      <c r="U27" s="83" t="s">
        <v>77</v>
      </c>
      <c r="V27" s="83" t="s">
        <v>78</v>
      </c>
      <c r="W27" s="83" t="s">
        <v>79</v>
      </c>
      <c r="X27" s="83" t="s">
        <v>80</v>
      </c>
      <c r="Y27" s="83" t="s">
        <v>81</v>
      </c>
      <c r="Z27" s="83" t="s">
        <v>82</v>
      </c>
      <c r="AA27" s="74" t="s">
        <v>83</v>
      </c>
    </row>
    <row r="28" spans="1:27" x14ac:dyDescent="0.25">
      <c r="A28" s="199" t="s">
        <v>0</v>
      </c>
      <c r="B28" s="200"/>
      <c r="C28" s="1"/>
      <c r="D28" s="1"/>
      <c r="E28" s="1"/>
      <c r="F28" s="1"/>
      <c r="G28" s="1"/>
      <c r="H28" s="1"/>
      <c r="I28" s="1"/>
      <c r="J28" s="1"/>
      <c r="K28" s="1"/>
      <c r="L28" s="6"/>
      <c r="O28" s="3"/>
      <c r="P28" s="199" t="s">
        <v>0</v>
      </c>
      <c r="Q28" s="200"/>
      <c r="R28" s="1"/>
      <c r="S28" s="1"/>
      <c r="T28" s="1"/>
      <c r="U28" s="1"/>
      <c r="V28" s="1"/>
      <c r="W28" s="1"/>
      <c r="X28" s="1"/>
      <c r="Y28" s="1"/>
      <c r="Z28" s="1"/>
      <c r="AA28" s="6"/>
    </row>
    <row r="29" spans="1:27" x14ac:dyDescent="0.25">
      <c r="A29" s="199" t="s">
        <v>91</v>
      </c>
      <c r="B29" s="200"/>
      <c r="C29" s="1"/>
      <c r="D29" s="1"/>
      <c r="E29" s="1"/>
      <c r="F29" s="1"/>
      <c r="G29" s="1"/>
      <c r="H29" s="1"/>
      <c r="I29" s="1"/>
      <c r="J29" s="1"/>
      <c r="K29" s="1"/>
      <c r="L29" s="6"/>
      <c r="O29" s="3"/>
      <c r="P29" s="199" t="s">
        <v>91</v>
      </c>
      <c r="Q29" s="200"/>
      <c r="R29" s="1"/>
      <c r="S29" s="1"/>
      <c r="T29" s="1"/>
      <c r="U29" s="1"/>
      <c r="V29" s="1"/>
      <c r="W29" s="1"/>
      <c r="X29" s="1"/>
      <c r="Y29" s="1"/>
      <c r="Z29" s="1"/>
      <c r="AA29" s="6"/>
    </row>
    <row r="30" spans="1:27" x14ac:dyDescent="0.25">
      <c r="A30" s="199" t="s">
        <v>64</v>
      </c>
      <c r="B30" s="200"/>
      <c r="C30" s="1"/>
      <c r="D30" s="1"/>
      <c r="E30" s="1"/>
      <c r="F30" s="1"/>
      <c r="G30" s="1"/>
      <c r="H30" s="1"/>
      <c r="I30" s="1"/>
      <c r="J30" s="1"/>
      <c r="K30" s="1"/>
      <c r="L30" s="6"/>
      <c r="O30" s="3"/>
      <c r="P30" s="199" t="s">
        <v>64</v>
      </c>
      <c r="Q30" s="200"/>
      <c r="R30" s="1"/>
      <c r="S30" s="1"/>
      <c r="T30" s="1"/>
      <c r="U30" s="1"/>
      <c r="V30" s="1"/>
      <c r="W30" s="1"/>
      <c r="X30" s="1"/>
      <c r="Y30" s="1"/>
      <c r="Z30" s="1"/>
      <c r="AA30" s="6"/>
    </row>
    <row r="31" spans="1:27" x14ac:dyDescent="0.25">
      <c r="A31" s="199" t="s">
        <v>65</v>
      </c>
      <c r="B31" s="200"/>
      <c r="C31" s="1"/>
      <c r="D31" s="1"/>
      <c r="E31" s="1"/>
      <c r="F31" s="1"/>
      <c r="G31" s="1"/>
      <c r="H31" s="1"/>
      <c r="I31" s="1"/>
      <c r="J31" s="1"/>
      <c r="K31" s="1"/>
      <c r="L31" s="6"/>
      <c r="O31" s="3"/>
      <c r="P31" s="199" t="s">
        <v>65</v>
      </c>
      <c r="Q31" s="200"/>
      <c r="R31" s="1"/>
      <c r="S31" s="1"/>
      <c r="T31" s="1"/>
      <c r="U31" s="1"/>
      <c r="V31" s="1"/>
      <c r="W31" s="1"/>
      <c r="X31" s="1"/>
      <c r="Y31" s="1"/>
      <c r="Z31" s="1"/>
      <c r="AA31" s="6"/>
    </row>
    <row r="32" spans="1:27" ht="15.75" thickBot="1" x14ac:dyDescent="0.3">
      <c r="A32" s="195" t="s">
        <v>92</v>
      </c>
      <c r="B32" s="201"/>
      <c r="C32" s="8"/>
      <c r="D32" s="8"/>
      <c r="E32" s="8"/>
      <c r="F32" s="8"/>
      <c r="G32" s="8"/>
      <c r="H32" s="8"/>
      <c r="I32" s="8"/>
      <c r="J32" s="8"/>
      <c r="K32" s="8"/>
      <c r="L32" s="9"/>
      <c r="O32" s="3"/>
      <c r="P32" s="195" t="s">
        <v>92</v>
      </c>
      <c r="Q32" s="201"/>
      <c r="R32" s="8"/>
      <c r="S32" s="8"/>
      <c r="T32" s="8"/>
      <c r="U32" s="8"/>
      <c r="V32" s="8"/>
      <c r="W32" s="8"/>
      <c r="X32" s="8"/>
      <c r="Y32" s="8"/>
      <c r="Z32" s="8"/>
      <c r="AA32" s="9"/>
    </row>
    <row r="33" spans="15:15" x14ac:dyDescent="0.25">
      <c r="O33" s="3"/>
    </row>
    <row r="34" spans="15:15" x14ac:dyDescent="0.25">
      <c r="O34" s="3"/>
    </row>
    <row r="35" spans="15:15" x14ac:dyDescent="0.25">
      <c r="O35" s="3"/>
    </row>
    <row r="36" spans="15:15" x14ac:dyDescent="0.25">
      <c r="O36" s="3"/>
    </row>
    <row r="37" spans="15:15" x14ac:dyDescent="0.25">
      <c r="O37" s="3"/>
    </row>
    <row r="38" spans="15:15" x14ac:dyDescent="0.25">
      <c r="O38" s="3"/>
    </row>
    <row r="39" spans="15:15" x14ac:dyDescent="0.25">
      <c r="O39" s="3"/>
    </row>
    <row r="40" spans="15:15" x14ac:dyDescent="0.25">
      <c r="O40" s="3"/>
    </row>
  </sheetData>
  <mergeCells count="62"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24:B24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P12:Q12"/>
    <mergeCell ref="P1:Q1"/>
    <mergeCell ref="P2:Q2"/>
    <mergeCell ref="P3:Q3"/>
    <mergeCell ref="P4:Q4"/>
    <mergeCell ref="P5:Q5"/>
    <mergeCell ref="P6:Q6"/>
    <mergeCell ref="P7:Q7"/>
    <mergeCell ref="P8:Q8"/>
    <mergeCell ref="P9:Q9"/>
    <mergeCell ref="P10:Q10"/>
    <mergeCell ref="P11:Q11"/>
    <mergeCell ref="P24:Q24"/>
    <mergeCell ref="P13:Q13"/>
    <mergeCell ref="P14:Q14"/>
    <mergeCell ref="P15:Q15"/>
    <mergeCell ref="P16:Q16"/>
    <mergeCell ref="P17:Q17"/>
    <mergeCell ref="P18:Q18"/>
    <mergeCell ref="P19:Q19"/>
    <mergeCell ref="P20:Q20"/>
    <mergeCell ref="P21:Q21"/>
    <mergeCell ref="P22:Q22"/>
    <mergeCell ref="P23:Q23"/>
    <mergeCell ref="A32:B32"/>
    <mergeCell ref="P26:Q26"/>
    <mergeCell ref="P27:Q27"/>
    <mergeCell ref="P28:Q28"/>
    <mergeCell ref="P29:Q29"/>
    <mergeCell ref="P30:Q30"/>
    <mergeCell ref="P31:Q31"/>
    <mergeCell ref="P32:Q32"/>
    <mergeCell ref="A26:B26"/>
    <mergeCell ref="A27:B27"/>
    <mergeCell ref="A28:B28"/>
    <mergeCell ref="A29:B29"/>
    <mergeCell ref="A30:B30"/>
    <mergeCell ref="A31:B3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5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6" sqref="L6"/>
    </sheetView>
  </sheetViews>
  <sheetFormatPr defaultRowHeight="15" x14ac:dyDescent="0.25"/>
  <cols>
    <col min="1" max="1" width="7.28515625" style="21" bestFit="1" customWidth="1"/>
    <col min="2" max="2" width="9.140625" style="140"/>
    <col min="3" max="18" width="9.140625" style="21"/>
    <col min="19" max="16384" width="9.140625" style="3"/>
  </cols>
  <sheetData>
    <row r="1" spans="1:21" s="84" customFormat="1" ht="15.75" thickBot="1" x14ac:dyDescent="0.3">
      <c r="A1" s="124" t="s">
        <v>17</v>
      </c>
      <c r="B1" s="124" t="s">
        <v>110</v>
      </c>
      <c r="C1" s="125" t="s">
        <v>135</v>
      </c>
      <c r="D1" s="125" t="s">
        <v>109</v>
      </c>
      <c r="E1" s="125" t="s">
        <v>108</v>
      </c>
      <c r="F1" s="125" t="s">
        <v>107</v>
      </c>
      <c r="G1" s="125" t="s">
        <v>106</v>
      </c>
      <c r="H1" s="125" t="s">
        <v>105</v>
      </c>
      <c r="I1" s="125" t="s">
        <v>104</v>
      </c>
      <c r="J1" s="125" t="s">
        <v>103</v>
      </c>
      <c r="K1" s="125" t="s">
        <v>102</v>
      </c>
      <c r="L1" s="125" t="s">
        <v>101</v>
      </c>
      <c r="M1" s="125" t="s">
        <v>100</v>
      </c>
      <c r="N1" s="125" t="s">
        <v>99</v>
      </c>
      <c r="O1" s="125" t="s">
        <v>98</v>
      </c>
      <c r="P1" s="125" t="s">
        <v>97</v>
      </c>
      <c r="Q1" s="126" t="s">
        <v>114</v>
      </c>
      <c r="R1" s="127" t="s">
        <v>140</v>
      </c>
    </row>
    <row r="2" spans="1:21" ht="21" x14ac:dyDescent="0.25">
      <c r="A2" s="110">
        <v>27</v>
      </c>
      <c r="B2" s="129" t="e">
        <f xml:space="preserve"> 0.45 * C2 + 0.45 * D2 * E2 + 0.1 * F2</f>
        <v>#DIV/0!</v>
      </c>
      <c r="C2" s="130">
        <f>'Total Values'!AA4/Q2</f>
        <v>0</v>
      </c>
      <c r="D2" s="131">
        <f xml:space="preserve"> L2/M2</f>
        <v>1.5</v>
      </c>
      <c r="E2" s="131" t="e">
        <f xml:space="preserve">  (G2 * ((H2/I2) * 100)) + ((1-G2) * ((J2/K2) * 100))</f>
        <v>#DIV/0!</v>
      </c>
      <c r="F2" s="131">
        <f xml:space="preserve"> 0.4 * N2 + 0.3 * O2 + 0.3 * P2</f>
        <v>0</v>
      </c>
      <c r="G2" s="132" t="s">
        <v>113</v>
      </c>
      <c r="H2" s="131">
        <f>'Total Values'!K4</f>
        <v>0</v>
      </c>
      <c r="I2" s="131">
        <f>'Total Values'!AK4</f>
        <v>0</v>
      </c>
      <c r="J2" s="131">
        <f>'Total Values'!L4</f>
        <v>0</v>
      </c>
      <c r="K2" s="131">
        <f>'Total Values'!AL4</f>
        <v>0</v>
      </c>
      <c r="L2" s="131">
        <f>(('Total Values'!AC4 /Q2) * 60) + 75</f>
        <v>75</v>
      </c>
      <c r="M2" s="131">
        <v>50</v>
      </c>
      <c r="N2" s="131">
        <v>0</v>
      </c>
      <c r="O2" s="131">
        <v>0</v>
      </c>
      <c r="P2" s="131">
        <f>'Total Values'!V4</f>
        <v>0</v>
      </c>
      <c r="Q2" s="133">
        <v>1</v>
      </c>
      <c r="R2" s="128"/>
    </row>
    <row r="3" spans="1:21" ht="21" x14ac:dyDescent="0.25">
      <c r="A3" s="110">
        <v>269</v>
      </c>
      <c r="B3" s="129" t="e">
        <f t="shared" ref="B3:B56" si="0" xml:space="preserve"> 0.45 * C3 + 0.45 * D3 * E3 + 0.1 * F3</f>
        <v>#DIV/0!</v>
      </c>
      <c r="C3" s="109">
        <f>'Total Values'!AA5/Q3</f>
        <v>0</v>
      </c>
      <c r="D3" s="108">
        <f t="shared" ref="D3:D56" si="1" xml:space="preserve"> L3/M3</f>
        <v>1.5</v>
      </c>
      <c r="E3" s="108" t="e">
        <f xml:space="preserve">  (G3 * ((H3/I3) * 100)) + ((1-G3) * ((J3/K3) * 100))</f>
        <v>#DIV/0!</v>
      </c>
      <c r="F3" s="108">
        <f t="shared" ref="F3:F56" si="2" xml:space="preserve"> 0.4 * N3 + 0.3 * O3 + 0.3 * P3</f>
        <v>0</v>
      </c>
      <c r="G3" s="134" t="s">
        <v>113</v>
      </c>
      <c r="H3" s="108">
        <f>'Total Values'!K5</f>
        <v>0</v>
      </c>
      <c r="I3" s="108">
        <f>'Total Values'!AK5</f>
        <v>0</v>
      </c>
      <c r="J3" s="108">
        <f>'Total Values'!L5</f>
        <v>0</v>
      </c>
      <c r="K3" s="108">
        <f>'Total Values'!AL5</f>
        <v>0</v>
      </c>
      <c r="L3" s="131">
        <f>(('Total Values'!AC5 /Q3) * 60) + 75</f>
        <v>75</v>
      </c>
      <c r="M3" s="108">
        <v>50</v>
      </c>
      <c r="N3" s="108">
        <f>'Total Values'!S5</f>
        <v>0</v>
      </c>
      <c r="O3" s="108">
        <f>'Total Values'!T5</f>
        <v>0</v>
      </c>
      <c r="P3" s="108">
        <f>'Total Values'!U5</f>
        <v>0</v>
      </c>
      <c r="Q3" s="135">
        <v>1</v>
      </c>
      <c r="R3" s="128"/>
    </row>
    <row r="4" spans="1:21" ht="21" x14ac:dyDescent="0.25">
      <c r="A4" s="110">
        <v>359</v>
      </c>
      <c r="B4" s="129" t="e">
        <f t="shared" si="0"/>
        <v>#DIV/0!</v>
      </c>
      <c r="C4" s="109">
        <f>'Total Values'!AA6/Q4</f>
        <v>0</v>
      </c>
      <c r="D4" s="108">
        <f t="shared" si="1"/>
        <v>1.5</v>
      </c>
      <c r="E4" s="108" t="e">
        <f xml:space="preserve">  (G4 * ((H4/I4) * 100)) + ((1-G4) * ((J4/K4) * 100))</f>
        <v>#DIV/0!</v>
      </c>
      <c r="F4" s="108">
        <f t="shared" si="2"/>
        <v>0</v>
      </c>
      <c r="G4" s="134" t="s">
        <v>113</v>
      </c>
      <c r="H4" s="108">
        <f>'Total Values'!K6</f>
        <v>0</v>
      </c>
      <c r="I4" s="108">
        <f>'Total Values'!AK6</f>
        <v>0</v>
      </c>
      <c r="J4" s="108">
        <f>'Total Values'!L6</f>
        <v>0</v>
      </c>
      <c r="K4" s="108">
        <f>'Total Values'!AL6</f>
        <v>0</v>
      </c>
      <c r="L4" s="131">
        <f>(('Total Values'!AC6 /Q4) * 60) + 75</f>
        <v>75</v>
      </c>
      <c r="M4" s="108">
        <v>50</v>
      </c>
      <c r="N4" s="108">
        <f>'Total Values'!S6</f>
        <v>0</v>
      </c>
      <c r="O4" s="108">
        <f>'Total Values'!T6</f>
        <v>0</v>
      </c>
      <c r="P4" s="108">
        <f>'Total Values'!U6</f>
        <v>0</v>
      </c>
      <c r="Q4" s="135">
        <v>1</v>
      </c>
      <c r="R4" s="128"/>
    </row>
    <row r="5" spans="1:21" ht="21" x14ac:dyDescent="0.25">
      <c r="A5" s="110">
        <v>876</v>
      </c>
      <c r="B5" s="129" t="e">
        <f t="shared" si="0"/>
        <v>#DIV/0!</v>
      </c>
      <c r="C5" s="109">
        <f>'Total Values'!AA7/Q5</f>
        <v>0</v>
      </c>
      <c r="D5" s="108">
        <f t="shared" si="1"/>
        <v>1.5</v>
      </c>
      <c r="E5" s="108" t="e">
        <f t="shared" ref="E5:E56" si="3" xml:space="preserve">  (G5 * ((H5/I5) * 100)) + ((1-G5) * ((J5/K5) * 100))</f>
        <v>#DIV/0!</v>
      </c>
      <c r="F5" s="108">
        <f t="shared" si="2"/>
        <v>0</v>
      </c>
      <c r="G5" s="134" t="s">
        <v>113</v>
      </c>
      <c r="H5" s="108">
        <f>'Total Values'!K7</f>
        <v>0</v>
      </c>
      <c r="I5" s="108">
        <f>'Total Values'!AK7</f>
        <v>0</v>
      </c>
      <c r="J5" s="108">
        <f>'Total Values'!L7</f>
        <v>0</v>
      </c>
      <c r="K5" s="108">
        <f>'Total Values'!AL7</f>
        <v>0</v>
      </c>
      <c r="L5" s="131">
        <f>(('Total Values'!AC7 /Q5) * 60) + 75</f>
        <v>75</v>
      </c>
      <c r="M5" s="108">
        <v>50</v>
      </c>
      <c r="N5" s="108">
        <f>'Total Values'!S7</f>
        <v>0</v>
      </c>
      <c r="O5" s="108">
        <f>'Total Values'!T7</f>
        <v>0</v>
      </c>
      <c r="P5" s="108">
        <f>'Total Values'!U7</f>
        <v>0</v>
      </c>
      <c r="Q5" s="135">
        <v>1</v>
      </c>
      <c r="R5" s="128"/>
      <c r="U5" s="3" t="s">
        <v>120</v>
      </c>
    </row>
    <row r="6" spans="1:21" ht="21" x14ac:dyDescent="0.25">
      <c r="A6" s="110">
        <v>877</v>
      </c>
      <c r="B6" s="129" t="e">
        <f t="shared" si="0"/>
        <v>#DIV/0!</v>
      </c>
      <c r="C6" s="109">
        <f>'Total Values'!AA8/Q6</f>
        <v>0</v>
      </c>
      <c r="D6" s="108">
        <f t="shared" si="1"/>
        <v>1.5</v>
      </c>
      <c r="E6" s="108" t="e">
        <f t="shared" si="3"/>
        <v>#DIV/0!</v>
      </c>
      <c r="F6" s="108">
        <f t="shared" si="2"/>
        <v>0</v>
      </c>
      <c r="G6" s="134" t="s">
        <v>113</v>
      </c>
      <c r="H6" s="108">
        <f>'Total Values'!K8</f>
        <v>0</v>
      </c>
      <c r="I6" s="108">
        <f>'Total Values'!AK8</f>
        <v>0</v>
      </c>
      <c r="J6" s="108">
        <f>'Total Values'!L8</f>
        <v>0</v>
      </c>
      <c r="K6" s="108">
        <f>'Total Values'!AL8</f>
        <v>0</v>
      </c>
      <c r="L6" s="131">
        <f>(('Total Values'!AC8 /Q6) * 60) + 75</f>
        <v>75</v>
      </c>
      <c r="M6" s="108">
        <v>50</v>
      </c>
      <c r="N6" s="108">
        <f>'Total Values'!S8</f>
        <v>0</v>
      </c>
      <c r="O6" s="108">
        <f>'Total Values'!T8</f>
        <v>0</v>
      </c>
      <c r="P6" s="108">
        <f>'Total Values'!U8</f>
        <v>0</v>
      </c>
      <c r="Q6" s="135">
        <v>1</v>
      </c>
      <c r="R6" s="128"/>
      <c r="U6" s="3" t="s">
        <v>136</v>
      </c>
    </row>
    <row r="7" spans="1:21" ht="21" x14ac:dyDescent="0.25">
      <c r="A7" s="110">
        <v>1259</v>
      </c>
      <c r="B7" s="129" t="e">
        <f t="shared" si="0"/>
        <v>#DIV/0!</v>
      </c>
      <c r="C7" s="109">
        <f>'Total Values'!AA9/Q7</f>
        <v>0</v>
      </c>
      <c r="D7" s="108">
        <f t="shared" si="1"/>
        <v>1.5</v>
      </c>
      <c r="E7" s="108" t="e">
        <f t="shared" si="3"/>
        <v>#DIV/0!</v>
      </c>
      <c r="F7" s="108">
        <f t="shared" si="2"/>
        <v>0</v>
      </c>
      <c r="G7" s="134" t="s">
        <v>113</v>
      </c>
      <c r="H7" s="108">
        <f>'Total Values'!K9</f>
        <v>0</v>
      </c>
      <c r="I7" s="108">
        <f>'Total Values'!AK9</f>
        <v>0</v>
      </c>
      <c r="J7" s="108">
        <f>'Total Values'!L9</f>
        <v>0</v>
      </c>
      <c r="K7" s="108">
        <f>'Total Values'!AL9</f>
        <v>0</v>
      </c>
      <c r="L7" s="131">
        <f>(('Total Values'!AC9 /Q7) * 60) + 75</f>
        <v>75</v>
      </c>
      <c r="M7" s="108">
        <v>50</v>
      </c>
      <c r="N7" s="108">
        <f>'Total Values'!S9</f>
        <v>0</v>
      </c>
      <c r="O7" s="108">
        <f>'Total Values'!T9</f>
        <v>0</v>
      </c>
      <c r="P7" s="108">
        <f>'Total Values'!U9</f>
        <v>0</v>
      </c>
      <c r="Q7" s="135">
        <v>1</v>
      </c>
      <c r="R7" s="128"/>
      <c r="U7" s="3" t="s">
        <v>121</v>
      </c>
    </row>
    <row r="8" spans="1:21" ht="21" x14ac:dyDescent="0.25">
      <c r="A8" s="110">
        <v>1716</v>
      </c>
      <c r="B8" s="129" t="e">
        <f t="shared" si="0"/>
        <v>#DIV/0!</v>
      </c>
      <c r="C8" s="109">
        <f>'Total Values'!AA10/Q8</f>
        <v>0</v>
      </c>
      <c r="D8" s="108">
        <f t="shared" si="1"/>
        <v>1.5</v>
      </c>
      <c r="E8" s="108" t="e">
        <f t="shared" si="3"/>
        <v>#DIV/0!</v>
      </c>
      <c r="F8" s="108">
        <f t="shared" si="2"/>
        <v>0.3</v>
      </c>
      <c r="G8" s="134" t="s">
        <v>113</v>
      </c>
      <c r="H8" s="108">
        <f>'Total Values'!K10</f>
        <v>0</v>
      </c>
      <c r="I8" s="108">
        <f>'Total Values'!AK10</f>
        <v>0</v>
      </c>
      <c r="J8" s="108">
        <f>'Total Values'!L10</f>
        <v>0</v>
      </c>
      <c r="K8" s="108">
        <f>'Total Values'!AL10</f>
        <v>0</v>
      </c>
      <c r="L8" s="131">
        <f>(('Total Values'!AC10 /Q8) * 60) + 75</f>
        <v>75</v>
      </c>
      <c r="M8" s="108">
        <v>50</v>
      </c>
      <c r="N8" s="108">
        <f>'Total Values'!S10</f>
        <v>0</v>
      </c>
      <c r="O8" s="108">
        <f>'Total Values'!T10</f>
        <v>1</v>
      </c>
      <c r="P8" s="108">
        <f>'Total Values'!U10</f>
        <v>0</v>
      </c>
      <c r="Q8" s="135">
        <v>1</v>
      </c>
      <c r="R8" s="128"/>
      <c r="U8" s="3" t="s">
        <v>122</v>
      </c>
    </row>
    <row r="9" spans="1:21" ht="21" x14ac:dyDescent="0.25">
      <c r="A9" s="110">
        <v>1781</v>
      </c>
      <c r="B9" s="129" t="e">
        <f t="shared" si="0"/>
        <v>#DIV/0!</v>
      </c>
      <c r="C9" s="109">
        <f>'Total Values'!AA11/Q9</f>
        <v>0</v>
      </c>
      <c r="D9" s="108">
        <f t="shared" si="1"/>
        <v>1.5</v>
      </c>
      <c r="E9" s="108" t="e">
        <f t="shared" si="3"/>
        <v>#DIV/0!</v>
      </c>
      <c r="F9" s="108">
        <f t="shared" si="2"/>
        <v>0</v>
      </c>
      <c r="G9" s="134" t="s">
        <v>113</v>
      </c>
      <c r="H9" s="108">
        <f>'Total Values'!K11</f>
        <v>0</v>
      </c>
      <c r="I9" s="108">
        <f>'Total Values'!AK11</f>
        <v>0</v>
      </c>
      <c r="J9" s="108">
        <f>'Total Values'!L11</f>
        <v>0</v>
      </c>
      <c r="K9" s="108">
        <f>'Total Values'!AL11</f>
        <v>0</v>
      </c>
      <c r="L9" s="131">
        <f>(('Total Values'!AC11 /Q9) * 60) + 75</f>
        <v>75</v>
      </c>
      <c r="M9" s="108">
        <v>50</v>
      </c>
      <c r="N9" s="108">
        <f>'Total Values'!S11</f>
        <v>0</v>
      </c>
      <c r="O9" s="108">
        <f>'Total Values'!T11</f>
        <v>0</v>
      </c>
      <c r="P9" s="108">
        <f>'Total Values'!U11</f>
        <v>0</v>
      </c>
      <c r="Q9" s="135">
        <v>1</v>
      </c>
      <c r="R9" s="128"/>
      <c r="U9" s="3" t="s">
        <v>123</v>
      </c>
    </row>
    <row r="10" spans="1:21" ht="21" x14ac:dyDescent="0.25">
      <c r="A10" s="110">
        <v>2175</v>
      </c>
      <c r="B10" s="129" t="e">
        <f t="shared" si="0"/>
        <v>#DIV/0!</v>
      </c>
      <c r="C10" s="109">
        <f>'Total Values'!AA12/Q10</f>
        <v>0</v>
      </c>
      <c r="D10" s="108">
        <f t="shared" si="1"/>
        <v>1.5</v>
      </c>
      <c r="E10" s="108" t="e">
        <f t="shared" si="3"/>
        <v>#DIV/0!</v>
      </c>
      <c r="F10" s="108">
        <f t="shared" si="2"/>
        <v>0</v>
      </c>
      <c r="G10" s="134" t="s">
        <v>113</v>
      </c>
      <c r="H10" s="108">
        <f>'Total Values'!K12</f>
        <v>0</v>
      </c>
      <c r="I10" s="108">
        <f>'Total Values'!AK12</f>
        <v>0</v>
      </c>
      <c r="J10" s="108">
        <f>'Total Values'!L12</f>
        <v>0</v>
      </c>
      <c r="K10" s="108">
        <f>'Total Values'!AL12</f>
        <v>0</v>
      </c>
      <c r="L10" s="131">
        <f>(('Total Values'!AC12 /Q10) * 60) + 75</f>
        <v>75</v>
      </c>
      <c r="M10" s="108">
        <v>50</v>
      </c>
      <c r="N10" s="108">
        <f>'Total Values'!S12</f>
        <v>0</v>
      </c>
      <c r="O10" s="108">
        <f>'Total Values'!T12</f>
        <v>0</v>
      </c>
      <c r="P10" s="108">
        <f>'Total Values'!U12</f>
        <v>0</v>
      </c>
      <c r="Q10" s="135">
        <v>1</v>
      </c>
      <c r="R10" s="128"/>
      <c r="U10" s="3" t="s">
        <v>124</v>
      </c>
    </row>
    <row r="11" spans="1:21" ht="21" x14ac:dyDescent="0.25">
      <c r="A11" s="110">
        <v>2220</v>
      </c>
      <c r="B11" s="129" t="e">
        <f t="shared" si="0"/>
        <v>#DIV/0!</v>
      </c>
      <c r="C11" s="109">
        <f>'Total Values'!AA13/Q11</f>
        <v>0</v>
      </c>
      <c r="D11" s="108">
        <f t="shared" si="1"/>
        <v>1.5</v>
      </c>
      <c r="E11" s="108" t="e">
        <f t="shared" si="3"/>
        <v>#DIV/0!</v>
      </c>
      <c r="F11" s="108">
        <f t="shared" si="2"/>
        <v>0</v>
      </c>
      <c r="G11" s="134" t="s">
        <v>113</v>
      </c>
      <c r="H11" s="108">
        <f>'Total Values'!K13</f>
        <v>0</v>
      </c>
      <c r="I11" s="108">
        <f>'Total Values'!AK13</f>
        <v>0</v>
      </c>
      <c r="J11" s="108">
        <f>'Total Values'!L13</f>
        <v>0</v>
      </c>
      <c r="K11" s="108">
        <f>'Total Values'!AL13</f>
        <v>0</v>
      </c>
      <c r="L11" s="131">
        <f>(('Total Values'!AC13 /Q11) * 60) + 75</f>
        <v>75</v>
      </c>
      <c r="M11" s="108">
        <v>50</v>
      </c>
      <c r="N11" s="108">
        <f>'Total Values'!S13</f>
        <v>0</v>
      </c>
      <c r="O11" s="108">
        <f>'Total Values'!T13</f>
        <v>0</v>
      </c>
      <c r="P11" s="108">
        <f>'Total Values'!U13</f>
        <v>0</v>
      </c>
      <c r="Q11" s="135">
        <v>1</v>
      </c>
      <c r="R11" s="128"/>
      <c r="U11" s="3" t="s">
        <v>125</v>
      </c>
    </row>
    <row r="12" spans="1:21" ht="21" x14ac:dyDescent="0.25">
      <c r="A12" s="110">
        <v>2491</v>
      </c>
      <c r="B12" s="129" t="e">
        <f t="shared" si="0"/>
        <v>#DIV/0!</v>
      </c>
      <c r="C12" s="109">
        <f>'Total Values'!AA14/Q12</f>
        <v>0</v>
      </c>
      <c r="D12" s="108">
        <f t="shared" si="1"/>
        <v>1.5</v>
      </c>
      <c r="E12" s="108" t="e">
        <f t="shared" si="3"/>
        <v>#DIV/0!</v>
      </c>
      <c r="F12" s="108">
        <f t="shared" si="2"/>
        <v>0</v>
      </c>
      <c r="G12" s="134" t="s">
        <v>113</v>
      </c>
      <c r="H12" s="108">
        <f>'Total Values'!K14</f>
        <v>0</v>
      </c>
      <c r="I12" s="108">
        <f>'Total Values'!AK14</f>
        <v>0</v>
      </c>
      <c r="J12" s="108">
        <f>'Total Values'!L14</f>
        <v>0</v>
      </c>
      <c r="K12" s="108">
        <f>'Total Values'!AL14</f>
        <v>0</v>
      </c>
      <c r="L12" s="131">
        <f>(('Total Values'!AC14 /Q12) * 60) + 75</f>
        <v>75</v>
      </c>
      <c r="M12" s="108">
        <v>50</v>
      </c>
      <c r="N12" s="108">
        <f>'Total Values'!S14</f>
        <v>0</v>
      </c>
      <c r="O12" s="108">
        <f>'Total Values'!T14</f>
        <v>0</v>
      </c>
      <c r="P12" s="108">
        <f>'Total Values'!U14</f>
        <v>0</v>
      </c>
      <c r="Q12" s="135">
        <v>1</v>
      </c>
      <c r="R12" s="128"/>
      <c r="U12" s="3" t="s">
        <v>126</v>
      </c>
    </row>
    <row r="13" spans="1:21" ht="21" x14ac:dyDescent="0.25">
      <c r="A13" s="110">
        <v>2500</v>
      </c>
      <c r="B13" s="129" t="e">
        <f t="shared" si="0"/>
        <v>#DIV/0!</v>
      </c>
      <c r="C13" s="109">
        <f>'Total Values'!AA15/Q13</f>
        <v>0</v>
      </c>
      <c r="D13" s="108">
        <f t="shared" si="1"/>
        <v>1.5</v>
      </c>
      <c r="E13" s="108" t="e">
        <f t="shared" si="3"/>
        <v>#DIV/0!</v>
      </c>
      <c r="F13" s="108">
        <f t="shared" si="2"/>
        <v>0</v>
      </c>
      <c r="G13" s="134" t="s">
        <v>113</v>
      </c>
      <c r="H13" s="108">
        <f>'Total Values'!K15</f>
        <v>0</v>
      </c>
      <c r="I13" s="108">
        <f>'Total Values'!AK15</f>
        <v>0</v>
      </c>
      <c r="J13" s="108">
        <f>'Total Values'!L15</f>
        <v>0</v>
      </c>
      <c r="K13" s="108">
        <f>'Total Values'!AL15</f>
        <v>0</v>
      </c>
      <c r="L13" s="131">
        <f>(('Total Values'!AC15 /Q13) * 60) + 75</f>
        <v>75</v>
      </c>
      <c r="M13" s="108">
        <v>50</v>
      </c>
      <c r="N13" s="108">
        <f>'Total Values'!S15</f>
        <v>0</v>
      </c>
      <c r="O13" s="108">
        <f>'Total Values'!T15</f>
        <v>0</v>
      </c>
      <c r="P13" s="108">
        <f>'Total Values'!U15</f>
        <v>0</v>
      </c>
      <c r="Q13" s="135">
        <v>1</v>
      </c>
      <c r="R13" s="128"/>
      <c r="U13" s="3" t="s">
        <v>127</v>
      </c>
    </row>
    <row r="14" spans="1:21" ht="21" x14ac:dyDescent="0.25">
      <c r="A14" s="110">
        <v>2502</v>
      </c>
      <c r="B14" s="129" t="e">
        <f t="shared" si="0"/>
        <v>#DIV/0!</v>
      </c>
      <c r="C14" s="109">
        <f>'Total Values'!AA16/Q14</f>
        <v>0</v>
      </c>
      <c r="D14" s="108">
        <f t="shared" si="1"/>
        <v>1.5</v>
      </c>
      <c r="E14" s="108" t="e">
        <f t="shared" si="3"/>
        <v>#DIV/0!</v>
      </c>
      <c r="F14" s="108">
        <f t="shared" si="2"/>
        <v>0</v>
      </c>
      <c r="G14" s="134" t="s">
        <v>113</v>
      </c>
      <c r="H14" s="108">
        <f>'Total Values'!K16</f>
        <v>0</v>
      </c>
      <c r="I14" s="108">
        <f>'Total Values'!AK16</f>
        <v>0</v>
      </c>
      <c r="J14" s="108">
        <f>'Total Values'!L16</f>
        <v>0</v>
      </c>
      <c r="K14" s="108">
        <f>'Total Values'!AL16</f>
        <v>0</v>
      </c>
      <c r="L14" s="131">
        <f>(('Total Values'!AC16 /Q14) * 60) + 75</f>
        <v>75</v>
      </c>
      <c r="M14" s="108">
        <v>50</v>
      </c>
      <c r="N14" s="108">
        <f>'Total Values'!S16</f>
        <v>0</v>
      </c>
      <c r="O14" s="108">
        <f>'Total Values'!T16</f>
        <v>0</v>
      </c>
      <c r="P14" s="108">
        <f>'Total Values'!U16</f>
        <v>0</v>
      </c>
      <c r="Q14" s="135">
        <v>1</v>
      </c>
      <c r="R14" s="128"/>
      <c r="U14" s="3" t="s">
        <v>128</v>
      </c>
    </row>
    <row r="15" spans="1:21" ht="21" x14ac:dyDescent="0.25">
      <c r="A15" s="110">
        <v>2506</v>
      </c>
      <c r="B15" s="129" t="e">
        <f t="shared" si="0"/>
        <v>#DIV/0!</v>
      </c>
      <c r="C15" s="109">
        <f>'Total Values'!AA17/Q15</f>
        <v>0</v>
      </c>
      <c r="D15" s="108">
        <f t="shared" si="1"/>
        <v>1.5</v>
      </c>
      <c r="E15" s="108" t="e">
        <f t="shared" si="3"/>
        <v>#DIV/0!</v>
      </c>
      <c r="F15" s="108">
        <f t="shared" si="2"/>
        <v>0</v>
      </c>
      <c r="G15" s="134" t="s">
        <v>113</v>
      </c>
      <c r="H15" s="108">
        <f>'Total Values'!K17</f>
        <v>0</v>
      </c>
      <c r="I15" s="108">
        <f>'Total Values'!AK17</f>
        <v>0</v>
      </c>
      <c r="J15" s="108">
        <f>'Total Values'!L17</f>
        <v>0</v>
      </c>
      <c r="K15" s="108">
        <f>'Total Values'!AL17</f>
        <v>0</v>
      </c>
      <c r="L15" s="131">
        <f>(('Total Values'!AC17 /Q15) * 60) + 75</f>
        <v>75</v>
      </c>
      <c r="M15" s="108">
        <v>50</v>
      </c>
      <c r="N15" s="108">
        <f>'Total Values'!S17</f>
        <v>0</v>
      </c>
      <c r="O15" s="108">
        <f>'Total Values'!T17</f>
        <v>0</v>
      </c>
      <c r="P15" s="108">
        <f>'Total Values'!U17</f>
        <v>0</v>
      </c>
      <c r="Q15" s="135">
        <v>1</v>
      </c>
      <c r="R15" s="128"/>
      <c r="U15" s="3" t="s">
        <v>130</v>
      </c>
    </row>
    <row r="16" spans="1:21" ht="21" x14ac:dyDescent="0.25">
      <c r="A16" s="110">
        <v>2512</v>
      </c>
      <c r="B16" s="129" t="e">
        <f t="shared" si="0"/>
        <v>#DIV/0!</v>
      </c>
      <c r="C16" s="109">
        <f>'Total Values'!AA18/Q16</f>
        <v>0</v>
      </c>
      <c r="D16" s="108">
        <f t="shared" si="1"/>
        <v>1.5</v>
      </c>
      <c r="E16" s="108" t="e">
        <f t="shared" si="3"/>
        <v>#DIV/0!</v>
      </c>
      <c r="F16" s="108">
        <f t="shared" si="2"/>
        <v>0</v>
      </c>
      <c r="G16" s="134" t="s">
        <v>113</v>
      </c>
      <c r="H16" s="108">
        <f>'Total Values'!K18</f>
        <v>0</v>
      </c>
      <c r="I16" s="108">
        <f>'Total Values'!AK18</f>
        <v>0</v>
      </c>
      <c r="J16" s="108">
        <f>'Total Values'!L18</f>
        <v>0</v>
      </c>
      <c r="K16" s="108">
        <f>'Total Values'!AL18</f>
        <v>0</v>
      </c>
      <c r="L16" s="131">
        <f>(('Total Values'!AC18 /Q16) * 60) + 75</f>
        <v>75</v>
      </c>
      <c r="M16" s="108">
        <v>50</v>
      </c>
      <c r="N16" s="108">
        <f>'Total Values'!S18</f>
        <v>0</v>
      </c>
      <c r="O16" s="108">
        <f>'Total Values'!T18</f>
        <v>0</v>
      </c>
      <c r="P16" s="108">
        <f>'Total Values'!U18</f>
        <v>0</v>
      </c>
      <c r="Q16" s="135">
        <v>1</v>
      </c>
      <c r="R16" s="128"/>
      <c r="U16" s="3" t="s">
        <v>129</v>
      </c>
    </row>
    <row r="17" spans="1:21" ht="21" x14ac:dyDescent="0.25">
      <c r="A17" s="110">
        <v>2518</v>
      </c>
      <c r="B17" s="129" t="e">
        <f t="shared" si="0"/>
        <v>#DIV/0!</v>
      </c>
      <c r="C17" s="109">
        <f>'Total Values'!AA19/Q17</f>
        <v>0</v>
      </c>
      <c r="D17" s="108">
        <f t="shared" si="1"/>
        <v>1.5</v>
      </c>
      <c r="E17" s="108" t="e">
        <f t="shared" si="3"/>
        <v>#DIV/0!</v>
      </c>
      <c r="F17" s="108">
        <f t="shared" si="2"/>
        <v>0</v>
      </c>
      <c r="G17" s="134" t="s">
        <v>113</v>
      </c>
      <c r="H17" s="108">
        <f>'Total Values'!K19</f>
        <v>0</v>
      </c>
      <c r="I17" s="108">
        <f>'Total Values'!AK19</f>
        <v>0</v>
      </c>
      <c r="J17" s="108">
        <f>'Total Values'!L19</f>
        <v>0</v>
      </c>
      <c r="K17" s="108">
        <f>'Total Values'!AL19</f>
        <v>0</v>
      </c>
      <c r="L17" s="131">
        <f>(('Total Values'!AC19 /Q17) * 60) + 75</f>
        <v>75</v>
      </c>
      <c r="M17" s="108">
        <v>50</v>
      </c>
      <c r="N17" s="108">
        <f>'Total Values'!S19</f>
        <v>0</v>
      </c>
      <c r="O17" s="108">
        <f>'Total Values'!T19</f>
        <v>0</v>
      </c>
      <c r="P17" s="108">
        <f>'Total Values'!U19</f>
        <v>0</v>
      </c>
      <c r="Q17" s="135">
        <v>1</v>
      </c>
      <c r="R17" s="128"/>
      <c r="U17" s="3" t="s">
        <v>131</v>
      </c>
    </row>
    <row r="18" spans="1:21" ht="21" x14ac:dyDescent="0.25">
      <c r="A18" s="110">
        <v>2538</v>
      </c>
      <c r="B18" s="129" t="e">
        <f t="shared" si="0"/>
        <v>#DIV/0!</v>
      </c>
      <c r="C18" s="109">
        <f>'Total Values'!AA20/Q18</f>
        <v>0</v>
      </c>
      <c r="D18" s="108">
        <f t="shared" si="1"/>
        <v>1.5</v>
      </c>
      <c r="E18" s="108" t="e">
        <f t="shared" si="3"/>
        <v>#DIV/0!</v>
      </c>
      <c r="F18" s="108">
        <f t="shared" si="2"/>
        <v>0</v>
      </c>
      <c r="G18" s="134" t="s">
        <v>113</v>
      </c>
      <c r="H18" s="108">
        <f>'Total Values'!K20</f>
        <v>0</v>
      </c>
      <c r="I18" s="108">
        <f>'Total Values'!AK20</f>
        <v>0</v>
      </c>
      <c r="J18" s="108">
        <f>'Total Values'!L20</f>
        <v>0</v>
      </c>
      <c r="K18" s="108">
        <f>'Total Values'!AL20</f>
        <v>0</v>
      </c>
      <c r="L18" s="131">
        <f>(('Total Values'!AC20 /Q18) * 60) + 75</f>
        <v>75</v>
      </c>
      <c r="M18" s="108">
        <v>50</v>
      </c>
      <c r="N18" s="108">
        <f>'Total Values'!S20</f>
        <v>0</v>
      </c>
      <c r="O18" s="108">
        <f>'Total Values'!T20</f>
        <v>0</v>
      </c>
      <c r="P18" s="108">
        <f>'Total Values'!U20</f>
        <v>0</v>
      </c>
      <c r="Q18" s="135">
        <v>1</v>
      </c>
      <c r="R18" s="128"/>
      <c r="U18" s="3" t="s">
        <v>132</v>
      </c>
    </row>
    <row r="19" spans="1:21" ht="21" x14ac:dyDescent="0.25">
      <c r="A19" s="110">
        <v>2574</v>
      </c>
      <c r="B19" s="129" t="e">
        <f t="shared" si="0"/>
        <v>#DIV/0!</v>
      </c>
      <c r="C19" s="109">
        <f>'Total Values'!AA21/Q19</f>
        <v>0</v>
      </c>
      <c r="D19" s="108">
        <f t="shared" si="1"/>
        <v>1.5</v>
      </c>
      <c r="E19" s="108" t="e">
        <f t="shared" si="3"/>
        <v>#DIV/0!</v>
      </c>
      <c r="F19" s="108">
        <f t="shared" si="2"/>
        <v>0</v>
      </c>
      <c r="G19" s="134" t="s">
        <v>113</v>
      </c>
      <c r="H19" s="108">
        <f>'Total Values'!K21</f>
        <v>0</v>
      </c>
      <c r="I19" s="108">
        <f>'Total Values'!AK21</f>
        <v>0</v>
      </c>
      <c r="J19" s="108">
        <f>'Total Values'!L21</f>
        <v>0</v>
      </c>
      <c r="K19" s="108">
        <f>'Total Values'!AL21</f>
        <v>0</v>
      </c>
      <c r="L19" s="131">
        <f>(('Total Values'!AC21 /Q19) * 60) + 75</f>
        <v>75</v>
      </c>
      <c r="M19" s="108">
        <v>50</v>
      </c>
      <c r="N19" s="108">
        <f>'Total Values'!S21</f>
        <v>0</v>
      </c>
      <c r="O19" s="108">
        <f>'Total Values'!T21</f>
        <v>0</v>
      </c>
      <c r="P19" s="108">
        <f>'Total Values'!U21</f>
        <v>0</v>
      </c>
      <c r="Q19" s="135">
        <v>1</v>
      </c>
      <c r="R19" s="128"/>
      <c r="U19" s="3" t="s">
        <v>133</v>
      </c>
    </row>
    <row r="20" spans="1:21" ht="21" x14ac:dyDescent="0.25">
      <c r="A20" s="110">
        <v>2826</v>
      </c>
      <c r="B20" s="129" t="e">
        <f t="shared" si="0"/>
        <v>#DIV/0!</v>
      </c>
      <c r="C20" s="109">
        <f>'Total Values'!AA22/Q20</f>
        <v>0</v>
      </c>
      <c r="D20" s="108">
        <f t="shared" si="1"/>
        <v>1.5</v>
      </c>
      <c r="E20" s="108" t="e">
        <f t="shared" si="3"/>
        <v>#DIV/0!</v>
      </c>
      <c r="F20" s="108">
        <f t="shared" si="2"/>
        <v>0</v>
      </c>
      <c r="G20" s="134" t="s">
        <v>113</v>
      </c>
      <c r="H20" s="108">
        <f>'Total Values'!K22</f>
        <v>0</v>
      </c>
      <c r="I20" s="108">
        <f>'Total Values'!AK22</f>
        <v>0</v>
      </c>
      <c r="J20" s="108">
        <f>'Total Values'!L22</f>
        <v>0</v>
      </c>
      <c r="K20" s="108">
        <f>'Total Values'!AL22</f>
        <v>0</v>
      </c>
      <c r="L20" s="131">
        <f>(('Total Values'!AC22 /Q20) * 60) + 75</f>
        <v>75</v>
      </c>
      <c r="M20" s="108">
        <v>50</v>
      </c>
      <c r="N20" s="108">
        <f>'Total Values'!S22</f>
        <v>0</v>
      </c>
      <c r="O20" s="108">
        <f>'Total Values'!T22</f>
        <v>0</v>
      </c>
      <c r="P20" s="108">
        <f>'Total Values'!U22</f>
        <v>0</v>
      </c>
      <c r="Q20" s="135">
        <v>1</v>
      </c>
      <c r="R20" s="128"/>
      <c r="U20" s="3" t="s">
        <v>134</v>
      </c>
    </row>
    <row r="21" spans="1:21" ht="21" x14ac:dyDescent="0.25">
      <c r="A21" s="110">
        <v>2846</v>
      </c>
      <c r="B21" s="129" t="e">
        <f t="shared" si="0"/>
        <v>#DIV/0!</v>
      </c>
      <c r="C21" s="109">
        <f>'Total Values'!AA23/Q21</f>
        <v>0</v>
      </c>
      <c r="D21" s="108">
        <f t="shared" si="1"/>
        <v>1.5</v>
      </c>
      <c r="E21" s="108" t="e">
        <f t="shared" si="3"/>
        <v>#DIV/0!</v>
      </c>
      <c r="F21" s="108">
        <f t="shared" si="2"/>
        <v>0</v>
      </c>
      <c r="G21" s="134" t="s">
        <v>113</v>
      </c>
      <c r="H21" s="108">
        <f>'Total Values'!K23</f>
        <v>0</v>
      </c>
      <c r="I21" s="108">
        <f>'Total Values'!AK23</f>
        <v>0</v>
      </c>
      <c r="J21" s="108">
        <f>'Total Values'!L23</f>
        <v>0</v>
      </c>
      <c r="K21" s="108">
        <f>'Total Values'!AL23</f>
        <v>0</v>
      </c>
      <c r="L21" s="131">
        <f>(('Total Values'!AC23 /Q21) * 60) + 75</f>
        <v>75</v>
      </c>
      <c r="M21" s="108">
        <v>50</v>
      </c>
      <c r="N21" s="108">
        <f>'Total Values'!S23</f>
        <v>0</v>
      </c>
      <c r="O21" s="108">
        <f>'Total Values'!T23</f>
        <v>0</v>
      </c>
      <c r="P21" s="108">
        <f>'Total Values'!U23</f>
        <v>0</v>
      </c>
      <c r="Q21" s="135">
        <v>1</v>
      </c>
      <c r="R21" s="128"/>
    </row>
    <row r="22" spans="1:21" ht="21" x14ac:dyDescent="0.25">
      <c r="A22" s="110">
        <v>2883</v>
      </c>
      <c r="B22" s="129" t="e">
        <f t="shared" si="0"/>
        <v>#DIV/0!</v>
      </c>
      <c r="C22" s="109">
        <f>'Total Values'!AA24/Q22</f>
        <v>0</v>
      </c>
      <c r="D22" s="108">
        <f t="shared" si="1"/>
        <v>1.5</v>
      </c>
      <c r="E22" s="108" t="e">
        <f t="shared" si="3"/>
        <v>#DIV/0!</v>
      </c>
      <c r="F22" s="108">
        <f t="shared" si="2"/>
        <v>0</v>
      </c>
      <c r="G22" s="134" t="s">
        <v>113</v>
      </c>
      <c r="H22" s="108">
        <f>'Total Values'!K24</f>
        <v>0</v>
      </c>
      <c r="I22" s="108">
        <f>'Total Values'!AK24</f>
        <v>0</v>
      </c>
      <c r="J22" s="108">
        <f>'Total Values'!L24</f>
        <v>0</v>
      </c>
      <c r="K22" s="108">
        <f>'Total Values'!AL24</f>
        <v>0</v>
      </c>
      <c r="L22" s="131">
        <f>(('Total Values'!AC24 /Q22) * 60) + 75</f>
        <v>75</v>
      </c>
      <c r="M22" s="108">
        <v>50</v>
      </c>
      <c r="N22" s="108">
        <f>'Total Values'!S24</f>
        <v>0</v>
      </c>
      <c r="O22" s="108">
        <f>'Total Values'!T24</f>
        <v>0</v>
      </c>
      <c r="P22" s="108">
        <f>'Total Values'!U24</f>
        <v>0</v>
      </c>
      <c r="Q22" s="135">
        <v>1</v>
      </c>
      <c r="R22" s="128"/>
    </row>
    <row r="23" spans="1:21" ht="21" x14ac:dyDescent="0.25">
      <c r="A23" s="110">
        <v>2957</v>
      </c>
      <c r="B23" s="129" t="e">
        <f t="shared" si="0"/>
        <v>#DIV/0!</v>
      </c>
      <c r="C23" s="109">
        <f>'Total Values'!AA25/Q23</f>
        <v>0</v>
      </c>
      <c r="D23" s="108">
        <f t="shared" si="1"/>
        <v>1.5</v>
      </c>
      <c r="E23" s="108" t="e">
        <f t="shared" si="3"/>
        <v>#DIV/0!</v>
      </c>
      <c r="F23" s="108">
        <f t="shared" si="2"/>
        <v>0</v>
      </c>
      <c r="G23" s="134" t="s">
        <v>113</v>
      </c>
      <c r="H23" s="108">
        <f>'Total Values'!K25</f>
        <v>0</v>
      </c>
      <c r="I23" s="108">
        <f>'Total Values'!AK25</f>
        <v>0</v>
      </c>
      <c r="J23" s="108">
        <f>'Total Values'!L25</f>
        <v>0</v>
      </c>
      <c r="K23" s="108">
        <f>'Total Values'!AL25</f>
        <v>0</v>
      </c>
      <c r="L23" s="131">
        <f>(('Total Values'!AC25 /Q23) * 60) + 75</f>
        <v>75</v>
      </c>
      <c r="M23" s="108">
        <v>50</v>
      </c>
      <c r="N23" s="108">
        <f>'Total Values'!S25</f>
        <v>0</v>
      </c>
      <c r="O23" s="108">
        <f>'Total Values'!T25</f>
        <v>0</v>
      </c>
      <c r="P23" s="108">
        <f>'Total Values'!U25</f>
        <v>0</v>
      </c>
      <c r="Q23" s="135">
        <v>1</v>
      </c>
      <c r="R23" s="128"/>
    </row>
    <row r="24" spans="1:21" ht="21" x14ac:dyDescent="0.25">
      <c r="A24" s="110">
        <v>3036</v>
      </c>
      <c r="B24" s="129" t="e">
        <f t="shared" si="0"/>
        <v>#DIV/0!</v>
      </c>
      <c r="C24" s="109">
        <f>'Total Values'!AA26/Q24</f>
        <v>0</v>
      </c>
      <c r="D24" s="108">
        <f t="shared" si="1"/>
        <v>1.5</v>
      </c>
      <c r="E24" s="108" t="e">
        <f t="shared" si="3"/>
        <v>#DIV/0!</v>
      </c>
      <c r="F24" s="108">
        <f t="shared" si="2"/>
        <v>0</v>
      </c>
      <c r="G24" s="134" t="s">
        <v>113</v>
      </c>
      <c r="H24" s="108">
        <f>'Total Values'!K26</f>
        <v>0</v>
      </c>
      <c r="I24" s="108">
        <f>'Total Values'!AK26</f>
        <v>0</v>
      </c>
      <c r="J24" s="108">
        <f>'Total Values'!L26</f>
        <v>0</v>
      </c>
      <c r="K24" s="108">
        <f>'Total Values'!AL26</f>
        <v>0</v>
      </c>
      <c r="L24" s="131">
        <f>(('Total Values'!AC26 /Q24) * 60) + 75</f>
        <v>75</v>
      </c>
      <c r="M24" s="108">
        <v>50</v>
      </c>
      <c r="N24" s="108">
        <f>'Total Values'!S26</f>
        <v>0</v>
      </c>
      <c r="O24" s="108">
        <f>'Total Values'!T26</f>
        <v>0</v>
      </c>
      <c r="P24" s="108">
        <f>'Total Values'!U26</f>
        <v>0</v>
      </c>
      <c r="Q24" s="135">
        <v>1</v>
      </c>
      <c r="R24" s="128"/>
    </row>
    <row r="25" spans="1:21" ht="21" x14ac:dyDescent="0.25">
      <c r="A25" s="110">
        <v>3055</v>
      </c>
      <c r="B25" s="129" t="e">
        <f t="shared" si="0"/>
        <v>#DIV/0!</v>
      </c>
      <c r="C25" s="109">
        <f>'Total Values'!AA27/Q25</f>
        <v>0</v>
      </c>
      <c r="D25" s="108">
        <f t="shared" si="1"/>
        <v>1.5</v>
      </c>
      <c r="E25" s="108" t="e">
        <f t="shared" si="3"/>
        <v>#DIV/0!</v>
      </c>
      <c r="F25" s="108">
        <f t="shared" si="2"/>
        <v>0</v>
      </c>
      <c r="G25" s="134" t="s">
        <v>113</v>
      </c>
      <c r="H25" s="108">
        <f>'Total Values'!K27</f>
        <v>0</v>
      </c>
      <c r="I25" s="108">
        <f>'Total Values'!AK27</f>
        <v>0</v>
      </c>
      <c r="J25" s="108">
        <f>'Total Values'!L27</f>
        <v>0</v>
      </c>
      <c r="K25" s="108">
        <f>'Total Values'!AL27</f>
        <v>0</v>
      </c>
      <c r="L25" s="131">
        <f>(('Total Values'!AC27 /Q25) * 60) + 75</f>
        <v>75</v>
      </c>
      <c r="M25" s="108">
        <v>50</v>
      </c>
      <c r="N25" s="108">
        <f>'Total Values'!S27</f>
        <v>0</v>
      </c>
      <c r="O25" s="108">
        <f>'Total Values'!T27</f>
        <v>0</v>
      </c>
      <c r="P25" s="108">
        <f>'Total Values'!U27</f>
        <v>0</v>
      </c>
      <c r="Q25" s="135">
        <v>1</v>
      </c>
      <c r="R25" s="128"/>
    </row>
    <row r="26" spans="1:21" ht="21" x14ac:dyDescent="0.25">
      <c r="A26" s="110">
        <v>3056</v>
      </c>
      <c r="B26" s="129" t="e">
        <f t="shared" si="0"/>
        <v>#DIV/0!</v>
      </c>
      <c r="C26" s="109">
        <f>'Total Values'!AA28/Q26</f>
        <v>0</v>
      </c>
      <c r="D26" s="108">
        <f t="shared" si="1"/>
        <v>1.5</v>
      </c>
      <c r="E26" s="108" t="e">
        <f t="shared" si="3"/>
        <v>#DIV/0!</v>
      </c>
      <c r="F26" s="108">
        <f t="shared" si="2"/>
        <v>0</v>
      </c>
      <c r="G26" s="134" t="s">
        <v>113</v>
      </c>
      <c r="H26" s="108">
        <f>'Total Values'!K28</f>
        <v>0</v>
      </c>
      <c r="I26" s="108">
        <f>'Total Values'!AK28</f>
        <v>0</v>
      </c>
      <c r="J26" s="108">
        <f>'Total Values'!L28</f>
        <v>0</v>
      </c>
      <c r="K26" s="108">
        <f>'Total Values'!AL28</f>
        <v>0</v>
      </c>
      <c r="L26" s="131">
        <f>(('Total Values'!AC28 /Q26) * 60) + 75</f>
        <v>75</v>
      </c>
      <c r="M26" s="108">
        <v>50</v>
      </c>
      <c r="N26" s="108">
        <f>'Total Values'!S28</f>
        <v>0</v>
      </c>
      <c r="O26" s="108">
        <f>'Total Values'!T28</f>
        <v>0</v>
      </c>
      <c r="P26" s="108">
        <f>'Total Values'!U28</f>
        <v>0</v>
      </c>
      <c r="Q26" s="135">
        <v>1</v>
      </c>
      <c r="R26" s="128"/>
    </row>
    <row r="27" spans="1:21" ht="21" x14ac:dyDescent="0.25">
      <c r="A27" s="110">
        <v>3130</v>
      </c>
      <c r="B27" s="129" t="e">
        <f t="shared" si="0"/>
        <v>#DIV/0!</v>
      </c>
      <c r="C27" s="109">
        <f>'Total Values'!AA29/Q27</f>
        <v>0</v>
      </c>
      <c r="D27" s="108">
        <f t="shared" si="1"/>
        <v>1.5</v>
      </c>
      <c r="E27" s="108" t="e">
        <f t="shared" si="3"/>
        <v>#DIV/0!</v>
      </c>
      <c r="F27" s="108">
        <f t="shared" si="2"/>
        <v>0</v>
      </c>
      <c r="G27" s="134" t="s">
        <v>113</v>
      </c>
      <c r="H27" s="108">
        <f>'Total Values'!K29</f>
        <v>0</v>
      </c>
      <c r="I27" s="108">
        <f>'Total Values'!AK29</f>
        <v>0</v>
      </c>
      <c r="J27" s="108">
        <f>'Total Values'!L29</f>
        <v>0</v>
      </c>
      <c r="K27" s="108">
        <f>'Total Values'!AL29</f>
        <v>0</v>
      </c>
      <c r="L27" s="131">
        <f>(('Total Values'!AC29 /Q27) * 60) + 75</f>
        <v>75</v>
      </c>
      <c r="M27" s="108">
        <v>50</v>
      </c>
      <c r="N27" s="108">
        <f>'Total Values'!S29</f>
        <v>0</v>
      </c>
      <c r="O27" s="108">
        <f>'Total Values'!T29</f>
        <v>0</v>
      </c>
      <c r="P27" s="108">
        <f>'Total Values'!U29</f>
        <v>0</v>
      </c>
      <c r="Q27" s="135">
        <v>1</v>
      </c>
      <c r="R27" s="128"/>
    </row>
    <row r="28" spans="1:21" ht="21" x14ac:dyDescent="0.25">
      <c r="A28" s="110">
        <v>3197</v>
      </c>
      <c r="B28" s="129" t="e">
        <f t="shared" si="0"/>
        <v>#DIV/0!</v>
      </c>
      <c r="C28" s="109">
        <f>'Total Values'!AA30/Q28</f>
        <v>0</v>
      </c>
      <c r="D28" s="108">
        <f t="shared" si="1"/>
        <v>1.5</v>
      </c>
      <c r="E28" s="108" t="e">
        <f t="shared" si="3"/>
        <v>#DIV/0!</v>
      </c>
      <c r="F28" s="108">
        <f t="shared" si="2"/>
        <v>0</v>
      </c>
      <c r="G28" s="134" t="s">
        <v>113</v>
      </c>
      <c r="H28" s="108">
        <f>'Total Values'!K30</f>
        <v>0</v>
      </c>
      <c r="I28" s="108">
        <f>'Total Values'!AK30</f>
        <v>0</v>
      </c>
      <c r="J28" s="108">
        <f>'Total Values'!L30</f>
        <v>0</v>
      </c>
      <c r="K28" s="108">
        <f>'Total Values'!AL30</f>
        <v>0</v>
      </c>
      <c r="L28" s="131">
        <f>(('Total Values'!AC30 /Q28) * 60) + 75</f>
        <v>75</v>
      </c>
      <c r="M28" s="108">
        <v>50</v>
      </c>
      <c r="N28" s="108">
        <f>'Total Values'!S30</f>
        <v>0</v>
      </c>
      <c r="O28" s="108">
        <f>'Total Values'!T30</f>
        <v>0</v>
      </c>
      <c r="P28" s="108">
        <f>'Total Values'!U30</f>
        <v>0</v>
      </c>
      <c r="Q28" s="135">
        <v>1</v>
      </c>
      <c r="R28" s="128"/>
    </row>
    <row r="29" spans="1:21" ht="21" x14ac:dyDescent="0.25">
      <c r="A29" s="110">
        <v>3206</v>
      </c>
      <c r="B29" s="129" t="e">
        <f t="shared" si="0"/>
        <v>#DIV/0!</v>
      </c>
      <c r="C29" s="109">
        <f>'Total Values'!AA31/Q29</f>
        <v>0</v>
      </c>
      <c r="D29" s="108">
        <f t="shared" si="1"/>
        <v>1.5</v>
      </c>
      <c r="E29" s="108" t="e">
        <f t="shared" si="3"/>
        <v>#DIV/0!</v>
      </c>
      <c r="F29" s="108">
        <f t="shared" si="2"/>
        <v>0</v>
      </c>
      <c r="G29" s="134" t="s">
        <v>113</v>
      </c>
      <c r="H29" s="108">
        <f>'Total Values'!K31</f>
        <v>0</v>
      </c>
      <c r="I29" s="108">
        <f>'Total Values'!AK31</f>
        <v>0</v>
      </c>
      <c r="J29" s="108">
        <f>'Total Values'!L31</f>
        <v>0</v>
      </c>
      <c r="K29" s="108">
        <f>'Total Values'!AL31</f>
        <v>0</v>
      </c>
      <c r="L29" s="131">
        <f>(('Total Values'!AC31 /Q29) * 60) + 75</f>
        <v>75</v>
      </c>
      <c r="M29" s="108">
        <v>50</v>
      </c>
      <c r="N29" s="108">
        <f>'Total Values'!S31</f>
        <v>0</v>
      </c>
      <c r="O29" s="108">
        <f>'Total Values'!T31</f>
        <v>0</v>
      </c>
      <c r="P29" s="108">
        <f>'Total Values'!U31</f>
        <v>0</v>
      </c>
      <c r="Q29" s="135">
        <v>1</v>
      </c>
      <c r="R29" s="128"/>
    </row>
    <row r="30" spans="1:21" ht="21" x14ac:dyDescent="0.25">
      <c r="A30" s="110">
        <v>3212</v>
      </c>
      <c r="B30" s="129" t="e">
        <f t="shared" si="0"/>
        <v>#DIV/0!</v>
      </c>
      <c r="C30" s="109">
        <f>'Total Values'!AA32/Q30</f>
        <v>0</v>
      </c>
      <c r="D30" s="108">
        <f t="shared" si="1"/>
        <v>1.5</v>
      </c>
      <c r="E30" s="108" t="e">
        <f t="shared" si="3"/>
        <v>#DIV/0!</v>
      </c>
      <c r="F30" s="108">
        <f t="shared" si="2"/>
        <v>0</v>
      </c>
      <c r="G30" s="134" t="s">
        <v>113</v>
      </c>
      <c r="H30" s="108">
        <f>'Total Values'!K32</f>
        <v>0</v>
      </c>
      <c r="I30" s="108">
        <f>'Total Values'!AK32</f>
        <v>0</v>
      </c>
      <c r="J30" s="108">
        <f>'Total Values'!L32</f>
        <v>0</v>
      </c>
      <c r="K30" s="108">
        <f>'Total Values'!AL32</f>
        <v>0</v>
      </c>
      <c r="L30" s="131">
        <f>(('Total Values'!AC32 /Q30) * 60) + 75</f>
        <v>75</v>
      </c>
      <c r="M30" s="108">
        <v>50</v>
      </c>
      <c r="N30" s="108">
        <f>'Total Values'!S32</f>
        <v>0</v>
      </c>
      <c r="O30" s="108">
        <f>'Total Values'!T32</f>
        <v>0</v>
      </c>
      <c r="P30" s="108">
        <f>'Total Values'!U32</f>
        <v>0</v>
      </c>
      <c r="Q30" s="135">
        <v>1</v>
      </c>
      <c r="R30" s="128"/>
    </row>
    <row r="31" spans="1:21" ht="21" x14ac:dyDescent="0.25">
      <c r="A31" s="110">
        <v>3267</v>
      </c>
      <c r="B31" s="129" t="e">
        <f t="shared" si="0"/>
        <v>#DIV/0!</v>
      </c>
      <c r="C31" s="109">
        <f>'Total Values'!AA33/Q31</f>
        <v>0</v>
      </c>
      <c r="D31" s="108">
        <f t="shared" si="1"/>
        <v>1.5</v>
      </c>
      <c r="E31" s="108" t="e">
        <f t="shared" si="3"/>
        <v>#DIV/0!</v>
      </c>
      <c r="F31" s="108">
        <f t="shared" si="2"/>
        <v>0</v>
      </c>
      <c r="G31" s="134" t="s">
        <v>113</v>
      </c>
      <c r="H31" s="108">
        <f>'Total Values'!K33</f>
        <v>0</v>
      </c>
      <c r="I31" s="108">
        <f>'Total Values'!AK33</f>
        <v>0</v>
      </c>
      <c r="J31" s="108">
        <f>'Total Values'!L33</f>
        <v>0</v>
      </c>
      <c r="K31" s="108">
        <f>'Total Values'!AL33</f>
        <v>0</v>
      </c>
      <c r="L31" s="131">
        <f>(('Total Values'!AC33 /Q31) * 60) + 75</f>
        <v>75</v>
      </c>
      <c r="M31" s="108">
        <v>50</v>
      </c>
      <c r="N31" s="108">
        <f>'Total Values'!S33</f>
        <v>0</v>
      </c>
      <c r="O31" s="108">
        <f>'Total Values'!T33</f>
        <v>0</v>
      </c>
      <c r="P31" s="108">
        <f>'Total Values'!U33</f>
        <v>0</v>
      </c>
      <c r="Q31" s="135">
        <v>1</v>
      </c>
      <c r="R31" s="128"/>
    </row>
    <row r="32" spans="1:21" ht="21" x14ac:dyDescent="0.25">
      <c r="A32" s="110">
        <v>3298</v>
      </c>
      <c r="B32" s="129" t="e">
        <f t="shared" si="0"/>
        <v>#DIV/0!</v>
      </c>
      <c r="C32" s="109">
        <f>'Total Values'!AA34/Q32</f>
        <v>0</v>
      </c>
      <c r="D32" s="108">
        <f t="shared" si="1"/>
        <v>1.5</v>
      </c>
      <c r="E32" s="108" t="e">
        <f t="shared" si="3"/>
        <v>#DIV/0!</v>
      </c>
      <c r="F32" s="108">
        <f t="shared" si="2"/>
        <v>0</v>
      </c>
      <c r="G32" s="134" t="s">
        <v>113</v>
      </c>
      <c r="H32" s="108">
        <f>'Total Values'!K34</f>
        <v>0</v>
      </c>
      <c r="I32" s="108">
        <f>'Total Values'!AK34</f>
        <v>0</v>
      </c>
      <c r="J32" s="108">
        <f>'Total Values'!L34</f>
        <v>0</v>
      </c>
      <c r="K32" s="108">
        <f>'Total Values'!AL34</f>
        <v>0</v>
      </c>
      <c r="L32" s="131">
        <f>(('Total Values'!AC34 /Q32) * 60) + 75</f>
        <v>75</v>
      </c>
      <c r="M32" s="108">
        <v>50</v>
      </c>
      <c r="N32" s="108">
        <f>'Total Values'!S34</f>
        <v>0</v>
      </c>
      <c r="O32" s="108">
        <f>'Total Values'!T34</f>
        <v>0</v>
      </c>
      <c r="P32" s="108">
        <f>'Total Values'!U34</f>
        <v>0</v>
      </c>
      <c r="Q32" s="135">
        <v>1</v>
      </c>
      <c r="R32" s="128"/>
    </row>
    <row r="33" spans="1:18" ht="21" x14ac:dyDescent="0.25">
      <c r="A33" s="110">
        <v>3381</v>
      </c>
      <c r="B33" s="129" t="e">
        <f t="shared" si="0"/>
        <v>#DIV/0!</v>
      </c>
      <c r="C33" s="109">
        <f>'Total Values'!AA35/Q33</f>
        <v>0</v>
      </c>
      <c r="D33" s="108">
        <f t="shared" si="1"/>
        <v>1.5</v>
      </c>
      <c r="E33" s="108" t="e">
        <f t="shared" si="3"/>
        <v>#DIV/0!</v>
      </c>
      <c r="F33" s="108">
        <f t="shared" si="2"/>
        <v>0</v>
      </c>
      <c r="G33" s="134" t="s">
        <v>113</v>
      </c>
      <c r="H33" s="108">
        <f>'Total Values'!K35</f>
        <v>0</v>
      </c>
      <c r="I33" s="108">
        <f>'Total Values'!AK35</f>
        <v>0</v>
      </c>
      <c r="J33" s="108">
        <f>'Total Values'!L35</f>
        <v>0</v>
      </c>
      <c r="K33" s="108">
        <f>'Total Values'!AL35</f>
        <v>0</v>
      </c>
      <c r="L33" s="131">
        <f>(('Total Values'!AC35 /Q33) * 60) + 75</f>
        <v>75</v>
      </c>
      <c r="M33" s="108">
        <v>50</v>
      </c>
      <c r="N33" s="108">
        <f>'Total Values'!S35</f>
        <v>0</v>
      </c>
      <c r="O33" s="108">
        <f>'Total Values'!T35</f>
        <v>0</v>
      </c>
      <c r="P33" s="108">
        <f>'Total Values'!U35</f>
        <v>0</v>
      </c>
      <c r="Q33" s="135">
        <v>1</v>
      </c>
      <c r="R33" s="128"/>
    </row>
    <row r="34" spans="1:18" ht="21" x14ac:dyDescent="0.25">
      <c r="A34" s="110">
        <v>3723</v>
      </c>
      <c r="B34" s="129" t="e">
        <f t="shared" si="0"/>
        <v>#DIV/0!</v>
      </c>
      <c r="C34" s="109">
        <f>'Total Values'!AA36/Q34</f>
        <v>0</v>
      </c>
      <c r="D34" s="108">
        <f t="shared" si="1"/>
        <v>1.5</v>
      </c>
      <c r="E34" s="108" t="e">
        <f t="shared" si="3"/>
        <v>#DIV/0!</v>
      </c>
      <c r="F34" s="108">
        <f t="shared" si="2"/>
        <v>0</v>
      </c>
      <c r="G34" s="134" t="s">
        <v>113</v>
      </c>
      <c r="H34" s="108">
        <f>'Total Values'!K36</f>
        <v>0</v>
      </c>
      <c r="I34" s="108">
        <f>'Total Values'!AK36</f>
        <v>0</v>
      </c>
      <c r="J34" s="108">
        <f>'Total Values'!L36</f>
        <v>0</v>
      </c>
      <c r="K34" s="108">
        <f>'Total Values'!AL36</f>
        <v>0</v>
      </c>
      <c r="L34" s="131">
        <f>(('Total Values'!AC36 /Q34) * 60) + 75</f>
        <v>75</v>
      </c>
      <c r="M34" s="108">
        <v>50</v>
      </c>
      <c r="N34" s="108">
        <f>'Total Values'!S36</f>
        <v>0</v>
      </c>
      <c r="O34" s="108">
        <f>'Total Values'!T36</f>
        <v>0</v>
      </c>
      <c r="P34" s="108">
        <f>'Total Values'!U36</f>
        <v>0</v>
      </c>
      <c r="Q34" s="135">
        <v>1</v>
      </c>
      <c r="R34" s="128"/>
    </row>
    <row r="35" spans="1:18" ht="21" x14ac:dyDescent="0.25">
      <c r="A35" s="110">
        <v>3750</v>
      </c>
      <c r="B35" s="129" t="e">
        <f t="shared" si="0"/>
        <v>#DIV/0!</v>
      </c>
      <c r="C35" s="109">
        <f>'Total Values'!AA37/Q35</f>
        <v>0</v>
      </c>
      <c r="D35" s="108">
        <f t="shared" si="1"/>
        <v>1.5</v>
      </c>
      <c r="E35" s="108" t="e">
        <f t="shared" si="3"/>
        <v>#DIV/0!</v>
      </c>
      <c r="F35" s="108">
        <f t="shared" si="2"/>
        <v>0</v>
      </c>
      <c r="G35" s="134" t="s">
        <v>113</v>
      </c>
      <c r="H35" s="108">
        <f>'Total Values'!K37</f>
        <v>0</v>
      </c>
      <c r="I35" s="108">
        <f>'Total Values'!AK37</f>
        <v>0</v>
      </c>
      <c r="J35" s="108">
        <f>'Total Values'!L37</f>
        <v>0</v>
      </c>
      <c r="K35" s="108">
        <f>'Total Values'!AL37</f>
        <v>0</v>
      </c>
      <c r="L35" s="131">
        <f>(('Total Values'!AC37 /Q35) * 60) + 75</f>
        <v>75</v>
      </c>
      <c r="M35" s="108">
        <v>50</v>
      </c>
      <c r="N35" s="108">
        <f>'Total Values'!S37</f>
        <v>0</v>
      </c>
      <c r="O35" s="108">
        <f>'Total Values'!T37</f>
        <v>0</v>
      </c>
      <c r="P35" s="108">
        <f>'Total Values'!U37</f>
        <v>0</v>
      </c>
      <c r="Q35" s="135">
        <v>1</v>
      </c>
      <c r="R35" s="128"/>
    </row>
    <row r="36" spans="1:18" ht="21" x14ac:dyDescent="0.25">
      <c r="A36" s="110">
        <v>3754</v>
      </c>
      <c r="B36" s="129" t="e">
        <f t="shared" si="0"/>
        <v>#DIV/0!</v>
      </c>
      <c r="C36" s="109">
        <f>'Total Values'!AA38/Q36</f>
        <v>0</v>
      </c>
      <c r="D36" s="108">
        <f t="shared" si="1"/>
        <v>1.5</v>
      </c>
      <c r="E36" s="108" t="e">
        <f t="shared" si="3"/>
        <v>#DIV/0!</v>
      </c>
      <c r="F36" s="108">
        <f t="shared" si="2"/>
        <v>0</v>
      </c>
      <c r="G36" s="134" t="s">
        <v>113</v>
      </c>
      <c r="H36" s="108">
        <f>'Total Values'!K38</f>
        <v>0</v>
      </c>
      <c r="I36" s="108">
        <f>'Total Values'!AK38</f>
        <v>0</v>
      </c>
      <c r="J36" s="108">
        <f>'Total Values'!L38</f>
        <v>0</v>
      </c>
      <c r="K36" s="108">
        <f>'Total Values'!AL38</f>
        <v>0</v>
      </c>
      <c r="L36" s="131">
        <f>(('Total Values'!AC38 /Q36) * 60) + 75</f>
        <v>75</v>
      </c>
      <c r="M36" s="108">
        <v>50</v>
      </c>
      <c r="N36" s="108">
        <f>'Total Values'!S38</f>
        <v>0</v>
      </c>
      <c r="O36" s="108">
        <f>'Total Values'!T38</f>
        <v>0</v>
      </c>
      <c r="P36" s="108">
        <f>'Total Values'!U38</f>
        <v>0</v>
      </c>
      <c r="Q36" s="135">
        <v>1</v>
      </c>
      <c r="R36" s="128"/>
    </row>
    <row r="37" spans="1:18" ht="21" x14ac:dyDescent="0.25">
      <c r="A37" s="110">
        <v>4166</v>
      </c>
      <c r="B37" s="129" t="e">
        <f t="shared" si="0"/>
        <v>#DIV/0!</v>
      </c>
      <c r="C37" s="109">
        <f>'Total Values'!AA39/Q37</f>
        <v>0</v>
      </c>
      <c r="D37" s="108">
        <f t="shared" si="1"/>
        <v>1.5</v>
      </c>
      <c r="E37" s="108" t="e">
        <f t="shared" si="3"/>
        <v>#DIV/0!</v>
      </c>
      <c r="F37" s="108">
        <f t="shared" si="2"/>
        <v>0</v>
      </c>
      <c r="G37" s="134" t="s">
        <v>113</v>
      </c>
      <c r="H37" s="108">
        <f>'Total Values'!K39</f>
        <v>0</v>
      </c>
      <c r="I37" s="108">
        <f>'Total Values'!AK39</f>
        <v>0</v>
      </c>
      <c r="J37" s="108">
        <f>'Total Values'!L39</f>
        <v>0</v>
      </c>
      <c r="K37" s="108">
        <f>'Total Values'!AL39</f>
        <v>0</v>
      </c>
      <c r="L37" s="131">
        <f>(('Total Values'!AC39 /Q37) * 60) + 75</f>
        <v>75</v>
      </c>
      <c r="M37" s="108">
        <v>50</v>
      </c>
      <c r="N37" s="108">
        <f>'Total Values'!S39</f>
        <v>0</v>
      </c>
      <c r="O37" s="108">
        <f>'Total Values'!T39</f>
        <v>0</v>
      </c>
      <c r="P37" s="108">
        <f>'Total Values'!U39</f>
        <v>0</v>
      </c>
      <c r="Q37" s="135">
        <v>1</v>
      </c>
      <c r="R37" s="128"/>
    </row>
    <row r="38" spans="1:18" ht="21" x14ac:dyDescent="0.25">
      <c r="A38" s="110">
        <v>4198</v>
      </c>
      <c r="B38" s="129" t="e">
        <f t="shared" si="0"/>
        <v>#DIV/0!</v>
      </c>
      <c r="C38" s="109">
        <f>'Total Values'!AA40/Q38</f>
        <v>0</v>
      </c>
      <c r="D38" s="108">
        <f t="shared" si="1"/>
        <v>1.5</v>
      </c>
      <c r="E38" s="108" t="e">
        <f t="shared" si="3"/>
        <v>#DIV/0!</v>
      </c>
      <c r="F38" s="108">
        <f t="shared" si="2"/>
        <v>0</v>
      </c>
      <c r="G38" s="134" t="s">
        <v>113</v>
      </c>
      <c r="H38" s="108">
        <f>'Total Values'!K40</f>
        <v>0</v>
      </c>
      <c r="I38" s="108">
        <f>'Total Values'!AK40</f>
        <v>0</v>
      </c>
      <c r="J38" s="108">
        <f>'Total Values'!L40</f>
        <v>0</v>
      </c>
      <c r="K38" s="108">
        <f>'Total Values'!AL40</f>
        <v>0</v>
      </c>
      <c r="L38" s="131">
        <f>(('Total Values'!AC40 /Q38) * 60) + 75</f>
        <v>75</v>
      </c>
      <c r="M38" s="108">
        <v>50</v>
      </c>
      <c r="N38" s="108">
        <f>'Total Values'!S40</f>
        <v>0</v>
      </c>
      <c r="O38" s="108">
        <f>'Total Values'!T40</f>
        <v>0</v>
      </c>
      <c r="P38" s="108">
        <f>'Total Values'!U40</f>
        <v>0</v>
      </c>
      <c r="Q38" s="135">
        <v>1</v>
      </c>
      <c r="R38" s="128"/>
    </row>
    <row r="39" spans="1:18" ht="21" x14ac:dyDescent="0.25">
      <c r="A39" s="110">
        <v>4226</v>
      </c>
      <c r="B39" s="129" t="e">
        <f t="shared" si="0"/>
        <v>#DIV/0!</v>
      </c>
      <c r="C39" s="109">
        <f>'Total Values'!AA41/Q39</f>
        <v>0</v>
      </c>
      <c r="D39" s="108">
        <f t="shared" si="1"/>
        <v>1.5</v>
      </c>
      <c r="E39" s="108" t="e">
        <f t="shared" si="3"/>
        <v>#DIV/0!</v>
      </c>
      <c r="F39" s="108">
        <f t="shared" si="2"/>
        <v>0</v>
      </c>
      <c r="G39" s="134" t="s">
        <v>113</v>
      </c>
      <c r="H39" s="108">
        <f>'Total Values'!K41</f>
        <v>0</v>
      </c>
      <c r="I39" s="108">
        <f>'Total Values'!AK41</f>
        <v>0</v>
      </c>
      <c r="J39" s="108">
        <f>'Total Values'!L41</f>
        <v>0</v>
      </c>
      <c r="K39" s="108">
        <f>'Total Values'!AL41</f>
        <v>0</v>
      </c>
      <c r="L39" s="131">
        <f>(('Total Values'!AC41 /Q39) * 60) + 75</f>
        <v>75</v>
      </c>
      <c r="M39" s="108">
        <v>50</v>
      </c>
      <c r="N39" s="108">
        <f>'Total Values'!S41</f>
        <v>0</v>
      </c>
      <c r="O39" s="108">
        <f>'Total Values'!T41</f>
        <v>0</v>
      </c>
      <c r="P39" s="108">
        <f>'Total Values'!U41</f>
        <v>0</v>
      </c>
      <c r="Q39" s="135">
        <v>1</v>
      </c>
      <c r="R39" s="128"/>
    </row>
    <row r="40" spans="1:18" ht="21" x14ac:dyDescent="0.25">
      <c r="A40" s="110">
        <v>4238</v>
      </c>
      <c r="B40" s="129" t="e">
        <f t="shared" si="0"/>
        <v>#DIV/0!</v>
      </c>
      <c r="C40" s="109">
        <f>'Total Values'!AA42/Q40</f>
        <v>0</v>
      </c>
      <c r="D40" s="108">
        <f t="shared" si="1"/>
        <v>1.5</v>
      </c>
      <c r="E40" s="108" t="e">
        <f t="shared" si="3"/>
        <v>#DIV/0!</v>
      </c>
      <c r="F40" s="108">
        <f t="shared" si="2"/>
        <v>0</v>
      </c>
      <c r="G40" s="134" t="s">
        <v>113</v>
      </c>
      <c r="H40" s="108">
        <f>'Total Values'!K42</f>
        <v>0</v>
      </c>
      <c r="I40" s="108">
        <f>'Total Values'!AK42</f>
        <v>0</v>
      </c>
      <c r="J40" s="108">
        <f>'Total Values'!L42</f>
        <v>0</v>
      </c>
      <c r="K40" s="108">
        <f>'Total Values'!AL42</f>
        <v>0</v>
      </c>
      <c r="L40" s="131">
        <f>(('Total Values'!AC42 /Q40) * 60) + 75</f>
        <v>75</v>
      </c>
      <c r="M40" s="108">
        <v>50</v>
      </c>
      <c r="N40" s="108">
        <f>'Total Values'!S42</f>
        <v>0</v>
      </c>
      <c r="O40" s="108">
        <f>'Total Values'!T42</f>
        <v>0</v>
      </c>
      <c r="P40" s="108">
        <f>'Total Values'!U42</f>
        <v>0</v>
      </c>
      <c r="Q40" s="135">
        <v>1</v>
      </c>
      <c r="R40" s="128"/>
    </row>
    <row r="41" spans="1:18" ht="21" x14ac:dyDescent="0.25">
      <c r="A41" s="110">
        <v>4531</v>
      </c>
      <c r="B41" s="129" t="e">
        <f t="shared" si="0"/>
        <v>#DIV/0!</v>
      </c>
      <c r="C41" s="109">
        <f>'Total Values'!AA43/Q41</f>
        <v>0</v>
      </c>
      <c r="D41" s="108">
        <f t="shared" si="1"/>
        <v>1.5</v>
      </c>
      <c r="E41" s="108" t="e">
        <f t="shared" si="3"/>
        <v>#DIV/0!</v>
      </c>
      <c r="F41" s="108">
        <f t="shared" si="2"/>
        <v>0</v>
      </c>
      <c r="G41" s="134" t="s">
        <v>113</v>
      </c>
      <c r="H41" s="108">
        <f>'Total Values'!K43</f>
        <v>0</v>
      </c>
      <c r="I41" s="108">
        <f>'Total Values'!AK43</f>
        <v>0</v>
      </c>
      <c r="J41" s="108">
        <f>'Total Values'!L43</f>
        <v>0</v>
      </c>
      <c r="K41" s="108">
        <f>'Total Values'!AL43</f>
        <v>0</v>
      </c>
      <c r="L41" s="131">
        <f>(('Total Values'!AC43 /Q41) * 60) + 75</f>
        <v>75</v>
      </c>
      <c r="M41" s="108">
        <v>50</v>
      </c>
      <c r="N41" s="108">
        <f>'Total Values'!S43</f>
        <v>0</v>
      </c>
      <c r="O41" s="108">
        <f>'Total Values'!T43</f>
        <v>0</v>
      </c>
      <c r="P41" s="108">
        <f>'Total Values'!U43</f>
        <v>0</v>
      </c>
      <c r="Q41" s="135">
        <v>1</v>
      </c>
      <c r="R41" s="128"/>
    </row>
    <row r="42" spans="1:18" ht="21" x14ac:dyDescent="0.25">
      <c r="A42" s="110">
        <v>4549</v>
      </c>
      <c r="B42" s="129" t="e">
        <f t="shared" si="0"/>
        <v>#DIV/0!</v>
      </c>
      <c r="C42" s="109">
        <f>'Total Values'!AA44/Q42</f>
        <v>0</v>
      </c>
      <c r="D42" s="108">
        <f t="shared" si="1"/>
        <v>1.5</v>
      </c>
      <c r="E42" s="108" t="e">
        <f t="shared" si="3"/>
        <v>#DIV/0!</v>
      </c>
      <c r="F42" s="108">
        <f t="shared" si="2"/>
        <v>0</v>
      </c>
      <c r="G42" s="134" t="s">
        <v>113</v>
      </c>
      <c r="H42" s="108">
        <f>'Total Values'!K44</f>
        <v>0</v>
      </c>
      <c r="I42" s="108">
        <f>'Total Values'!AK44</f>
        <v>0</v>
      </c>
      <c r="J42" s="108">
        <f>'Total Values'!L44</f>
        <v>0</v>
      </c>
      <c r="K42" s="108">
        <f>'Total Values'!AL44</f>
        <v>0</v>
      </c>
      <c r="L42" s="131">
        <f>(('Total Values'!AC44 /Q42) * 60) + 75</f>
        <v>75</v>
      </c>
      <c r="M42" s="108">
        <v>50</v>
      </c>
      <c r="N42" s="108">
        <f>'Total Values'!S44</f>
        <v>0</v>
      </c>
      <c r="O42" s="108">
        <f>'Total Values'!T44</f>
        <v>0</v>
      </c>
      <c r="P42" s="108">
        <f>'Total Values'!U44</f>
        <v>0</v>
      </c>
      <c r="Q42" s="135">
        <v>1</v>
      </c>
      <c r="R42" s="128"/>
    </row>
    <row r="43" spans="1:18" ht="21" x14ac:dyDescent="0.25">
      <c r="A43" s="110">
        <v>4623</v>
      </c>
      <c r="B43" s="129" t="e">
        <f t="shared" si="0"/>
        <v>#DIV/0!</v>
      </c>
      <c r="C43" s="109">
        <f>'Total Values'!AA45/Q43</f>
        <v>0</v>
      </c>
      <c r="D43" s="108">
        <f t="shared" si="1"/>
        <v>1.5</v>
      </c>
      <c r="E43" s="108" t="e">
        <f t="shared" si="3"/>
        <v>#DIV/0!</v>
      </c>
      <c r="F43" s="108">
        <f xml:space="preserve"> 0.4 * N43 + 0.3 * O43 + 0.3 * P43</f>
        <v>0</v>
      </c>
      <c r="G43" s="134" t="s">
        <v>113</v>
      </c>
      <c r="H43" s="108">
        <f>'Total Values'!K45</f>
        <v>0</v>
      </c>
      <c r="I43" s="108">
        <f>'Total Values'!AK45</f>
        <v>0</v>
      </c>
      <c r="J43" s="108">
        <f>'Total Values'!L45</f>
        <v>0</v>
      </c>
      <c r="K43" s="108">
        <f>'Total Values'!AL45</f>
        <v>0</v>
      </c>
      <c r="L43" s="131">
        <f>(('Total Values'!AC45 /Q43) * 60) + 75</f>
        <v>75</v>
      </c>
      <c r="M43" s="108">
        <v>50</v>
      </c>
      <c r="N43" s="108">
        <f>'Total Values'!S45</f>
        <v>0</v>
      </c>
      <c r="O43" s="108">
        <f>'Total Values'!T45</f>
        <v>0</v>
      </c>
      <c r="P43" s="108">
        <f>'Total Values'!U45</f>
        <v>0</v>
      </c>
      <c r="Q43" s="135">
        <v>1</v>
      </c>
      <c r="R43" s="128"/>
    </row>
    <row r="44" spans="1:18" ht="21" x14ac:dyDescent="0.25">
      <c r="A44" s="110">
        <v>4624</v>
      </c>
      <c r="B44" s="129" t="e">
        <f t="shared" si="0"/>
        <v>#DIV/0!</v>
      </c>
      <c r="C44" s="109">
        <f>'Total Values'!AA46/Q44</f>
        <v>0</v>
      </c>
      <c r="D44" s="108">
        <f t="shared" si="1"/>
        <v>1.5</v>
      </c>
      <c r="E44" s="108" t="e">
        <f t="shared" si="3"/>
        <v>#DIV/0!</v>
      </c>
      <c r="F44" s="108">
        <f t="shared" si="2"/>
        <v>0</v>
      </c>
      <c r="G44" s="134" t="s">
        <v>113</v>
      </c>
      <c r="H44" s="108">
        <f>'Total Values'!K46</f>
        <v>0</v>
      </c>
      <c r="I44" s="108">
        <f>'Total Values'!AK46</f>
        <v>0</v>
      </c>
      <c r="J44" s="108">
        <f>'Total Values'!L46</f>
        <v>0</v>
      </c>
      <c r="K44" s="108">
        <f>'Total Values'!AL46</f>
        <v>0</v>
      </c>
      <c r="L44" s="131">
        <f>(('Total Values'!AC46 /Q44) * 60) + 75</f>
        <v>75</v>
      </c>
      <c r="M44" s="108">
        <v>50</v>
      </c>
      <c r="N44" s="108">
        <f>'Total Values'!S46</f>
        <v>0</v>
      </c>
      <c r="O44" s="108">
        <f>'Total Values'!T46</f>
        <v>0</v>
      </c>
      <c r="P44" s="108">
        <f>'Total Values'!U46</f>
        <v>0</v>
      </c>
      <c r="Q44" s="135">
        <v>1</v>
      </c>
      <c r="R44" s="128"/>
    </row>
    <row r="45" spans="1:18" ht="21" x14ac:dyDescent="0.25">
      <c r="A45" s="110">
        <v>4656</v>
      </c>
      <c r="B45" s="129" t="e">
        <f t="shared" si="0"/>
        <v>#DIV/0!</v>
      </c>
      <c r="C45" s="109">
        <f>'Total Values'!AA47/Q45</f>
        <v>0</v>
      </c>
      <c r="D45" s="108">
        <f t="shared" si="1"/>
        <v>1.5</v>
      </c>
      <c r="E45" s="108" t="e">
        <f t="shared" si="3"/>
        <v>#DIV/0!</v>
      </c>
      <c r="F45" s="108">
        <f t="shared" si="2"/>
        <v>0</v>
      </c>
      <c r="G45" s="134" t="s">
        <v>113</v>
      </c>
      <c r="H45" s="108">
        <f>'Total Values'!K47</f>
        <v>0</v>
      </c>
      <c r="I45" s="108">
        <f>'Total Values'!AK47</f>
        <v>0</v>
      </c>
      <c r="J45" s="108">
        <f>'Total Values'!L47</f>
        <v>0</v>
      </c>
      <c r="K45" s="108">
        <f>'Total Values'!AL47</f>
        <v>0</v>
      </c>
      <c r="L45" s="131">
        <f>(('Total Values'!AC47 /Q45) * 60) + 75</f>
        <v>75</v>
      </c>
      <c r="M45" s="108">
        <v>50</v>
      </c>
      <c r="N45" s="108">
        <f>'Total Values'!S47</f>
        <v>0</v>
      </c>
      <c r="O45" s="108">
        <f>'Total Values'!T47</f>
        <v>0</v>
      </c>
      <c r="P45" s="108">
        <f>'Total Values'!U47</f>
        <v>0</v>
      </c>
      <c r="Q45" s="135">
        <v>1</v>
      </c>
      <c r="R45" s="128"/>
    </row>
    <row r="46" spans="1:18" ht="21" x14ac:dyDescent="0.25">
      <c r="A46" s="110">
        <v>4657</v>
      </c>
      <c r="B46" s="129" t="e">
        <f t="shared" si="0"/>
        <v>#DIV/0!</v>
      </c>
      <c r="C46" s="109">
        <f>'Total Values'!AA48/Q46</f>
        <v>0</v>
      </c>
      <c r="D46" s="108">
        <f t="shared" si="1"/>
        <v>1.5</v>
      </c>
      <c r="E46" s="108" t="e">
        <f t="shared" si="3"/>
        <v>#DIV/0!</v>
      </c>
      <c r="F46" s="108">
        <f t="shared" si="2"/>
        <v>0</v>
      </c>
      <c r="G46" s="134" t="s">
        <v>113</v>
      </c>
      <c r="H46" s="108">
        <f>'Total Values'!K48</f>
        <v>0</v>
      </c>
      <c r="I46" s="108">
        <f>'Total Values'!AK48</f>
        <v>0</v>
      </c>
      <c r="J46" s="108">
        <f>'Total Values'!L48</f>
        <v>0</v>
      </c>
      <c r="K46" s="108">
        <f>'Total Values'!AL48</f>
        <v>0</v>
      </c>
      <c r="L46" s="131">
        <f>(('Total Values'!AC48 /Q46) * 60) + 75</f>
        <v>75</v>
      </c>
      <c r="M46" s="108">
        <v>50</v>
      </c>
      <c r="N46" s="108">
        <f>'Total Values'!S48</f>
        <v>0</v>
      </c>
      <c r="O46" s="108">
        <f>'Total Values'!T48</f>
        <v>0</v>
      </c>
      <c r="P46" s="108">
        <f>'Total Values'!U48</f>
        <v>0</v>
      </c>
      <c r="Q46" s="135">
        <v>1</v>
      </c>
      <c r="R46" s="128"/>
    </row>
    <row r="47" spans="1:18" ht="21" x14ac:dyDescent="0.25">
      <c r="A47" s="110">
        <v>4671</v>
      </c>
      <c r="B47" s="129" t="e">
        <f t="shared" si="0"/>
        <v>#DIV/0!</v>
      </c>
      <c r="C47" s="109">
        <f>'Total Values'!AA49/Q47</f>
        <v>0</v>
      </c>
      <c r="D47" s="108">
        <f t="shared" si="1"/>
        <v>1.5</v>
      </c>
      <c r="E47" s="108" t="e">
        <f t="shared" si="3"/>
        <v>#DIV/0!</v>
      </c>
      <c r="F47" s="108">
        <f t="shared" si="2"/>
        <v>0</v>
      </c>
      <c r="G47" s="134" t="s">
        <v>113</v>
      </c>
      <c r="H47" s="108">
        <f>'Total Values'!K49</f>
        <v>0</v>
      </c>
      <c r="I47" s="108">
        <f>'Total Values'!AK49</f>
        <v>0</v>
      </c>
      <c r="J47" s="108">
        <f>'Total Values'!L49</f>
        <v>0</v>
      </c>
      <c r="K47" s="108">
        <f>'Total Values'!AL49</f>
        <v>0</v>
      </c>
      <c r="L47" s="131">
        <f>(('Total Values'!AC49 /Q47) * 60) + 75</f>
        <v>75</v>
      </c>
      <c r="M47" s="108">
        <v>50</v>
      </c>
      <c r="N47" s="108">
        <f>'Total Values'!S49</f>
        <v>0</v>
      </c>
      <c r="O47" s="108">
        <f>'Total Values'!T49</f>
        <v>0</v>
      </c>
      <c r="P47" s="108">
        <f>'Total Values'!U49</f>
        <v>0</v>
      </c>
      <c r="Q47" s="135">
        <v>1</v>
      </c>
      <c r="R47" s="128"/>
    </row>
    <row r="48" spans="1:18" ht="21" x14ac:dyDescent="0.25">
      <c r="A48" s="110">
        <v>4674</v>
      </c>
      <c r="B48" s="129" t="e">
        <f t="shared" si="0"/>
        <v>#DIV/0!</v>
      </c>
      <c r="C48" s="109">
        <f>'Total Values'!AA50/Q48</f>
        <v>0</v>
      </c>
      <c r="D48" s="108">
        <f t="shared" si="1"/>
        <v>1.5</v>
      </c>
      <c r="E48" s="108" t="e">
        <f t="shared" si="3"/>
        <v>#DIV/0!</v>
      </c>
      <c r="F48" s="108">
        <f t="shared" si="2"/>
        <v>0</v>
      </c>
      <c r="G48" s="134" t="s">
        <v>113</v>
      </c>
      <c r="H48" s="108">
        <f>'Total Values'!K50</f>
        <v>0</v>
      </c>
      <c r="I48" s="108">
        <f>'Total Values'!AK50</f>
        <v>0</v>
      </c>
      <c r="J48" s="108">
        <f>'Total Values'!L50</f>
        <v>0</v>
      </c>
      <c r="K48" s="108">
        <f>'Total Values'!AL50</f>
        <v>0</v>
      </c>
      <c r="L48" s="131">
        <f>(('Total Values'!AC50 /Q48) * 60) + 75</f>
        <v>75</v>
      </c>
      <c r="M48" s="108">
        <v>50</v>
      </c>
      <c r="N48" s="108">
        <f>'Total Values'!S50</f>
        <v>0</v>
      </c>
      <c r="O48" s="108">
        <f>'Total Values'!T50</f>
        <v>0</v>
      </c>
      <c r="P48" s="108">
        <f>'Total Values'!U50</f>
        <v>0</v>
      </c>
      <c r="Q48" s="135">
        <v>1</v>
      </c>
      <c r="R48" s="128"/>
    </row>
    <row r="49" spans="1:18" ht="21" x14ac:dyDescent="0.25">
      <c r="A49" s="110">
        <v>4693</v>
      </c>
      <c r="B49" s="129" t="e">
        <f t="shared" si="0"/>
        <v>#DIV/0!</v>
      </c>
      <c r="C49" s="109">
        <f>'Total Values'!AA51/Q49</f>
        <v>0</v>
      </c>
      <c r="D49" s="108">
        <f t="shared" si="1"/>
        <v>1.5</v>
      </c>
      <c r="E49" s="108" t="e">
        <f t="shared" si="3"/>
        <v>#DIV/0!</v>
      </c>
      <c r="F49" s="108">
        <f t="shared" si="2"/>
        <v>0</v>
      </c>
      <c r="G49" s="134" t="s">
        <v>113</v>
      </c>
      <c r="H49" s="108">
        <f>'Total Values'!K51</f>
        <v>0</v>
      </c>
      <c r="I49" s="108">
        <f>'Total Values'!AK51</f>
        <v>0</v>
      </c>
      <c r="J49" s="108">
        <f>'Total Values'!L51</f>
        <v>0</v>
      </c>
      <c r="K49" s="108">
        <f>'Total Values'!AL51</f>
        <v>0</v>
      </c>
      <c r="L49" s="131">
        <f>(('Total Values'!AC51 /Q49) * 60) + 75</f>
        <v>75</v>
      </c>
      <c r="M49" s="108">
        <v>50</v>
      </c>
      <c r="N49" s="108">
        <f>'Total Values'!S51</f>
        <v>0</v>
      </c>
      <c r="O49" s="108">
        <f>'Total Values'!T51</f>
        <v>0</v>
      </c>
      <c r="P49" s="108">
        <f>'Total Values'!U51</f>
        <v>0</v>
      </c>
      <c r="Q49" s="135">
        <v>1</v>
      </c>
      <c r="R49" s="128"/>
    </row>
    <row r="50" spans="1:18" ht="21" x14ac:dyDescent="0.25">
      <c r="A50" s="110">
        <v>4703</v>
      </c>
      <c r="B50" s="129" t="e">
        <f xml:space="preserve"> 0.45 *D8 C50 + 0.45 * D50 * E50 + 0.1 * F50</f>
        <v>#NULL!</v>
      </c>
      <c r="C50" s="109">
        <f>'Total Values'!AA52/Q50</f>
        <v>0</v>
      </c>
      <c r="D50" s="108">
        <f t="shared" si="1"/>
        <v>1.5</v>
      </c>
      <c r="E50" s="108" t="e">
        <f t="shared" si="3"/>
        <v>#DIV/0!</v>
      </c>
      <c r="F50" s="108">
        <f t="shared" si="2"/>
        <v>0</v>
      </c>
      <c r="G50" s="134" t="s">
        <v>113</v>
      </c>
      <c r="H50" s="108">
        <f>'Total Values'!K52</f>
        <v>0</v>
      </c>
      <c r="I50" s="108">
        <f>'Total Values'!AK52</f>
        <v>0</v>
      </c>
      <c r="J50" s="108">
        <f>'Total Values'!L52</f>
        <v>0</v>
      </c>
      <c r="K50" s="108">
        <f>'Total Values'!AL52</f>
        <v>0</v>
      </c>
      <c r="L50" s="131">
        <f>(('Total Values'!AC52 /Q50) * 60) + 75</f>
        <v>75</v>
      </c>
      <c r="M50" s="108">
        <v>50</v>
      </c>
      <c r="N50" s="108">
        <f>'Total Values'!S52</f>
        <v>0</v>
      </c>
      <c r="O50" s="108">
        <f>'Total Values'!T52</f>
        <v>0</v>
      </c>
      <c r="P50" s="108">
        <f>'Total Values'!U52</f>
        <v>0</v>
      </c>
      <c r="Q50" s="135">
        <v>1</v>
      </c>
      <c r="R50" s="128"/>
    </row>
    <row r="51" spans="1:18" ht="21" x14ac:dyDescent="0.25">
      <c r="A51" s="110">
        <v>4728</v>
      </c>
      <c r="B51" s="129" t="e">
        <f t="shared" si="0"/>
        <v>#DIV/0!</v>
      </c>
      <c r="C51" s="109">
        <f>'Total Values'!AA53/Q51</f>
        <v>0</v>
      </c>
      <c r="D51" s="108">
        <f t="shared" si="1"/>
        <v>1.5</v>
      </c>
      <c r="E51" s="108" t="e">
        <f t="shared" si="3"/>
        <v>#DIV/0!</v>
      </c>
      <c r="F51" s="108">
        <f t="shared" si="2"/>
        <v>0</v>
      </c>
      <c r="G51" s="134" t="s">
        <v>113</v>
      </c>
      <c r="H51" s="108">
        <f>'Total Values'!K53</f>
        <v>0</v>
      </c>
      <c r="I51" s="108">
        <f>'Total Values'!AK53</f>
        <v>0</v>
      </c>
      <c r="J51" s="108">
        <f>'Total Values'!L53</f>
        <v>0</v>
      </c>
      <c r="K51" s="108">
        <f>'Total Values'!AL53</f>
        <v>0</v>
      </c>
      <c r="L51" s="131">
        <f>(('Total Values'!AC53 /Q51) * 60) + 75</f>
        <v>75</v>
      </c>
      <c r="M51" s="108">
        <v>50</v>
      </c>
      <c r="N51" s="108">
        <f>'Total Values'!S53</f>
        <v>0</v>
      </c>
      <c r="O51" s="108">
        <f>'Total Values'!T53</f>
        <v>0</v>
      </c>
      <c r="P51" s="108">
        <f>'Total Values'!U53</f>
        <v>0</v>
      </c>
      <c r="Q51" s="135">
        <v>1</v>
      </c>
      <c r="R51" s="128"/>
    </row>
    <row r="52" spans="1:18" ht="21" x14ac:dyDescent="0.25">
      <c r="A52" s="110">
        <v>5172</v>
      </c>
      <c r="B52" s="129" t="e">
        <f t="shared" si="0"/>
        <v>#DIV/0!</v>
      </c>
      <c r="C52" s="109">
        <f>'Total Values'!AA54/Q52</f>
        <v>0</v>
      </c>
      <c r="D52" s="108">
        <f t="shared" si="1"/>
        <v>1.5</v>
      </c>
      <c r="E52" s="108" t="e">
        <f t="shared" si="3"/>
        <v>#DIV/0!</v>
      </c>
      <c r="F52" s="108">
        <f t="shared" si="2"/>
        <v>0</v>
      </c>
      <c r="G52" s="134" t="s">
        <v>113</v>
      </c>
      <c r="H52" s="108">
        <f>'Total Values'!K54</f>
        <v>0</v>
      </c>
      <c r="I52" s="108">
        <f>'Total Values'!AK54</f>
        <v>0</v>
      </c>
      <c r="J52" s="108">
        <f>'Total Values'!L54</f>
        <v>0</v>
      </c>
      <c r="K52" s="108">
        <f>'Total Values'!AL54</f>
        <v>0</v>
      </c>
      <c r="L52" s="131">
        <f>(('Total Values'!AC54 /Q52) * 60) + 75</f>
        <v>75</v>
      </c>
      <c r="M52" s="108">
        <v>50</v>
      </c>
      <c r="N52" s="108">
        <f>'Total Values'!S54</f>
        <v>0</v>
      </c>
      <c r="O52" s="108">
        <f>'Total Values'!T54</f>
        <v>0</v>
      </c>
      <c r="P52" s="108">
        <f>'Total Values'!U54</f>
        <v>0</v>
      </c>
      <c r="Q52" s="135">
        <v>1</v>
      </c>
      <c r="R52" s="128"/>
    </row>
    <row r="53" spans="1:18" ht="21" x14ac:dyDescent="0.25">
      <c r="A53" s="110">
        <v>5232</v>
      </c>
      <c r="B53" s="129" t="e">
        <f t="shared" si="0"/>
        <v>#DIV/0!</v>
      </c>
      <c r="C53" s="109">
        <f>'Total Values'!AA55/Q53</f>
        <v>0</v>
      </c>
      <c r="D53" s="108">
        <f t="shared" si="1"/>
        <v>1.5</v>
      </c>
      <c r="E53" s="108" t="e">
        <f t="shared" si="3"/>
        <v>#DIV/0!</v>
      </c>
      <c r="F53" s="108">
        <f t="shared" si="2"/>
        <v>0</v>
      </c>
      <c r="G53" s="134" t="s">
        <v>113</v>
      </c>
      <c r="H53" s="108">
        <f>'Total Values'!K55</f>
        <v>0</v>
      </c>
      <c r="I53" s="108">
        <f>'Total Values'!AK55</f>
        <v>0</v>
      </c>
      <c r="J53" s="108">
        <f>'Total Values'!L55</f>
        <v>0</v>
      </c>
      <c r="K53" s="108">
        <f>'Total Values'!AL55</f>
        <v>0</v>
      </c>
      <c r="L53" s="131">
        <f>(('Total Values'!AC55 /Q53) * 60) + 75</f>
        <v>75</v>
      </c>
      <c r="M53" s="108">
        <v>50</v>
      </c>
      <c r="N53" s="108">
        <f>'Total Values'!S55</f>
        <v>0</v>
      </c>
      <c r="O53" s="108">
        <f>'Total Values'!T55</f>
        <v>0</v>
      </c>
      <c r="P53" s="108">
        <f>'Total Values'!U55</f>
        <v>0</v>
      </c>
      <c r="Q53" s="135">
        <v>1</v>
      </c>
      <c r="R53" s="128"/>
    </row>
    <row r="54" spans="1:18" ht="21" x14ac:dyDescent="0.25">
      <c r="A54" s="110">
        <v>5253</v>
      </c>
      <c r="B54" s="129" t="e">
        <f t="shared" si="0"/>
        <v>#DIV/0!</v>
      </c>
      <c r="C54" s="109">
        <f>'Total Values'!AA56/Q54</f>
        <v>0</v>
      </c>
      <c r="D54" s="108">
        <f t="shared" si="1"/>
        <v>1.5</v>
      </c>
      <c r="E54" s="108" t="e">
        <f t="shared" si="3"/>
        <v>#DIV/0!</v>
      </c>
      <c r="F54" s="108">
        <f t="shared" si="2"/>
        <v>0</v>
      </c>
      <c r="G54" s="134" t="s">
        <v>113</v>
      </c>
      <c r="H54" s="108">
        <f>'Total Values'!K56</f>
        <v>0</v>
      </c>
      <c r="I54" s="108">
        <f>'Total Values'!AK56</f>
        <v>0</v>
      </c>
      <c r="J54" s="108">
        <f>'Total Values'!L56</f>
        <v>0</v>
      </c>
      <c r="K54" s="108">
        <f>'Total Values'!AL56</f>
        <v>0</v>
      </c>
      <c r="L54" s="131">
        <f>(('Total Values'!AC56 /Q54) * 60) + 75</f>
        <v>75</v>
      </c>
      <c r="M54" s="108">
        <v>50</v>
      </c>
      <c r="N54" s="108">
        <f>'Total Values'!S56</f>
        <v>0</v>
      </c>
      <c r="O54" s="108">
        <f>'Total Values'!T56</f>
        <v>0</v>
      </c>
      <c r="P54" s="108">
        <f>'Total Values'!U56</f>
        <v>0</v>
      </c>
      <c r="Q54" s="135">
        <v>1</v>
      </c>
      <c r="R54" s="128"/>
    </row>
    <row r="55" spans="1:18" ht="21" x14ac:dyDescent="0.25">
      <c r="A55" s="110">
        <v>5278</v>
      </c>
      <c r="B55" s="129" t="e">
        <f t="shared" si="0"/>
        <v>#DIV/0!</v>
      </c>
      <c r="C55" s="109">
        <f>'Total Values'!AA57/Q55</f>
        <v>0</v>
      </c>
      <c r="D55" s="108">
        <f t="shared" si="1"/>
        <v>1.5</v>
      </c>
      <c r="E55" s="108" t="e">
        <f t="shared" si="3"/>
        <v>#DIV/0!</v>
      </c>
      <c r="F55" s="108">
        <f t="shared" si="2"/>
        <v>0</v>
      </c>
      <c r="G55" s="134" t="s">
        <v>113</v>
      </c>
      <c r="H55" s="108">
        <f>'Total Values'!K57</f>
        <v>0</v>
      </c>
      <c r="I55" s="108">
        <f>'Total Values'!AK57</f>
        <v>0</v>
      </c>
      <c r="J55" s="108">
        <f>'Total Values'!L57</f>
        <v>0</v>
      </c>
      <c r="K55" s="108">
        <f>'Total Values'!AL57</f>
        <v>0</v>
      </c>
      <c r="L55" s="131">
        <f>(('Total Values'!AC57 /Q55) * 60) + 75</f>
        <v>75</v>
      </c>
      <c r="M55" s="108">
        <v>50</v>
      </c>
      <c r="N55" s="108">
        <f>'Total Values'!S57</f>
        <v>0</v>
      </c>
      <c r="O55" s="108">
        <f>'Total Values'!T57</f>
        <v>0</v>
      </c>
      <c r="P55" s="108">
        <f>'Total Values'!U57</f>
        <v>0</v>
      </c>
      <c r="Q55" s="135">
        <v>1</v>
      </c>
      <c r="R55" s="128"/>
    </row>
    <row r="56" spans="1:18" ht="21.75" thickBot="1" x14ac:dyDescent="0.3">
      <c r="A56" s="111">
        <v>5348</v>
      </c>
      <c r="B56" s="129" t="e">
        <f t="shared" si="0"/>
        <v>#DIV/0!</v>
      </c>
      <c r="C56" s="136">
        <f>'Total Values'!AA58/Q56</f>
        <v>0</v>
      </c>
      <c r="D56" s="137">
        <f t="shared" si="1"/>
        <v>1.5</v>
      </c>
      <c r="E56" s="137" t="e">
        <f t="shared" si="3"/>
        <v>#DIV/0!</v>
      </c>
      <c r="F56" s="137">
        <f t="shared" si="2"/>
        <v>0</v>
      </c>
      <c r="G56" s="138" t="s">
        <v>113</v>
      </c>
      <c r="H56" s="137">
        <f>'Total Values'!K58</f>
        <v>0</v>
      </c>
      <c r="I56" s="137">
        <f>'Total Values'!AK58</f>
        <v>0</v>
      </c>
      <c r="J56" s="137">
        <f>'Total Values'!L58</f>
        <v>0</v>
      </c>
      <c r="K56" s="137">
        <f>'Total Values'!AL58</f>
        <v>0</v>
      </c>
      <c r="L56" s="131">
        <f>(('Total Values'!AC58 /Q56) * 60) + 75</f>
        <v>75</v>
      </c>
      <c r="M56" s="137">
        <v>50</v>
      </c>
      <c r="N56" s="108">
        <f>'Total Values'!S58</f>
        <v>0</v>
      </c>
      <c r="O56" s="108">
        <f>'Total Values'!T58</f>
        <v>0</v>
      </c>
      <c r="P56" s="108">
        <f>'Total Values'!U58</f>
        <v>0</v>
      </c>
      <c r="Q56" s="139">
        <v>1</v>
      </c>
      <c r="R56" s="12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5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39" sqref="G39"/>
    </sheetView>
  </sheetViews>
  <sheetFormatPr defaultRowHeight="15" x14ac:dyDescent="0.25"/>
  <sheetData>
    <row r="1" spans="1:21" s="3" customFormat="1" x14ac:dyDescent="0.25">
      <c r="B1" s="158" t="s">
        <v>29</v>
      </c>
      <c r="C1" s="160"/>
      <c r="D1" s="158" t="s">
        <v>30</v>
      </c>
      <c r="E1" s="160"/>
      <c r="F1" s="158" t="s">
        <v>31</v>
      </c>
      <c r="G1" s="160"/>
      <c r="H1" s="158" t="s">
        <v>32</v>
      </c>
      <c r="I1" s="160"/>
      <c r="J1" s="158" t="s">
        <v>33</v>
      </c>
      <c r="K1" s="160"/>
      <c r="L1" s="158" t="s">
        <v>34</v>
      </c>
      <c r="M1" s="160"/>
      <c r="N1" s="158" t="s">
        <v>35</v>
      </c>
      <c r="O1" s="160"/>
      <c r="P1" s="158" t="s">
        <v>36</v>
      </c>
      <c r="Q1" s="160"/>
      <c r="R1" s="158" t="s">
        <v>37</v>
      </c>
      <c r="S1" s="160"/>
      <c r="T1" s="158" t="s">
        <v>38</v>
      </c>
      <c r="U1" s="160"/>
    </row>
    <row r="2" spans="1:21" x14ac:dyDescent="0.25">
      <c r="A2" s="114" t="s">
        <v>17</v>
      </c>
      <c r="B2" s="5" t="s">
        <v>142</v>
      </c>
      <c r="C2" s="6" t="s">
        <v>143</v>
      </c>
      <c r="D2" s="5" t="s">
        <v>142</v>
      </c>
      <c r="E2" s="6" t="s">
        <v>143</v>
      </c>
      <c r="F2" s="5" t="s">
        <v>142</v>
      </c>
      <c r="G2" s="6" t="s">
        <v>143</v>
      </c>
      <c r="H2" s="5" t="s">
        <v>142</v>
      </c>
      <c r="I2" s="6" t="s">
        <v>143</v>
      </c>
      <c r="J2" s="5" t="s">
        <v>142</v>
      </c>
      <c r="K2" s="6" t="s">
        <v>143</v>
      </c>
      <c r="L2" s="5" t="s">
        <v>142</v>
      </c>
      <c r="M2" s="6" t="s">
        <v>143</v>
      </c>
      <c r="N2" s="5" t="s">
        <v>142</v>
      </c>
      <c r="O2" s="6" t="s">
        <v>143</v>
      </c>
      <c r="P2" s="5" t="s">
        <v>142</v>
      </c>
      <c r="Q2" s="6" t="s">
        <v>143</v>
      </c>
      <c r="R2" s="5" t="s">
        <v>142</v>
      </c>
      <c r="S2" s="6" t="s">
        <v>143</v>
      </c>
      <c r="T2" s="5" t="s">
        <v>142</v>
      </c>
      <c r="U2" s="6" t="s">
        <v>143</v>
      </c>
    </row>
    <row r="3" spans="1:21" x14ac:dyDescent="0.25">
      <c r="A3" s="114">
        <v>27</v>
      </c>
      <c r="B3" s="5"/>
      <c r="C3" s="6"/>
      <c r="D3" s="5"/>
      <c r="E3" s="6"/>
      <c r="F3" s="5"/>
      <c r="G3" s="6"/>
      <c r="H3" s="5"/>
      <c r="I3" s="6"/>
      <c r="J3" s="5"/>
      <c r="K3" s="6"/>
      <c r="L3" s="5"/>
      <c r="M3" s="6"/>
      <c r="N3" s="5"/>
      <c r="O3" s="6"/>
      <c r="P3" s="5"/>
      <c r="Q3" s="6"/>
      <c r="R3" s="5"/>
      <c r="S3" s="6"/>
      <c r="T3" s="5"/>
      <c r="U3" s="6"/>
    </row>
    <row r="4" spans="1:21" x14ac:dyDescent="0.25">
      <c r="A4" s="114">
        <v>269</v>
      </c>
      <c r="B4" s="5"/>
      <c r="C4" s="6"/>
      <c r="D4" s="5"/>
      <c r="E4" s="6"/>
      <c r="F4" s="5"/>
      <c r="G4" s="6"/>
      <c r="H4" s="5"/>
      <c r="I4" s="6"/>
      <c r="J4" s="5"/>
      <c r="K4" s="6"/>
      <c r="L4" s="5"/>
      <c r="M4" s="6"/>
      <c r="N4" s="5"/>
      <c r="O4" s="6"/>
      <c r="P4" s="5"/>
      <c r="Q4" s="6"/>
      <c r="R4" s="5"/>
      <c r="S4" s="6"/>
      <c r="T4" s="5"/>
      <c r="U4" s="6"/>
    </row>
    <row r="5" spans="1:21" x14ac:dyDescent="0.25">
      <c r="A5" s="114">
        <v>359</v>
      </c>
      <c r="B5" s="5"/>
      <c r="C5" s="6"/>
      <c r="D5" s="5"/>
      <c r="E5" s="6"/>
      <c r="F5" s="5"/>
      <c r="G5" s="6"/>
      <c r="H5" s="5"/>
      <c r="I5" s="6"/>
      <c r="J5" s="5"/>
      <c r="K5" s="6"/>
      <c r="L5" s="5"/>
      <c r="M5" s="6"/>
      <c r="N5" s="5"/>
      <c r="O5" s="6"/>
      <c r="P5" s="5"/>
      <c r="Q5" s="6"/>
      <c r="R5" s="5"/>
      <c r="S5" s="6"/>
      <c r="T5" s="5"/>
      <c r="U5" s="6"/>
    </row>
    <row r="6" spans="1:21" x14ac:dyDescent="0.25">
      <c r="A6" s="114">
        <v>876</v>
      </c>
      <c r="B6" s="5"/>
      <c r="C6" s="6"/>
      <c r="D6" s="5"/>
      <c r="E6" s="6"/>
      <c r="F6" s="5"/>
      <c r="G6" s="6"/>
      <c r="H6" s="5"/>
      <c r="I6" s="6"/>
      <c r="J6" s="5"/>
      <c r="K6" s="6"/>
      <c r="L6" s="5"/>
      <c r="M6" s="6"/>
      <c r="N6" s="5"/>
      <c r="O6" s="6"/>
      <c r="P6" s="5"/>
      <c r="Q6" s="6"/>
      <c r="R6" s="5"/>
      <c r="S6" s="6"/>
      <c r="T6" s="5"/>
      <c r="U6" s="6"/>
    </row>
    <row r="7" spans="1:21" x14ac:dyDescent="0.25">
      <c r="A7" s="114">
        <v>877</v>
      </c>
      <c r="B7" s="5"/>
      <c r="C7" s="6"/>
      <c r="D7" s="5"/>
      <c r="E7" s="6"/>
      <c r="F7" s="5"/>
      <c r="G7" s="6"/>
      <c r="H7" s="5"/>
      <c r="I7" s="6"/>
      <c r="J7" s="5"/>
      <c r="K7" s="6"/>
      <c r="L7" s="5"/>
      <c r="M7" s="6"/>
      <c r="N7" s="5"/>
      <c r="O7" s="6"/>
      <c r="P7" s="5"/>
      <c r="Q7" s="6"/>
      <c r="R7" s="5"/>
      <c r="S7" s="6"/>
      <c r="T7" s="5"/>
      <c r="U7" s="6"/>
    </row>
    <row r="8" spans="1:21" x14ac:dyDescent="0.25">
      <c r="A8" s="114">
        <v>1259</v>
      </c>
      <c r="B8" s="5"/>
      <c r="C8" s="6"/>
      <c r="D8" s="5"/>
      <c r="E8" s="6"/>
      <c r="F8" s="5"/>
      <c r="G8" s="6"/>
      <c r="H8" s="5"/>
      <c r="I8" s="6"/>
      <c r="J8" s="5"/>
      <c r="K8" s="6"/>
      <c r="L8" s="5"/>
      <c r="M8" s="6"/>
      <c r="N8" s="5"/>
      <c r="O8" s="6"/>
      <c r="P8" s="5"/>
      <c r="Q8" s="6"/>
      <c r="R8" s="5"/>
      <c r="S8" s="6"/>
      <c r="T8" s="5"/>
      <c r="U8" s="6"/>
    </row>
    <row r="9" spans="1:21" x14ac:dyDescent="0.25">
      <c r="A9" s="114">
        <v>1716</v>
      </c>
      <c r="B9" s="5"/>
      <c r="C9" s="6"/>
      <c r="D9" s="5"/>
      <c r="E9" s="6"/>
      <c r="F9" s="5"/>
      <c r="G9" s="6"/>
      <c r="H9" s="5"/>
      <c r="I9" s="6"/>
      <c r="J9" s="5"/>
      <c r="K9" s="6"/>
      <c r="L9" s="5"/>
      <c r="M9" s="6"/>
      <c r="N9" s="5"/>
      <c r="O9" s="6"/>
      <c r="P9" s="5"/>
      <c r="Q9" s="6"/>
      <c r="R9" s="5"/>
      <c r="S9" s="6"/>
      <c r="T9" s="5"/>
      <c r="U9" s="6"/>
    </row>
    <row r="10" spans="1:21" x14ac:dyDescent="0.25">
      <c r="A10" s="114">
        <v>1781</v>
      </c>
      <c r="B10" s="5"/>
      <c r="C10" s="6"/>
      <c r="D10" s="5"/>
      <c r="E10" s="6"/>
      <c r="F10" s="5"/>
      <c r="G10" s="6"/>
      <c r="H10" s="5"/>
      <c r="I10" s="6"/>
      <c r="J10" s="5"/>
      <c r="K10" s="6"/>
      <c r="L10" s="5"/>
      <c r="M10" s="6"/>
      <c r="N10" s="5"/>
      <c r="O10" s="6"/>
      <c r="P10" s="5"/>
      <c r="Q10" s="6"/>
      <c r="R10" s="5"/>
      <c r="S10" s="6"/>
      <c r="T10" s="5"/>
      <c r="U10" s="6"/>
    </row>
    <row r="11" spans="1:21" x14ac:dyDescent="0.25">
      <c r="A11" s="114">
        <v>2175</v>
      </c>
      <c r="B11" s="5"/>
      <c r="C11" s="6"/>
      <c r="D11" s="5"/>
      <c r="E11" s="6"/>
      <c r="F11" s="5"/>
      <c r="G11" s="6"/>
      <c r="H11" s="5"/>
      <c r="I11" s="6"/>
      <c r="J11" s="5"/>
      <c r="K11" s="6"/>
      <c r="L11" s="5"/>
      <c r="M11" s="6"/>
      <c r="N11" s="5"/>
      <c r="O11" s="6"/>
      <c r="P11" s="5"/>
      <c r="Q11" s="6"/>
      <c r="R11" s="5"/>
      <c r="S11" s="6"/>
      <c r="T11" s="5"/>
      <c r="U11" s="6"/>
    </row>
    <row r="12" spans="1:21" x14ac:dyDescent="0.25">
      <c r="A12" s="114">
        <v>2220</v>
      </c>
      <c r="B12" s="5"/>
      <c r="C12" s="6"/>
      <c r="D12" s="5"/>
      <c r="E12" s="6"/>
      <c r="F12" s="5"/>
      <c r="G12" s="6"/>
      <c r="H12" s="5"/>
      <c r="I12" s="6"/>
      <c r="J12" s="5"/>
      <c r="K12" s="6"/>
      <c r="L12" s="5"/>
      <c r="M12" s="6"/>
      <c r="N12" s="5"/>
      <c r="O12" s="6"/>
      <c r="P12" s="5"/>
      <c r="Q12" s="6"/>
      <c r="R12" s="5"/>
      <c r="S12" s="6"/>
      <c r="T12" s="5"/>
      <c r="U12" s="6"/>
    </row>
    <row r="13" spans="1:21" x14ac:dyDescent="0.25">
      <c r="A13" s="114">
        <v>2491</v>
      </c>
      <c r="B13" s="5"/>
      <c r="C13" s="6"/>
      <c r="D13" s="5"/>
      <c r="E13" s="6"/>
      <c r="F13" s="5"/>
      <c r="G13" s="6"/>
      <c r="H13" s="5"/>
      <c r="I13" s="6"/>
      <c r="J13" s="5"/>
      <c r="K13" s="6"/>
      <c r="L13" s="5"/>
      <c r="M13" s="6"/>
      <c r="N13" s="5"/>
      <c r="O13" s="6"/>
      <c r="P13" s="5"/>
      <c r="Q13" s="6"/>
      <c r="R13" s="5"/>
      <c r="S13" s="6"/>
      <c r="T13" s="5"/>
      <c r="U13" s="6"/>
    </row>
    <row r="14" spans="1:21" x14ac:dyDescent="0.25">
      <c r="A14" s="114">
        <v>2500</v>
      </c>
      <c r="B14" s="5"/>
      <c r="C14" s="6"/>
      <c r="D14" s="5"/>
      <c r="E14" s="6"/>
      <c r="F14" s="5"/>
      <c r="G14" s="6"/>
      <c r="H14" s="5"/>
      <c r="I14" s="6"/>
      <c r="J14" s="5"/>
      <c r="K14" s="6"/>
      <c r="L14" s="5"/>
      <c r="M14" s="6"/>
      <c r="N14" s="5"/>
      <c r="O14" s="6"/>
      <c r="P14" s="5"/>
      <c r="Q14" s="6"/>
      <c r="R14" s="5"/>
      <c r="S14" s="6"/>
      <c r="T14" s="5"/>
      <c r="U14" s="6"/>
    </row>
    <row r="15" spans="1:21" x14ac:dyDescent="0.25">
      <c r="A15" s="114">
        <v>2502</v>
      </c>
      <c r="B15" s="5"/>
      <c r="C15" s="6"/>
      <c r="D15" s="5"/>
      <c r="E15" s="6"/>
      <c r="F15" s="5"/>
      <c r="G15" s="6"/>
      <c r="H15" s="5"/>
      <c r="I15" s="6"/>
      <c r="J15" s="5"/>
      <c r="K15" s="6"/>
      <c r="L15" s="5"/>
      <c r="M15" s="6"/>
      <c r="N15" s="5"/>
      <c r="O15" s="6"/>
      <c r="P15" s="5"/>
      <c r="Q15" s="6"/>
      <c r="R15" s="5"/>
      <c r="S15" s="6"/>
      <c r="T15" s="5"/>
      <c r="U15" s="6"/>
    </row>
    <row r="16" spans="1:21" x14ac:dyDescent="0.25">
      <c r="A16" s="114">
        <v>2506</v>
      </c>
      <c r="B16" s="5"/>
      <c r="C16" s="6"/>
      <c r="D16" s="5"/>
      <c r="E16" s="6"/>
      <c r="F16" s="5"/>
      <c r="G16" s="6"/>
      <c r="H16" s="5"/>
      <c r="I16" s="6"/>
      <c r="J16" s="5"/>
      <c r="K16" s="6"/>
      <c r="L16" s="5"/>
      <c r="M16" s="6"/>
      <c r="N16" s="5"/>
      <c r="O16" s="6"/>
      <c r="P16" s="5"/>
      <c r="Q16" s="6"/>
      <c r="R16" s="5"/>
      <c r="S16" s="6"/>
      <c r="T16" s="5"/>
      <c r="U16" s="6"/>
    </row>
    <row r="17" spans="1:21" x14ac:dyDescent="0.25">
      <c r="A17" s="114">
        <v>2512</v>
      </c>
      <c r="B17" s="5"/>
      <c r="C17" s="6"/>
      <c r="D17" s="5"/>
      <c r="E17" s="6"/>
      <c r="F17" s="5"/>
      <c r="G17" s="6"/>
      <c r="H17" s="5"/>
      <c r="I17" s="6"/>
      <c r="J17" s="5"/>
      <c r="K17" s="6"/>
      <c r="L17" s="5"/>
      <c r="M17" s="6"/>
      <c r="N17" s="5"/>
      <c r="O17" s="6"/>
      <c r="P17" s="5"/>
      <c r="Q17" s="6"/>
      <c r="R17" s="5"/>
      <c r="S17" s="6"/>
      <c r="T17" s="5"/>
      <c r="U17" s="6"/>
    </row>
    <row r="18" spans="1:21" x14ac:dyDescent="0.25">
      <c r="A18" s="114">
        <v>2518</v>
      </c>
      <c r="B18" s="5"/>
      <c r="C18" s="6"/>
      <c r="D18" s="5"/>
      <c r="E18" s="6"/>
      <c r="F18" s="5"/>
      <c r="G18" s="6"/>
      <c r="H18" s="5"/>
      <c r="I18" s="6"/>
      <c r="J18" s="5"/>
      <c r="K18" s="6"/>
      <c r="L18" s="5"/>
      <c r="M18" s="6"/>
      <c r="N18" s="5"/>
      <c r="O18" s="6"/>
      <c r="P18" s="5"/>
      <c r="Q18" s="6"/>
      <c r="R18" s="5"/>
      <c r="S18" s="6"/>
      <c r="T18" s="5"/>
      <c r="U18" s="6"/>
    </row>
    <row r="19" spans="1:21" x14ac:dyDescent="0.25">
      <c r="A19" s="114">
        <v>2538</v>
      </c>
      <c r="B19" s="5"/>
      <c r="C19" s="6"/>
      <c r="D19" s="5"/>
      <c r="E19" s="6"/>
      <c r="F19" s="5"/>
      <c r="G19" s="6"/>
      <c r="H19" s="5"/>
      <c r="I19" s="6"/>
      <c r="J19" s="5"/>
      <c r="K19" s="6"/>
      <c r="L19" s="5"/>
      <c r="M19" s="6"/>
      <c r="N19" s="5"/>
      <c r="O19" s="6"/>
      <c r="P19" s="5"/>
      <c r="Q19" s="6"/>
      <c r="R19" s="5"/>
      <c r="S19" s="6"/>
      <c r="T19" s="5"/>
      <c r="U19" s="6"/>
    </row>
    <row r="20" spans="1:21" x14ac:dyDescent="0.25">
      <c r="A20" s="114">
        <v>2574</v>
      </c>
      <c r="B20" s="5"/>
      <c r="C20" s="6"/>
      <c r="D20" s="5"/>
      <c r="E20" s="6"/>
      <c r="F20" s="5"/>
      <c r="G20" s="6"/>
      <c r="H20" s="5"/>
      <c r="I20" s="6"/>
      <c r="J20" s="5"/>
      <c r="K20" s="6"/>
      <c r="L20" s="5"/>
      <c r="M20" s="6"/>
      <c r="N20" s="5"/>
      <c r="O20" s="6"/>
      <c r="P20" s="5"/>
      <c r="Q20" s="6"/>
      <c r="R20" s="5"/>
      <c r="S20" s="6"/>
      <c r="T20" s="5"/>
      <c r="U20" s="6"/>
    </row>
    <row r="21" spans="1:21" x14ac:dyDescent="0.25">
      <c r="A21" s="114">
        <v>2826</v>
      </c>
      <c r="B21" s="5"/>
      <c r="C21" s="6"/>
      <c r="D21" s="5"/>
      <c r="E21" s="6"/>
      <c r="F21" s="5"/>
      <c r="G21" s="6"/>
      <c r="H21" s="5"/>
      <c r="I21" s="6"/>
      <c r="J21" s="5"/>
      <c r="K21" s="6"/>
      <c r="L21" s="5"/>
      <c r="M21" s="6"/>
      <c r="N21" s="5"/>
      <c r="O21" s="6"/>
      <c r="P21" s="5"/>
      <c r="Q21" s="6"/>
      <c r="R21" s="5"/>
      <c r="S21" s="6"/>
      <c r="T21" s="5"/>
      <c r="U21" s="6"/>
    </row>
    <row r="22" spans="1:21" x14ac:dyDescent="0.25">
      <c r="A22" s="114">
        <v>2846</v>
      </c>
      <c r="B22" s="5"/>
      <c r="C22" s="6"/>
      <c r="D22" s="5"/>
      <c r="E22" s="6"/>
      <c r="F22" s="5"/>
      <c r="G22" s="6"/>
      <c r="H22" s="5"/>
      <c r="I22" s="6"/>
      <c r="J22" s="5"/>
      <c r="K22" s="6"/>
      <c r="L22" s="5"/>
      <c r="M22" s="6"/>
      <c r="N22" s="5"/>
      <c r="O22" s="6"/>
      <c r="P22" s="5"/>
      <c r="Q22" s="6"/>
      <c r="R22" s="5"/>
      <c r="S22" s="6"/>
      <c r="T22" s="5"/>
      <c r="U22" s="6"/>
    </row>
    <row r="23" spans="1:21" x14ac:dyDescent="0.25">
      <c r="A23" s="114">
        <v>2883</v>
      </c>
      <c r="B23" s="5"/>
      <c r="C23" s="6"/>
      <c r="D23" s="5"/>
      <c r="E23" s="6"/>
      <c r="F23" s="5"/>
      <c r="G23" s="6"/>
      <c r="H23" s="5"/>
      <c r="I23" s="6"/>
      <c r="J23" s="5"/>
      <c r="K23" s="6"/>
      <c r="L23" s="5"/>
      <c r="M23" s="6"/>
      <c r="N23" s="5"/>
      <c r="O23" s="6"/>
      <c r="P23" s="5"/>
      <c r="Q23" s="6"/>
      <c r="R23" s="5"/>
      <c r="S23" s="6"/>
      <c r="T23" s="5"/>
      <c r="U23" s="6"/>
    </row>
    <row r="24" spans="1:21" x14ac:dyDescent="0.25">
      <c r="A24" s="114">
        <v>2957</v>
      </c>
      <c r="B24" s="5"/>
      <c r="C24" s="6"/>
      <c r="D24" s="5"/>
      <c r="E24" s="6"/>
      <c r="F24" s="5"/>
      <c r="G24" s="6"/>
      <c r="H24" s="5"/>
      <c r="I24" s="6"/>
      <c r="J24" s="5"/>
      <c r="K24" s="6"/>
      <c r="L24" s="5"/>
      <c r="M24" s="6"/>
      <c r="N24" s="5"/>
      <c r="O24" s="6"/>
      <c r="P24" s="5"/>
      <c r="Q24" s="6"/>
      <c r="R24" s="5"/>
      <c r="S24" s="6"/>
      <c r="T24" s="5"/>
      <c r="U24" s="6"/>
    </row>
    <row r="25" spans="1:21" x14ac:dyDescent="0.25">
      <c r="A25" s="114">
        <v>3036</v>
      </c>
      <c r="B25" s="5"/>
      <c r="C25" s="6"/>
      <c r="D25" s="5"/>
      <c r="E25" s="6"/>
      <c r="F25" s="5"/>
      <c r="G25" s="6"/>
      <c r="H25" s="5"/>
      <c r="I25" s="6"/>
      <c r="J25" s="5"/>
      <c r="K25" s="6"/>
      <c r="L25" s="5"/>
      <c r="M25" s="6"/>
      <c r="N25" s="5"/>
      <c r="O25" s="6"/>
      <c r="P25" s="5"/>
      <c r="Q25" s="6"/>
      <c r="R25" s="5"/>
      <c r="S25" s="6"/>
      <c r="T25" s="5"/>
      <c r="U25" s="6"/>
    </row>
    <row r="26" spans="1:21" x14ac:dyDescent="0.25">
      <c r="A26" s="114">
        <v>3055</v>
      </c>
      <c r="B26" s="5"/>
      <c r="C26" s="6"/>
      <c r="D26" s="5"/>
      <c r="E26" s="6"/>
      <c r="F26" s="5"/>
      <c r="G26" s="6"/>
      <c r="H26" s="5"/>
      <c r="I26" s="6"/>
      <c r="J26" s="5"/>
      <c r="K26" s="6"/>
      <c r="L26" s="5"/>
      <c r="M26" s="6"/>
      <c r="N26" s="5"/>
      <c r="O26" s="6"/>
      <c r="P26" s="5"/>
      <c r="Q26" s="6"/>
      <c r="R26" s="5"/>
      <c r="S26" s="6"/>
      <c r="T26" s="5"/>
      <c r="U26" s="6"/>
    </row>
    <row r="27" spans="1:21" x14ac:dyDescent="0.25">
      <c r="A27" s="114">
        <v>3056</v>
      </c>
      <c r="B27" s="5"/>
      <c r="C27" s="6"/>
      <c r="D27" s="5"/>
      <c r="E27" s="6"/>
      <c r="F27" s="5"/>
      <c r="G27" s="6"/>
      <c r="H27" s="5"/>
      <c r="I27" s="6"/>
      <c r="J27" s="5"/>
      <c r="K27" s="6"/>
      <c r="L27" s="5"/>
      <c r="M27" s="6"/>
      <c r="N27" s="5"/>
      <c r="O27" s="6"/>
      <c r="P27" s="5"/>
      <c r="Q27" s="6"/>
      <c r="R27" s="5"/>
      <c r="S27" s="6"/>
      <c r="T27" s="5"/>
      <c r="U27" s="6"/>
    </row>
    <row r="28" spans="1:21" x14ac:dyDescent="0.25">
      <c r="A28" s="114">
        <v>3130</v>
      </c>
      <c r="B28" s="5"/>
      <c r="C28" s="6"/>
      <c r="D28" s="5"/>
      <c r="E28" s="6"/>
      <c r="F28" s="5"/>
      <c r="G28" s="6"/>
      <c r="H28" s="5"/>
      <c r="I28" s="6"/>
      <c r="J28" s="5"/>
      <c r="K28" s="6"/>
      <c r="L28" s="5"/>
      <c r="M28" s="6"/>
      <c r="N28" s="5"/>
      <c r="O28" s="6"/>
      <c r="P28" s="5"/>
      <c r="Q28" s="6"/>
      <c r="R28" s="5"/>
      <c r="S28" s="6"/>
      <c r="T28" s="5"/>
      <c r="U28" s="6"/>
    </row>
    <row r="29" spans="1:21" x14ac:dyDescent="0.25">
      <c r="A29" s="114">
        <v>3197</v>
      </c>
      <c r="B29" s="5"/>
      <c r="C29" s="6"/>
      <c r="D29" s="5"/>
      <c r="E29" s="6"/>
      <c r="F29" s="5"/>
      <c r="G29" s="6"/>
      <c r="H29" s="5"/>
      <c r="I29" s="6"/>
      <c r="J29" s="5"/>
      <c r="K29" s="6"/>
      <c r="L29" s="5"/>
      <c r="M29" s="6"/>
      <c r="N29" s="5"/>
      <c r="O29" s="6"/>
      <c r="P29" s="5"/>
      <c r="Q29" s="6"/>
      <c r="R29" s="5"/>
      <c r="S29" s="6"/>
      <c r="T29" s="5"/>
      <c r="U29" s="6"/>
    </row>
    <row r="30" spans="1:21" x14ac:dyDescent="0.25">
      <c r="A30" s="114">
        <v>3206</v>
      </c>
      <c r="B30" s="5"/>
      <c r="C30" s="6"/>
      <c r="D30" s="5"/>
      <c r="E30" s="6"/>
      <c r="F30" s="5"/>
      <c r="G30" s="6"/>
      <c r="H30" s="5"/>
      <c r="I30" s="6"/>
      <c r="J30" s="5"/>
      <c r="K30" s="6"/>
      <c r="L30" s="5"/>
      <c r="M30" s="6"/>
      <c r="N30" s="5"/>
      <c r="O30" s="6"/>
      <c r="P30" s="5"/>
      <c r="Q30" s="6"/>
      <c r="R30" s="5"/>
      <c r="S30" s="6"/>
      <c r="T30" s="5"/>
      <c r="U30" s="6"/>
    </row>
    <row r="31" spans="1:21" x14ac:dyDescent="0.25">
      <c r="A31" s="114">
        <v>3212</v>
      </c>
      <c r="B31" s="5"/>
      <c r="C31" s="6"/>
      <c r="D31" s="5"/>
      <c r="E31" s="6"/>
      <c r="F31" s="5"/>
      <c r="G31" s="6"/>
      <c r="H31" s="5"/>
      <c r="I31" s="6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6"/>
    </row>
    <row r="32" spans="1:21" x14ac:dyDescent="0.25">
      <c r="A32" s="114">
        <v>3267</v>
      </c>
      <c r="B32" s="5"/>
      <c r="C32" s="6"/>
      <c r="D32" s="5"/>
      <c r="E32" s="6"/>
      <c r="F32" s="5"/>
      <c r="G32" s="6"/>
      <c r="H32" s="5"/>
      <c r="I32" s="6"/>
      <c r="J32" s="5"/>
      <c r="K32" s="6"/>
      <c r="L32" s="5"/>
      <c r="M32" s="6"/>
      <c r="N32" s="5"/>
      <c r="O32" s="6"/>
      <c r="P32" s="5"/>
      <c r="Q32" s="6"/>
      <c r="R32" s="5"/>
      <c r="S32" s="6"/>
      <c r="T32" s="5"/>
      <c r="U32" s="6"/>
    </row>
    <row r="33" spans="1:21" x14ac:dyDescent="0.25">
      <c r="A33" s="114">
        <v>3298</v>
      </c>
      <c r="B33" s="5"/>
      <c r="C33" s="6"/>
      <c r="D33" s="5"/>
      <c r="E33" s="6"/>
      <c r="F33" s="5"/>
      <c r="G33" s="6"/>
      <c r="H33" s="5"/>
      <c r="I33" s="6"/>
      <c r="J33" s="5"/>
      <c r="K33" s="6"/>
      <c r="L33" s="5"/>
      <c r="M33" s="6"/>
      <c r="N33" s="5"/>
      <c r="O33" s="6"/>
      <c r="P33" s="5"/>
      <c r="Q33" s="6"/>
      <c r="R33" s="5"/>
      <c r="S33" s="6"/>
      <c r="T33" s="5"/>
      <c r="U33" s="6"/>
    </row>
    <row r="34" spans="1:21" x14ac:dyDescent="0.25">
      <c r="A34" s="114">
        <v>3381</v>
      </c>
      <c r="B34" s="5"/>
      <c r="C34" s="6"/>
      <c r="D34" s="5"/>
      <c r="E34" s="6"/>
      <c r="F34" s="5"/>
      <c r="G34" s="6"/>
      <c r="H34" s="5"/>
      <c r="I34" s="6"/>
      <c r="J34" s="5"/>
      <c r="K34" s="6"/>
      <c r="L34" s="5"/>
      <c r="M34" s="6"/>
      <c r="N34" s="5"/>
      <c r="O34" s="6"/>
      <c r="P34" s="5"/>
      <c r="Q34" s="6"/>
      <c r="R34" s="5"/>
      <c r="S34" s="6"/>
      <c r="T34" s="5"/>
      <c r="U34" s="6"/>
    </row>
    <row r="35" spans="1:21" x14ac:dyDescent="0.25">
      <c r="A35" s="114">
        <v>3723</v>
      </c>
      <c r="B35" s="5"/>
      <c r="C35" s="6"/>
      <c r="D35" s="5"/>
      <c r="E35" s="6"/>
      <c r="F35" s="5"/>
      <c r="G35" s="6"/>
      <c r="H35" s="5"/>
      <c r="I35" s="6"/>
      <c r="J35" s="5"/>
      <c r="K35" s="6"/>
      <c r="L35" s="5"/>
      <c r="M35" s="6"/>
      <c r="N35" s="5"/>
      <c r="O35" s="6"/>
      <c r="P35" s="5"/>
      <c r="Q35" s="6"/>
      <c r="R35" s="5"/>
      <c r="S35" s="6"/>
      <c r="T35" s="5"/>
      <c r="U35" s="6"/>
    </row>
    <row r="36" spans="1:21" x14ac:dyDescent="0.25">
      <c r="A36" s="114">
        <v>3750</v>
      </c>
      <c r="B36" s="5"/>
      <c r="C36" s="6"/>
      <c r="D36" s="5"/>
      <c r="E36" s="6"/>
      <c r="F36" s="5"/>
      <c r="G36" s="6"/>
      <c r="H36" s="5"/>
      <c r="I36" s="6"/>
      <c r="J36" s="5"/>
      <c r="K36" s="6"/>
      <c r="L36" s="5"/>
      <c r="M36" s="6"/>
      <c r="N36" s="5"/>
      <c r="O36" s="6"/>
      <c r="P36" s="5"/>
      <c r="Q36" s="6"/>
      <c r="R36" s="5"/>
      <c r="S36" s="6"/>
      <c r="T36" s="5"/>
      <c r="U36" s="6"/>
    </row>
    <row r="37" spans="1:21" x14ac:dyDescent="0.25">
      <c r="A37" s="114">
        <v>3754</v>
      </c>
      <c r="B37" s="5"/>
      <c r="C37" s="6"/>
      <c r="D37" s="5"/>
      <c r="E37" s="6"/>
      <c r="F37" s="5"/>
      <c r="G37" s="6"/>
      <c r="H37" s="5"/>
      <c r="I37" s="6"/>
      <c r="J37" s="5"/>
      <c r="K37" s="6"/>
      <c r="L37" s="5"/>
      <c r="M37" s="6"/>
      <c r="N37" s="5"/>
      <c r="O37" s="6"/>
      <c r="P37" s="5"/>
      <c r="Q37" s="6"/>
      <c r="R37" s="5"/>
      <c r="S37" s="6"/>
      <c r="T37" s="5"/>
      <c r="U37" s="6"/>
    </row>
    <row r="38" spans="1:21" x14ac:dyDescent="0.25">
      <c r="A38" s="114">
        <v>4166</v>
      </c>
      <c r="B38" s="5"/>
      <c r="C38" s="6"/>
      <c r="D38" s="5"/>
      <c r="E38" s="6"/>
      <c r="F38" s="5"/>
      <c r="G38" s="6"/>
      <c r="H38" s="5"/>
      <c r="I38" s="6"/>
      <c r="J38" s="5"/>
      <c r="K38" s="6"/>
      <c r="L38" s="5"/>
      <c r="M38" s="6"/>
      <c r="N38" s="5"/>
      <c r="O38" s="6"/>
      <c r="P38" s="5"/>
      <c r="Q38" s="6"/>
      <c r="R38" s="5"/>
      <c r="S38" s="6"/>
      <c r="T38" s="5"/>
      <c r="U38" s="6"/>
    </row>
    <row r="39" spans="1:21" x14ac:dyDescent="0.25">
      <c r="A39" s="114">
        <v>4198</v>
      </c>
      <c r="B39" s="5"/>
      <c r="C39" s="6"/>
      <c r="D39" s="5"/>
      <c r="E39" s="6"/>
      <c r="F39" s="5"/>
      <c r="G39" s="6"/>
      <c r="H39" s="5"/>
      <c r="I39" s="6"/>
      <c r="J39" s="5"/>
      <c r="K39" s="6"/>
      <c r="L39" s="5"/>
      <c r="M39" s="6"/>
      <c r="N39" s="5"/>
      <c r="O39" s="6"/>
      <c r="P39" s="5"/>
      <c r="Q39" s="6"/>
      <c r="R39" s="5"/>
      <c r="S39" s="6"/>
      <c r="T39" s="5"/>
      <c r="U39" s="6"/>
    </row>
    <row r="40" spans="1:21" x14ac:dyDescent="0.25">
      <c r="A40" s="114">
        <v>4226</v>
      </c>
      <c r="B40" s="5"/>
      <c r="C40" s="6"/>
      <c r="D40" s="5"/>
      <c r="E40" s="6"/>
      <c r="F40" s="5"/>
      <c r="G40" s="6"/>
      <c r="H40" s="5"/>
      <c r="I40" s="6"/>
      <c r="J40" s="5"/>
      <c r="K40" s="6"/>
      <c r="L40" s="5"/>
      <c r="M40" s="6"/>
      <c r="N40" s="5"/>
      <c r="O40" s="6"/>
      <c r="P40" s="5"/>
      <c r="Q40" s="6"/>
      <c r="R40" s="5"/>
      <c r="S40" s="6"/>
      <c r="T40" s="5"/>
      <c r="U40" s="6"/>
    </row>
    <row r="41" spans="1:21" x14ac:dyDescent="0.25">
      <c r="A41" s="114">
        <v>4238</v>
      </c>
      <c r="B41" s="5"/>
      <c r="C41" s="6"/>
      <c r="D41" s="5"/>
      <c r="E41" s="6"/>
      <c r="F41" s="5"/>
      <c r="G41" s="6"/>
      <c r="H41" s="5"/>
      <c r="I41" s="6"/>
      <c r="J41" s="5"/>
      <c r="K41" s="6"/>
      <c r="L41" s="5"/>
      <c r="M41" s="6"/>
      <c r="N41" s="5"/>
      <c r="O41" s="6"/>
      <c r="P41" s="5"/>
      <c r="Q41" s="6"/>
      <c r="R41" s="5"/>
      <c r="S41" s="6"/>
      <c r="T41" s="5"/>
      <c r="U41" s="6"/>
    </row>
    <row r="42" spans="1:21" x14ac:dyDescent="0.25">
      <c r="A42" s="114">
        <v>4531</v>
      </c>
      <c r="B42" s="5"/>
      <c r="C42" s="6"/>
      <c r="D42" s="5"/>
      <c r="E42" s="6"/>
      <c r="F42" s="5"/>
      <c r="G42" s="6"/>
      <c r="H42" s="5"/>
      <c r="I42" s="6"/>
      <c r="J42" s="5"/>
      <c r="K42" s="6"/>
      <c r="L42" s="5"/>
      <c r="M42" s="6"/>
      <c r="N42" s="5"/>
      <c r="O42" s="6"/>
      <c r="P42" s="5"/>
      <c r="Q42" s="6"/>
      <c r="R42" s="5"/>
      <c r="S42" s="6"/>
      <c r="T42" s="5"/>
      <c r="U42" s="6"/>
    </row>
    <row r="43" spans="1:21" x14ac:dyDescent="0.25">
      <c r="A43" s="114">
        <v>4549</v>
      </c>
      <c r="B43" s="5"/>
      <c r="C43" s="6"/>
      <c r="D43" s="5"/>
      <c r="E43" s="6"/>
      <c r="F43" s="5"/>
      <c r="G43" s="6"/>
      <c r="H43" s="5"/>
      <c r="I43" s="6"/>
      <c r="J43" s="5"/>
      <c r="K43" s="6"/>
      <c r="L43" s="5"/>
      <c r="M43" s="6"/>
      <c r="N43" s="5"/>
      <c r="O43" s="6"/>
      <c r="P43" s="5"/>
      <c r="Q43" s="6"/>
      <c r="R43" s="5"/>
      <c r="S43" s="6"/>
      <c r="T43" s="5"/>
      <c r="U43" s="6"/>
    </row>
    <row r="44" spans="1:21" x14ac:dyDescent="0.25">
      <c r="A44" s="114">
        <v>4623</v>
      </c>
      <c r="B44" s="5"/>
      <c r="C44" s="6"/>
      <c r="D44" s="5"/>
      <c r="E44" s="6"/>
      <c r="F44" s="5"/>
      <c r="G44" s="6"/>
      <c r="H44" s="5"/>
      <c r="I44" s="6"/>
      <c r="J44" s="5"/>
      <c r="K44" s="6"/>
      <c r="L44" s="5"/>
      <c r="M44" s="6"/>
      <c r="N44" s="5"/>
      <c r="O44" s="6"/>
      <c r="P44" s="5"/>
      <c r="Q44" s="6"/>
      <c r="R44" s="5"/>
      <c r="S44" s="6"/>
      <c r="T44" s="5"/>
      <c r="U44" s="6"/>
    </row>
    <row r="45" spans="1:21" x14ac:dyDescent="0.25">
      <c r="A45" s="114">
        <v>4624</v>
      </c>
      <c r="B45" s="5"/>
      <c r="C45" s="6"/>
      <c r="D45" s="5"/>
      <c r="E45" s="6"/>
      <c r="F45" s="5"/>
      <c r="G45" s="6"/>
      <c r="H45" s="5"/>
      <c r="I45" s="6"/>
      <c r="J45" s="5"/>
      <c r="K45" s="6"/>
      <c r="L45" s="5"/>
      <c r="M45" s="6"/>
      <c r="N45" s="5"/>
      <c r="O45" s="6"/>
      <c r="P45" s="5"/>
      <c r="Q45" s="6"/>
      <c r="R45" s="5"/>
      <c r="S45" s="6"/>
      <c r="T45" s="5"/>
      <c r="U45" s="6"/>
    </row>
    <row r="46" spans="1:21" x14ac:dyDescent="0.25">
      <c r="A46" s="114">
        <v>4656</v>
      </c>
      <c r="B46" s="5"/>
      <c r="C46" s="6"/>
      <c r="D46" s="5"/>
      <c r="E46" s="6"/>
      <c r="F46" s="5"/>
      <c r="G46" s="6"/>
      <c r="H46" s="5"/>
      <c r="I46" s="6"/>
      <c r="J46" s="5"/>
      <c r="K46" s="6"/>
      <c r="L46" s="5"/>
      <c r="M46" s="6"/>
      <c r="N46" s="5"/>
      <c r="O46" s="6"/>
      <c r="P46" s="5"/>
      <c r="Q46" s="6"/>
      <c r="R46" s="5"/>
      <c r="S46" s="6"/>
      <c r="T46" s="5"/>
      <c r="U46" s="6"/>
    </row>
    <row r="47" spans="1:21" x14ac:dyDescent="0.25">
      <c r="A47" s="114">
        <v>4657</v>
      </c>
      <c r="B47" s="5"/>
      <c r="C47" s="6"/>
      <c r="D47" s="5"/>
      <c r="E47" s="6"/>
      <c r="F47" s="5"/>
      <c r="G47" s="6"/>
      <c r="H47" s="5"/>
      <c r="I47" s="6"/>
      <c r="J47" s="5"/>
      <c r="K47" s="6"/>
      <c r="L47" s="5"/>
      <c r="M47" s="6"/>
      <c r="N47" s="5"/>
      <c r="O47" s="6"/>
      <c r="P47" s="5"/>
      <c r="Q47" s="6"/>
      <c r="R47" s="5"/>
      <c r="S47" s="6"/>
      <c r="T47" s="5"/>
      <c r="U47" s="6"/>
    </row>
    <row r="48" spans="1:21" x14ac:dyDescent="0.25">
      <c r="A48" s="114">
        <v>4671</v>
      </c>
      <c r="B48" s="5"/>
      <c r="C48" s="6"/>
      <c r="D48" s="5"/>
      <c r="E48" s="6"/>
      <c r="F48" s="5"/>
      <c r="G48" s="6"/>
      <c r="H48" s="5"/>
      <c r="I48" s="6"/>
      <c r="J48" s="5"/>
      <c r="K48" s="6"/>
      <c r="L48" s="5"/>
      <c r="M48" s="6"/>
      <c r="N48" s="5"/>
      <c r="O48" s="6"/>
      <c r="P48" s="5"/>
      <c r="Q48" s="6"/>
      <c r="R48" s="5"/>
      <c r="S48" s="6"/>
      <c r="T48" s="5"/>
      <c r="U48" s="6"/>
    </row>
    <row r="49" spans="1:21" x14ac:dyDescent="0.25">
      <c r="A49" s="114">
        <v>4674</v>
      </c>
      <c r="B49" s="5"/>
      <c r="C49" s="6"/>
      <c r="D49" s="5"/>
      <c r="E49" s="6"/>
      <c r="F49" s="5"/>
      <c r="G49" s="6"/>
      <c r="H49" s="5"/>
      <c r="I49" s="6"/>
      <c r="J49" s="5"/>
      <c r="K49" s="6"/>
      <c r="L49" s="5"/>
      <c r="M49" s="6"/>
      <c r="N49" s="5"/>
      <c r="O49" s="6"/>
      <c r="P49" s="5"/>
      <c r="Q49" s="6"/>
      <c r="R49" s="5"/>
      <c r="S49" s="6"/>
      <c r="T49" s="5"/>
      <c r="U49" s="6"/>
    </row>
    <row r="50" spans="1:21" x14ac:dyDescent="0.25">
      <c r="A50" s="114">
        <v>4693</v>
      </c>
      <c r="B50" s="5"/>
      <c r="C50" s="6"/>
      <c r="D50" s="5"/>
      <c r="E50" s="6"/>
      <c r="F50" s="5"/>
      <c r="G50" s="6"/>
      <c r="H50" s="5"/>
      <c r="I50" s="6"/>
      <c r="J50" s="5"/>
      <c r="K50" s="6"/>
      <c r="L50" s="5"/>
      <c r="M50" s="6"/>
      <c r="N50" s="5"/>
      <c r="O50" s="6"/>
      <c r="P50" s="5"/>
      <c r="Q50" s="6"/>
      <c r="R50" s="5"/>
      <c r="S50" s="6"/>
      <c r="T50" s="5"/>
      <c r="U50" s="6"/>
    </row>
    <row r="51" spans="1:21" x14ac:dyDescent="0.25">
      <c r="A51" s="114">
        <v>4703</v>
      </c>
      <c r="B51" s="5"/>
      <c r="C51" s="6"/>
      <c r="D51" s="5"/>
      <c r="E51" s="6"/>
      <c r="F51" s="5"/>
      <c r="G51" s="6"/>
      <c r="H51" s="5"/>
      <c r="I51" s="6"/>
      <c r="J51" s="5"/>
      <c r="K51" s="6"/>
      <c r="L51" s="5"/>
      <c r="M51" s="6"/>
      <c r="N51" s="5"/>
      <c r="O51" s="6"/>
      <c r="P51" s="5"/>
      <c r="Q51" s="6"/>
      <c r="R51" s="5"/>
      <c r="S51" s="6"/>
      <c r="T51" s="5"/>
      <c r="U51" s="6"/>
    </row>
    <row r="52" spans="1:21" x14ac:dyDescent="0.25">
      <c r="A52" s="114">
        <v>4728</v>
      </c>
      <c r="B52" s="5"/>
      <c r="C52" s="6"/>
      <c r="D52" s="5"/>
      <c r="E52" s="6"/>
      <c r="F52" s="5"/>
      <c r="G52" s="6"/>
      <c r="H52" s="5"/>
      <c r="I52" s="6"/>
      <c r="J52" s="5"/>
      <c r="K52" s="6"/>
      <c r="L52" s="5"/>
      <c r="M52" s="6"/>
      <c r="N52" s="5"/>
      <c r="O52" s="6"/>
      <c r="P52" s="5"/>
      <c r="Q52" s="6"/>
      <c r="R52" s="5"/>
      <c r="S52" s="6"/>
      <c r="T52" s="5"/>
      <c r="U52" s="6"/>
    </row>
    <row r="53" spans="1:21" x14ac:dyDescent="0.25">
      <c r="A53" s="114">
        <v>5172</v>
      </c>
      <c r="B53" s="5"/>
      <c r="C53" s="6"/>
      <c r="D53" s="5"/>
      <c r="E53" s="6"/>
      <c r="F53" s="5"/>
      <c r="G53" s="6"/>
      <c r="H53" s="5"/>
      <c r="I53" s="6"/>
      <c r="J53" s="5"/>
      <c r="K53" s="6"/>
      <c r="L53" s="5"/>
      <c r="M53" s="6"/>
      <c r="N53" s="5"/>
      <c r="O53" s="6"/>
      <c r="P53" s="5"/>
      <c r="Q53" s="6"/>
      <c r="R53" s="5"/>
      <c r="S53" s="6"/>
      <c r="T53" s="5"/>
      <c r="U53" s="6"/>
    </row>
    <row r="54" spans="1:21" x14ac:dyDescent="0.25">
      <c r="A54" s="114">
        <v>5232</v>
      </c>
      <c r="B54" s="5"/>
      <c r="C54" s="6"/>
      <c r="D54" s="5"/>
      <c r="E54" s="6"/>
      <c r="F54" s="5"/>
      <c r="G54" s="6"/>
      <c r="H54" s="5"/>
      <c r="I54" s="6"/>
      <c r="J54" s="5"/>
      <c r="K54" s="6"/>
      <c r="L54" s="5"/>
      <c r="M54" s="6"/>
      <c r="N54" s="5"/>
      <c r="O54" s="6"/>
      <c r="P54" s="5"/>
      <c r="Q54" s="6"/>
      <c r="R54" s="5"/>
      <c r="S54" s="6"/>
      <c r="T54" s="5"/>
      <c r="U54" s="6"/>
    </row>
    <row r="55" spans="1:21" x14ac:dyDescent="0.25">
      <c r="A55" s="114">
        <v>5253</v>
      </c>
      <c r="B55" s="5"/>
      <c r="C55" s="6"/>
      <c r="D55" s="5"/>
      <c r="E55" s="6"/>
      <c r="F55" s="5"/>
      <c r="G55" s="6"/>
      <c r="H55" s="5"/>
      <c r="I55" s="6"/>
      <c r="J55" s="5"/>
      <c r="K55" s="6"/>
      <c r="L55" s="5"/>
      <c r="M55" s="6"/>
      <c r="N55" s="5"/>
      <c r="O55" s="6"/>
      <c r="P55" s="5"/>
      <c r="Q55" s="6"/>
      <c r="R55" s="5"/>
      <c r="S55" s="6"/>
      <c r="T55" s="5"/>
      <c r="U55" s="6"/>
    </row>
    <row r="56" spans="1:21" x14ac:dyDescent="0.25">
      <c r="A56" s="114">
        <v>5278</v>
      </c>
      <c r="B56" s="5"/>
      <c r="C56" s="6"/>
      <c r="D56" s="5"/>
      <c r="E56" s="6"/>
      <c r="F56" s="5"/>
      <c r="G56" s="6"/>
      <c r="H56" s="5"/>
      <c r="I56" s="6"/>
      <c r="J56" s="5"/>
      <c r="K56" s="6"/>
      <c r="L56" s="5"/>
      <c r="M56" s="6"/>
      <c r="N56" s="5"/>
      <c r="O56" s="6"/>
      <c r="P56" s="5"/>
      <c r="Q56" s="6"/>
      <c r="R56" s="5"/>
      <c r="S56" s="6"/>
      <c r="T56" s="5"/>
      <c r="U56" s="6"/>
    </row>
    <row r="57" spans="1:21" ht="15.75" thickBot="1" x14ac:dyDescent="0.3">
      <c r="A57" s="114">
        <v>5348</v>
      </c>
      <c r="B57" s="7"/>
      <c r="C57" s="9"/>
      <c r="D57" s="7"/>
      <c r="E57" s="9"/>
      <c r="F57" s="7"/>
      <c r="G57" s="9"/>
      <c r="H57" s="7"/>
      <c r="I57" s="9"/>
      <c r="J57" s="7"/>
      <c r="K57" s="9"/>
      <c r="L57" s="7"/>
      <c r="M57" s="9"/>
      <c r="N57" s="7"/>
      <c r="O57" s="9"/>
      <c r="P57" s="7"/>
      <c r="Q57" s="9"/>
      <c r="R57" s="7"/>
      <c r="S57" s="9"/>
      <c r="T57" s="7"/>
      <c r="U57" s="9"/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2"/>
  <sheetViews>
    <sheetView workbookViewId="0">
      <selection activeCell="L23" sqref="L23"/>
    </sheetView>
  </sheetViews>
  <sheetFormatPr defaultRowHeight="15" x14ac:dyDescent="0.25"/>
  <cols>
    <col min="1" max="1" width="9.140625" style="3"/>
    <col min="13" max="13" width="9.140625" customWidth="1"/>
    <col min="16" max="16" width="9.140625" style="3"/>
  </cols>
  <sheetData>
    <row r="1" spans="1:21" x14ac:dyDescent="0.25">
      <c r="A1" s="158" t="s">
        <v>144</v>
      </c>
      <c r="B1" s="159"/>
      <c r="C1" s="160"/>
      <c r="D1" s="158" t="s">
        <v>145</v>
      </c>
      <c r="E1" s="159"/>
      <c r="F1" s="160"/>
      <c r="G1" s="158" t="s">
        <v>146</v>
      </c>
      <c r="H1" s="159"/>
      <c r="I1" s="160"/>
      <c r="J1" s="158" t="s">
        <v>147</v>
      </c>
      <c r="K1" s="159"/>
      <c r="L1" s="160"/>
      <c r="M1" s="158" t="s">
        <v>152</v>
      </c>
      <c r="N1" s="159"/>
      <c r="O1" s="160"/>
      <c r="P1" s="158" t="s">
        <v>150</v>
      </c>
      <c r="Q1" s="159"/>
      <c r="R1" s="160"/>
      <c r="S1" s="158" t="s">
        <v>151</v>
      </c>
      <c r="T1" s="159"/>
      <c r="U1" s="160"/>
    </row>
    <row r="2" spans="1:21" x14ac:dyDescent="0.25">
      <c r="A2" s="5" t="s">
        <v>148</v>
      </c>
      <c r="B2" s="1" t="s">
        <v>17</v>
      </c>
      <c r="C2" s="6" t="s">
        <v>149</v>
      </c>
      <c r="D2" s="5" t="s">
        <v>148</v>
      </c>
      <c r="E2" s="1" t="s">
        <v>17</v>
      </c>
      <c r="F2" s="6" t="s">
        <v>149</v>
      </c>
      <c r="G2" s="5" t="s">
        <v>148</v>
      </c>
      <c r="H2" s="1" t="s">
        <v>17</v>
      </c>
      <c r="I2" s="6" t="s">
        <v>149</v>
      </c>
      <c r="J2" s="5" t="s">
        <v>148</v>
      </c>
      <c r="K2" s="1" t="s">
        <v>17</v>
      </c>
      <c r="L2" s="6" t="s">
        <v>149</v>
      </c>
      <c r="M2" s="5" t="s">
        <v>148</v>
      </c>
      <c r="N2" s="1" t="s">
        <v>17</v>
      </c>
      <c r="O2" s="6" t="s">
        <v>149</v>
      </c>
      <c r="P2" s="5" t="s">
        <v>148</v>
      </c>
      <c r="Q2" s="1" t="s">
        <v>17</v>
      </c>
      <c r="R2" s="6" t="s">
        <v>149</v>
      </c>
      <c r="S2" s="5" t="s">
        <v>148</v>
      </c>
      <c r="T2" s="1" t="s">
        <v>17</v>
      </c>
      <c r="U2" s="6" t="s">
        <v>149</v>
      </c>
    </row>
    <row r="3" spans="1:21" x14ac:dyDescent="0.25">
      <c r="A3" s="5">
        <v>1</v>
      </c>
      <c r="B3" s="1"/>
      <c r="C3" s="6"/>
      <c r="D3" s="5">
        <v>1</v>
      </c>
      <c r="E3" s="1"/>
      <c r="F3" s="6"/>
      <c r="G3" s="5">
        <v>1</v>
      </c>
      <c r="H3" s="1"/>
      <c r="I3" s="6"/>
      <c r="J3" s="5">
        <v>1</v>
      </c>
      <c r="K3" s="1"/>
      <c r="L3" s="6"/>
      <c r="M3" s="5">
        <v>1</v>
      </c>
      <c r="N3" s="1"/>
      <c r="O3" s="6"/>
      <c r="P3" s="5">
        <v>1</v>
      </c>
      <c r="Q3" s="1"/>
      <c r="R3" s="6"/>
      <c r="S3" s="5">
        <v>1</v>
      </c>
      <c r="T3" s="1"/>
      <c r="U3" s="6"/>
    </row>
    <row r="4" spans="1:21" x14ac:dyDescent="0.25">
      <c r="A4" s="5">
        <v>2</v>
      </c>
      <c r="B4" s="1"/>
      <c r="C4" s="6"/>
      <c r="D4" s="5">
        <v>2</v>
      </c>
      <c r="E4" s="1"/>
      <c r="F4" s="6"/>
      <c r="G4" s="5">
        <v>2</v>
      </c>
      <c r="H4" s="1"/>
      <c r="I4" s="6"/>
      <c r="J4" s="5">
        <v>2</v>
      </c>
      <c r="K4" s="1"/>
      <c r="L4" s="6"/>
      <c r="M4" s="5">
        <v>2</v>
      </c>
      <c r="N4" s="1"/>
      <c r="O4" s="6"/>
      <c r="P4" s="5">
        <v>2</v>
      </c>
      <c r="Q4" s="1"/>
      <c r="R4" s="6"/>
      <c r="S4" s="5">
        <v>2</v>
      </c>
      <c r="T4" s="1"/>
      <c r="U4" s="6"/>
    </row>
    <row r="5" spans="1:21" x14ac:dyDescent="0.25">
      <c r="A5" s="5">
        <v>3</v>
      </c>
      <c r="B5" s="1"/>
      <c r="C5" s="6"/>
      <c r="D5" s="5">
        <v>3</v>
      </c>
      <c r="E5" s="1"/>
      <c r="F5" s="6"/>
      <c r="G5" s="5">
        <v>3</v>
      </c>
      <c r="H5" s="1"/>
      <c r="I5" s="6"/>
      <c r="J5" s="5">
        <v>3</v>
      </c>
      <c r="K5" s="1"/>
      <c r="L5" s="6"/>
      <c r="M5" s="5">
        <v>3</v>
      </c>
      <c r="N5" s="1"/>
      <c r="O5" s="6"/>
      <c r="P5" s="5">
        <v>3</v>
      </c>
      <c r="Q5" s="1"/>
      <c r="R5" s="6"/>
      <c r="S5" s="5">
        <v>3</v>
      </c>
      <c r="T5" s="1"/>
      <c r="U5" s="6"/>
    </row>
    <row r="6" spans="1:21" x14ac:dyDescent="0.25">
      <c r="A6" s="5">
        <v>4</v>
      </c>
      <c r="B6" s="1"/>
      <c r="C6" s="6"/>
      <c r="D6" s="5">
        <v>4</v>
      </c>
      <c r="E6" s="1"/>
      <c r="F6" s="6"/>
      <c r="G6" s="5">
        <v>4</v>
      </c>
      <c r="H6" s="1"/>
      <c r="I6" s="6"/>
      <c r="J6" s="5">
        <v>4</v>
      </c>
      <c r="K6" s="1"/>
      <c r="L6" s="6"/>
      <c r="M6" s="5">
        <v>4</v>
      </c>
      <c r="N6" s="1"/>
      <c r="O6" s="6"/>
      <c r="P6" s="5">
        <v>4</v>
      </c>
      <c r="Q6" s="1"/>
      <c r="R6" s="6"/>
      <c r="S6" s="5">
        <v>4</v>
      </c>
      <c r="T6" s="1"/>
      <c r="U6" s="6"/>
    </row>
    <row r="7" spans="1:21" x14ac:dyDescent="0.25">
      <c r="A7" s="5">
        <v>5</v>
      </c>
      <c r="B7" s="1"/>
      <c r="C7" s="6"/>
      <c r="D7" s="5">
        <v>5</v>
      </c>
      <c r="E7" s="1"/>
      <c r="F7" s="6"/>
      <c r="G7" s="5">
        <v>5</v>
      </c>
      <c r="H7" s="1"/>
      <c r="I7" s="6"/>
      <c r="J7" s="5">
        <v>5</v>
      </c>
      <c r="K7" s="1"/>
      <c r="L7" s="6"/>
      <c r="M7" s="5">
        <v>5</v>
      </c>
      <c r="N7" s="1"/>
      <c r="O7" s="6"/>
      <c r="P7" s="5">
        <v>5</v>
      </c>
      <c r="Q7" s="1"/>
      <c r="R7" s="6"/>
      <c r="S7" s="5">
        <v>5</v>
      </c>
      <c r="T7" s="1"/>
      <c r="U7" s="6"/>
    </row>
    <row r="8" spans="1:21" x14ac:dyDescent="0.25">
      <c r="A8" s="5">
        <v>6</v>
      </c>
      <c r="B8" s="1"/>
      <c r="C8" s="6"/>
      <c r="D8" s="5">
        <v>6</v>
      </c>
      <c r="E8" s="1"/>
      <c r="F8" s="6"/>
      <c r="G8" s="5">
        <v>6</v>
      </c>
      <c r="H8" s="1"/>
      <c r="I8" s="6"/>
      <c r="J8" s="5">
        <v>6</v>
      </c>
      <c r="K8" s="1"/>
      <c r="L8" s="6"/>
      <c r="M8" s="5">
        <v>6</v>
      </c>
      <c r="N8" s="1"/>
      <c r="O8" s="6"/>
      <c r="P8" s="5">
        <v>6</v>
      </c>
      <c r="Q8" s="1"/>
      <c r="R8" s="6"/>
      <c r="S8" s="5">
        <v>6</v>
      </c>
      <c r="T8" s="1"/>
      <c r="U8" s="6"/>
    </row>
    <row r="9" spans="1:21" x14ac:dyDescent="0.25">
      <c r="A9" s="5">
        <v>7</v>
      </c>
      <c r="B9" s="1"/>
      <c r="C9" s="6"/>
      <c r="D9" s="5">
        <v>7</v>
      </c>
      <c r="E9" s="1"/>
      <c r="F9" s="6"/>
      <c r="G9" s="5">
        <v>7</v>
      </c>
      <c r="H9" s="1"/>
      <c r="I9" s="6"/>
      <c r="J9" s="5">
        <v>7</v>
      </c>
      <c r="K9" s="1"/>
      <c r="L9" s="6"/>
      <c r="M9" s="5">
        <v>7</v>
      </c>
      <c r="N9" s="1"/>
      <c r="O9" s="6"/>
      <c r="P9" s="5">
        <v>7</v>
      </c>
      <c r="Q9" s="1"/>
      <c r="R9" s="6"/>
      <c r="S9" s="5">
        <v>7</v>
      </c>
      <c r="T9" s="1"/>
      <c r="U9" s="6"/>
    </row>
    <row r="10" spans="1:21" x14ac:dyDescent="0.25">
      <c r="A10" s="5">
        <v>8</v>
      </c>
      <c r="B10" s="1"/>
      <c r="C10" s="6"/>
      <c r="D10" s="5">
        <v>8</v>
      </c>
      <c r="E10" s="1"/>
      <c r="F10" s="6"/>
      <c r="G10" s="5">
        <v>8</v>
      </c>
      <c r="H10" s="1"/>
      <c r="I10" s="6"/>
      <c r="J10" s="5">
        <v>8</v>
      </c>
      <c r="K10" s="1"/>
      <c r="L10" s="6"/>
      <c r="M10" s="5">
        <v>8</v>
      </c>
      <c r="N10" s="1"/>
      <c r="O10" s="6"/>
      <c r="P10" s="5">
        <v>8</v>
      </c>
      <c r="Q10" s="1"/>
      <c r="R10" s="6"/>
      <c r="S10" s="5">
        <v>8</v>
      </c>
      <c r="T10" s="1"/>
      <c r="U10" s="6"/>
    </row>
    <row r="11" spans="1:21" x14ac:dyDescent="0.25">
      <c r="A11" s="5">
        <v>9</v>
      </c>
      <c r="B11" s="1"/>
      <c r="C11" s="6"/>
      <c r="D11" s="5">
        <v>9</v>
      </c>
      <c r="E11" s="1"/>
      <c r="F11" s="6"/>
      <c r="G11" s="5">
        <v>9</v>
      </c>
      <c r="H11" s="1"/>
      <c r="I11" s="6"/>
      <c r="J11" s="5">
        <v>9</v>
      </c>
      <c r="K11" s="1"/>
      <c r="L11" s="6"/>
      <c r="M11" s="5">
        <v>9</v>
      </c>
      <c r="N11" s="1"/>
      <c r="O11" s="6"/>
      <c r="P11" s="5">
        <v>9</v>
      </c>
      <c r="Q11" s="1"/>
      <c r="R11" s="6"/>
      <c r="S11" s="5">
        <v>9</v>
      </c>
      <c r="T11" s="1"/>
      <c r="U11" s="6"/>
    </row>
    <row r="12" spans="1:21" ht="15.75" thickBot="1" x14ac:dyDescent="0.3">
      <c r="A12" s="7">
        <v>10</v>
      </c>
      <c r="B12" s="8"/>
      <c r="C12" s="9"/>
      <c r="D12" s="7">
        <v>10</v>
      </c>
      <c r="E12" s="8"/>
      <c r="F12" s="9"/>
      <c r="G12" s="7">
        <v>10</v>
      </c>
      <c r="H12" s="8"/>
      <c r="I12" s="9"/>
      <c r="J12" s="7">
        <v>10</v>
      </c>
      <c r="K12" s="8"/>
      <c r="L12" s="9"/>
      <c r="M12" s="7">
        <v>10</v>
      </c>
      <c r="N12" s="8"/>
      <c r="O12" s="9"/>
      <c r="P12" s="7">
        <v>10</v>
      </c>
      <c r="Q12" s="8"/>
      <c r="R12" s="9"/>
      <c r="S12" s="7">
        <v>10</v>
      </c>
      <c r="T12" s="8"/>
      <c r="U12" s="9"/>
    </row>
  </sheetData>
  <mergeCells count="7">
    <mergeCell ref="S1:U1"/>
    <mergeCell ref="A1:C1"/>
    <mergeCell ref="M1:O1"/>
    <mergeCell ref="G1:I1"/>
    <mergeCell ref="D1:F1"/>
    <mergeCell ref="J1:L1"/>
    <mergeCell ref="P1:R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workbookViewId="0">
      <selection activeCell="G32" sqref="G32"/>
    </sheetView>
  </sheetViews>
  <sheetFormatPr defaultRowHeight="15" x14ac:dyDescent="0.25"/>
  <sheetData>
    <row r="1" spans="1:11" x14ac:dyDescent="0.25">
      <c r="B1" t="s">
        <v>154</v>
      </c>
      <c r="C1" t="s">
        <v>161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163</v>
      </c>
      <c r="K1" t="s">
        <v>164</v>
      </c>
    </row>
    <row r="2" spans="1:11" x14ac:dyDescent="0.25">
      <c r="A2" t="s">
        <v>95</v>
      </c>
    </row>
    <row r="3" spans="1:11" x14ac:dyDescent="0.25">
      <c r="A3" t="s">
        <v>96</v>
      </c>
    </row>
    <row r="4" spans="1:11" x14ac:dyDescent="0.25">
      <c r="A4" t="s">
        <v>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Match Data</vt:lpstr>
      <vt:lpstr>Alliance Data</vt:lpstr>
      <vt:lpstr>Total Values</vt:lpstr>
      <vt:lpstr>Search</vt:lpstr>
      <vt:lpstr>Compare</vt:lpstr>
      <vt:lpstr>Value</vt:lpstr>
      <vt:lpstr>Team Partners</vt:lpstr>
      <vt:lpstr>Top 10 Rankings</vt:lpstr>
      <vt:lpstr>Fantasy Robotics</vt:lpstr>
    </vt:vector>
  </TitlesOfParts>
  <Company>Unified School District of De Pere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Pere;nicholas.ngo;matthew.terry</dc:creator>
  <cp:lastModifiedBy>De Pere</cp:lastModifiedBy>
  <dcterms:created xsi:type="dcterms:W3CDTF">2014-02-03T22:33:06Z</dcterms:created>
  <dcterms:modified xsi:type="dcterms:W3CDTF">2014-03-03T22:33:04Z</dcterms:modified>
</cp:coreProperties>
</file>